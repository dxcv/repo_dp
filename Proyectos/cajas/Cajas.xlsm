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INVERSIONES\ANALISIS RF LOCAL\Álvaro Darquea\"/>
    </mc:Choice>
  </mc:AlternateContent>
  <bookViews>
    <workbookView xWindow="0" yWindow="0" windowWidth="16200" windowHeight="11610"/>
  </bookViews>
  <sheets>
    <sheet name="ResumenFondos" sheetId="6" r:id="rId1"/>
    <sheet name="SubidosIRF" sheetId="7" r:id="rId2"/>
    <sheet name="SubidosIIF" sheetId="8" r:id="rId3"/>
    <sheet name="Feriados" sheetId="5" state="hidden" r:id="rId4"/>
  </sheets>
  <functionGroups builtInGroupCount="18"/>
  <definedNames>
    <definedName name="CIQWBGuid" hidden="1">"Cajas.xlsm"</definedName>
    <definedName name="FeriadosBCS" localSheetId="0">#REF!</definedName>
    <definedName name="FeriadosBCS" localSheetId="2">#REF!</definedName>
    <definedName name="FeriadosBCS" localSheetId="1">#REF!</definedName>
    <definedName name="FeriadosBCS">Feriados!$A$2:$A$34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"04/29/2016 20:05:17"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PUYEHUE_MesaInversiones_TransaccionesIIF" localSheetId="2" hidden="1">SubidosIIF!$A$2:$T$100</definedName>
    <definedName name="PUYEHUE_MesaInversiones_TransaccionesIIF" localSheetId="1" hidden="1">SubidosIRF!$A$2:$S$55</definedName>
    <definedName name="solver_adj" localSheetId="0" hidden="1">ResumenFondos!#REF!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ResumenFondos!#REF!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3157826556</definedName>
    <definedName name="solver_ver" localSheetId="0" hidden="1">3</definedName>
  </definedNames>
  <calcPr calcId="171027"/>
</workbook>
</file>

<file path=xl/calcChain.xml><?xml version="1.0" encoding="utf-8"?>
<calcChain xmlns="http://schemas.openxmlformats.org/spreadsheetml/2006/main">
  <c r="G9" i="6" l="1"/>
  <c r="G10" i="6"/>
  <c r="G11" i="6"/>
  <c r="G12" i="6"/>
  <c r="H9" i="6" l="1"/>
  <c r="H10" i="6"/>
  <c r="H11" i="6"/>
  <c r="H12" i="6"/>
  <c r="C19" i="6" l="1"/>
  <c r="C18" i="6"/>
  <c r="C17" i="6"/>
  <c r="H18" i="6" l="1"/>
  <c r="G18" i="6"/>
  <c r="J5" i="6"/>
  <c r="J6" i="6"/>
  <c r="J7" i="6"/>
  <c r="J8" i="6"/>
  <c r="J9" i="6"/>
  <c r="J10" i="6"/>
  <c r="J11" i="6"/>
  <c r="J12" i="6"/>
  <c r="I5" i="6"/>
  <c r="I6" i="6"/>
  <c r="I7" i="6"/>
  <c r="I8" i="6"/>
  <c r="I9" i="6"/>
  <c r="I10" i="6"/>
  <c r="I11" i="6"/>
  <c r="I12" i="6"/>
  <c r="H5" i="6"/>
  <c r="H6" i="6"/>
  <c r="H7" i="6"/>
  <c r="H8" i="6"/>
  <c r="G5" i="6"/>
  <c r="G6" i="6"/>
  <c r="G7" i="6"/>
  <c r="G8" i="6"/>
  <c r="K18" i="6" l="1"/>
  <c r="K8" i="6"/>
  <c r="D20" i="6"/>
  <c r="E20" i="6"/>
  <c r="F20" i="6"/>
  <c r="K10" i="6" l="1"/>
  <c r="O10" i="6" s="1"/>
  <c r="I13" i="6" l="1"/>
  <c r="J13" i="6"/>
  <c r="K11" i="6" l="1"/>
  <c r="O11" i="6" l="1"/>
  <c r="K5" i="6"/>
  <c r="O18" i="6" l="1"/>
  <c r="O5" i="6"/>
  <c r="K7" i="6" l="1"/>
  <c r="K9" i="6"/>
  <c r="O7" i="6" l="1"/>
  <c r="K6" i="6"/>
  <c r="O6" i="6" s="1"/>
  <c r="K12" i="6"/>
  <c r="O12" i="6" s="1"/>
  <c r="O8" i="6"/>
  <c r="O9" i="6"/>
  <c r="G13" i="6" l="1"/>
  <c r="H13" i="6"/>
</calcChain>
</file>

<file path=xl/connections.xml><?xml version="1.0" encoding="utf-8"?>
<connections xmlns="http://schemas.openxmlformats.org/spreadsheetml/2006/main">
  <connection id="1" keepAlive="1" name="PUYEHUE MesaInversiones TransaccionesIIF" type="5" refreshedVersion="6" background="1" saveData="1">
    <dbPr connection="Provider=SQLOLEDB.1;Integrated Security=SSPI;Persist Security Info=True;Initial Catalog=MesaInversiones;Data Source=PUYEHUE;Use Procedure for Prepare=1;Auto Translate=True;Packet Size=4096;Workstation ID=BCS15432;Use Encryption for Data=False;Tag with column collation when possible=False" command="SELECT [TransaccionesIIF].Fecha, [TransaccionesIIF].V, [TransaccionesIIF].OpV, [TransaccionesIIF].C, [TransaccionesIIF].OpC, [TransaccionesIIF].Rte, [TransaccionesIIF].Folio, [TransaccionesIIF].Instrumento, [TransaccionesIIF].Emisor, [TransaccionesIIF].Liq, [TransaccionesIIF].D, [TransaccionesIIF].Rescate, [TransaccionesIIF].Moneda, [TransaccionesIIF].Dias, [TransaccionesIIF].tasa, [TransaccionesIIF].Captacion, [TransaccionesIIF].Vende, [TransaccionesIIF].Compra, [TransaccionesIIF].NemotecnicoSinFecha, [TransaccionesIIF].Nemotecnico_x000d__x000a_FROM dbo.[TransaccionesIIF]_x000d__x000a_WHERE ([TransaccionesIIF].Fecha=CAST(GETDATE() AS date))_x000d__x000a_ORDER BY [TransaccionesIIF].Rte, [TransaccionesIIF].Instrumento"/>
  </connection>
  <connection id="2" keepAlive="1" name="PUYEHUE MesaInversiones TransaccionesIRF" type="5" refreshedVersion="6" background="1" saveData="1">
    <dbPr connection="Provider=SQLOLEDB.1;Integrated Security=SSPI;Persist Security Info=True;Initial Catalog=MesaInversiones;Data Source=PUYEHUE;Use Procedure for Prepare=1;Auto Translate=True;Packet Size=4096;Workstation ID=BCS15432;Use Encryption for Data=False;Tag with column collation when possible=False" command="SELECT [TransaccionesIRF].Fecha, [TransaccionesIRF].V, [TransaccionesIRF].OpV, [TransaccionesIRF].C, [TransaccionesIRF].OpC, [TransaccionesIRF].Rte, [TransaccionesIRF].Folio, [TransaccionesIRF].Instrumento, [TransaccionesIRF].Liq, [TransaccionesIRF].D, [TransaccionesIRF].Cantidad, [TransaccionesIRF].Moneda, [TransaccionesIRF].Plazo, [TransaccionesIRF].Duration, [TransaccionesIRF].Precio, [TransaccionesIRF].Tir, [TransaccionesIRF].Monto, [TransaccionesIRF].Vende, [TransaccionesIRF].Compra_x000d__x000a_FROM dbo.[TransaccionesIRF]_x000d__x000a_WHERE ([TransaccionesIRF].Fecha=CAST(GETDATE() AS date))_x000d__x000a_ORDER BY [TransaccionesIRF].Rte, [TransaccionesIRF].Instrumento"/>
  </connection>
</connections>
</file>

<file path=xl/sharedStrings.xml><?xml version="1.0" encoding="utf-8"?>
<sst xmlns="http://schemas.openxmlformats.org/spreadsheetml/2006/main" count="1486" uniqueCount="145">
  <si>
    <t>V</t>
  </si>
  <si>
    <t>C</t>
  </si>
  <si>
    <t>Rte</t>
  </si>
  <si>
    <t>Folio</t>
  </si>
  <si>
    <t>Instrumento</t>
  </si>
  <si>
    <t>D</t>
  </si>
  <si>
    <t>Moneda</t>
  </si>
  <si>
    <t>Compra</t>
  </si>
  <si>
    <t>Vende</t>
  </si>
  <si>
    <t>Liq</t>
  </si>
  <si>
    <t>Cantidad</t>
  </si>
  <si>
    <t>Plazo</t>
  </si>
  <si>
    <t>Fecha</t>
  </si>
  <si>
    <t>OpV</t>
  </si>
  <si>
    <t>OpC</t>
  </si>
  <si>
    <t>Fondo</t>
  </si>
  <si>
    <t>Duration</t>
  </si>
  <si>
    <t>Precio</t>
  </si>
  <si>
    <t>Tir</t>
  </si>
  <si>
    <t>Monto</t>
  </si>
  <si>
    <t>Suma operaciones que no son por fuera ni pactos (todo lo hecho por bolsa)</t>
  </si>
  <si>
    <t xml:space="preserve">Pesos y UF </t>
  </si>
  <si>
    <t>Date</t>
  </si>
  <si>
    <t>LIQUIDEZ</t>
  </si>
  <si>
    <t>M_MARKET</t>
  </si>
  <si>
    <t>DEUDA 360</t>
  </si>
  <si>
    <t>RENTA</t>
  </si>
  <si>
    <t>MACRO 1.5</t>
  </si>
  <si>
    <t>DEUDA CORP</t>
  </si>
  <si>
    <t>SPREADCORP</t>
  </si>
  <si>
    <t>IMT E-PLUS</t>
  </si>
  <si>
    <t>Emisor</t>
  </si>
  <si>
    <t>Rescate</t>
  </si>
  <si>
    <t>Dias</t>
  </si>
  <si>
    <t>tasa</t>
  </si>
  <si>
    <t>Captacion</t>
  </si>
  <si>
    <t>NemotecnicoSinFecha</t>
  </si>
  <si>
    <t>Nemotecnico</t>
  </si>
  <si>
    <t>Saldo Inicial</t>
  </si>
  <si>
    <t>Ingresos</t>
  </si>
  <si>
    <t>Egresos</t>
  </si>
  <si>
    <t>Compras PH</t>
  </si>
  <si>
    <t>Aportes</t>
  </si>
  <si>
    <t>Caja Final PH</t>
  </si>
  <si>
    <t>Ventas PH</t>
  </si>
  <si>
    <t>Money Market</t>
  </si>
  <si>
    <t>Dólares</t>
  </si>
  <si>
    <t>Compras PM</t>
  </si>
  <si>
    <t>Ventas PM</t>
  </si>
  <si>
    <t>MACRO CLP3</t>
  </si>
  <si>
    <t>Falta por comprar</t>
  </si>
  <si>
    <t>Comprando</t>
  </si>
  <si>
    <t>Total</t>
  </si>
  <si>
    <t>2017-06-30</t>
  </si>
  <si>
    <t>E5</t>
  </si>
  <si>
    <t>BCAJ-J1215</t>
  </si>
  <si>
    <t>PM</t>
  </si>
  <si>
    <t>UF</t>
  </si>
  <si>
    <t>2017-11-01</t>
  </si>
  <si>
    <t>E6</t>
  </si>
  <si>
    <t>BBNS-V0514</t>
  </si>
  <si>
    <t>2017-04-02</t>
  </si>
  <si>
    <t>BESTK50714</t>
  </si>
  <si>
    <t>2000-02-01</t>
  </si>
  <si>
    <t>T1</t>
  </si>
  <si>
    <t>BTU0150321</t>
  </si>
  <si>
    <t>2017-08-03</t>
  </si>
  <si>
    <t>PH</t>
  </si>
  <si>
    <t>2017-09-03</t>
  </si>
  <si>
    <t>E4</t>
  </si>
  <si>
    <t>PAGARE NR</t>
  </si>
  <si>
    <t>ESTADO</t>
  </si>
  <si>
    <t>CH$</t>
  </si>
  <si>
    <t>SOFOFA</t>
  </si>
  <si>
    <t>FNEST</t>
  </si>
  <si>
    <t>FNEST-210717</t>
  </si>
  <si>
    <t>FNEST-180717</t>
  </si>
  <si>
    <t>SCOTIABANK</t>
  </si>
  <si>
    <t>FNBNS</t>
  </si>
  <si>
    <t>FNBNS-040518</t>
  </si>
  <si>
    <t>BICE</t>
  </si>
  <si>
    <t>FNBIC</t>
  </si>
  <si>
    <t>FNBIC-041017</t>
  </si>
  <si>
    <t>CHILE</t>
  </si>
  <si>
    <t>FNCHI</t>
  </si>
  <si>
    <t>FNCHI-041017</t>
  </si>
  <si>
    <t>E7</t>
  </si>
  <si>
    <t>BBNS-Q0513</t>
  </si>
  <si>
    <t>2017-11-05</t>
  </si>
  <si>
    <t>BARAU-Q</t>
  </si>
  <si>
    <t>FNCHI-061017</t>
  </si>
  <si>
    <t>FNBNS-151217</t>
  </si>
  <si>
    <t>FNCHI-090118</t>
  </si>
  <si>
    <t>HSBC</t>
  </si>
  <si>
    <t>FNHSB</t>
  </si>
  <si>
    <t>FNHSB-020418</t>
  </si>
  <si>
    <t>F</t>
  </si>
  <si>
    <t>FACTURA</t>
  </si>
  <si>
    <t>MOP</t>
  </si>
  <si>
    <t>FNMOP</t>
  </si>
  <si>
    <t>FNMOP-140717</t>
  </si>
  <si>
    <t>PHOD</t>
  </si>
  <si>
    <t>FNBIC-030717</t>
  </si>
  <si>
    <t>CONSORCIO</t>
  </si>
  <si>
    <t>FNCNO</t>
  </si>
  <si>
    <t>FNCNO-030717</t>
  </si>
  <si>
    <t>FNCNO-200917</t>
  </si>
  <si>
    <t>SANTANDER</t>
  </si>
  <si>
    <t>FNSTD</t>
  </si>
  <si>
    <t>FNSTD-071117</t>
  </si>
  <si>
    <t>BCI</t>
  </si>
  <si>
    <t>FNBCI</t>
  </si>
  <si>
    <t>FNBCI-150118</t>
  </si>
  <si>
    <t>E8</t>
  </si>
  <si>
    <t>BSECK21111</t>
  </si>
  <si>
    <t>2017-05-04</t>
  </si>
  <si>
    <t>FNBCI-090518</t>
  </si>
  <si>
    <t>FNCNO-170717</t>
  </si>
  <si>
    <t>ITAUCORP</t>
  </si>
  <si>
    <t>FNCOR</t>
  </si>
  <si>
    <t>FNCOR-030817</t>
  </si>
  <si>
    <t>BBVA</t>
  </si>
  <si>
    <t>FNBBV</t>
  </si>
  <si>
    <t>FNBBV-101017</t>
  </si>
  <si>
    <t>FNBCI-121017</t>
  </si>
  <si>
    <t>E9</t>
  </si>
  <si>
    <t>FNCOR-030717</t>
  </si>
  <si>
    <t>FNCOR-040618</t>
  </si>
  <si>
    <t>INTERNACIO</t>
  </si>
  <si>
    <t>FNINT</t>
  </si>
  <si>
    <t>FNINT-140318</t>
  </si>
  <si>
    <t>PAGARE R</t>
  </si>
  <si>
    <t>CCB</t>
  </si>
  <si>
    <t>UD</t>
  </si>
  <si>
    <t>F*CCB</t>
  </si>
  <si>
    <t>F*CCB-030717</t>
  </si>
  <si>
    <t>T2</t>
  </si>
  <si>
    <t>BTP0450321</t>
  </si>
  <si>
    <t>$</t>
  </si>
  <si>
    <t>BCHIUJ0811</t>
  </si>
  <si>
    <t>2017-01-02</t>
  </si>
  <si>
    <t>FNCNO-110418</t>
  </si>
  <si>
    <t>SECURITY</t>
  </si>
  <si>
    <t>FNSEC</t>
  </si>
  <si>
    <t>FNSEC-160817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</si>
</sst>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64" formatCode="&quot;$&quot;#,##0_);[Red]\(&quot;$&quot;#,##0\)"/>
    <numFmt numFmtId="165" formatCode="_(* #,##0.00_);_(* \(#,##0.00\);_(* &quot;-&quot;??_);_(@_)"/>
    <numFmt numFmtId="166" formatCode="_(&quot;$&quot;* #,##0.00_);_(&quot;$&quot;* \(#,##0.00\);_(&quot;$&quot;* &quot;-&quot;??_);_(@_)"/>
    <numFmt numFmtId="167" formatCode="mm/dd/yyyy;@"/>
    <numFmt numFmtId="168" formatCode="&quot;Verdadero&quot;;&quot;Verdadero&quot;;&quot;Falso&quot;"/>
    <numFmt numFmtId="169" formatCode="_-* #,##0.00\ _€_-;\-* #,##0.00\ _€_-;_-* &quot;-&quot;??\ _€_-;_-@_-"/>
    <numFmt numFmtId="170" formatCode="_(* #,##0_);_(* \(#,##0\);_(* &quot;-&quot;??_);_(@_)"/>
    <numFmt numFmtId="171" formatCode="_-* #,##0_-;\-* #,##0_-;_-* &quot;-&quot;??_-;_-@_-"/>
    <numFmt numFmtId="172" formatCode="[$-340A]d&quot; de &quot;mmmm&quot; de &quot;yyyy;@"/>
    <numFmt numFmtId="173" formatCode="_-&quot;$&quot;\ * #,##0_-;\-&quot;$&quot;\ * #,##0_-;_-&quot;$&quot;\ * &quot;-&quot;??_-;_-@_-"/>
    <numFmt numFmtId="174" formatCode="#,##0.00_ ;[Red]\-#,##0.00\ "/>
  </numFmts>
  <fonts count="16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name val="Arial"/>
      <family val="2"/>
    </font>
    <font>
      <u/>
      <sz val="11"/>
      <color rgb="FF00019F"/>
      <name val="Calibri"/>
      <family val="2"/>
      <scheme val="minor"/>
    </font>
    <font>
      <u/>
      <sz val="11"/>
      <color rgb="FF400080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sz val="8"/>
      <color rgb="FF333333"/>
      <name val="Verdana"/>
      <family val="2"/>
    </font>
    <font>
      <sz val="11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</fills>
  <borders count="3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9"/>
      </left>
      <right style="medium">
        <color indexed="9"/>
      </right>
      <top/>
      <bottom style="medium">
        <color indexed="9"/>
      </bottom>
      <diagonal/>
    </border>
    <border>
      <left style="medium">
        <color indexed="9"/>
      </left>
      <right style="medium">
        <color indexed="9"/>
      </right>
      <top style="medium">
        <color indexed="9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0"/>
      </left>
      <right style="medium">
        <color theme="0"/>
      </right>
      <top style="thin">
        <color theme="4" tint="0.39997558519241921"/>
      </top>
      <bottom style="medium">
        <color indexed="64"/>
      </bottom>
      <diagonal/>
    </border>
  </borders>
  <cellStyleXfs count="148">
    <xf numFmtId="0" fontId="0" fillId="0" borderId="0"/>
    <xf numFmtId="166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1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1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2" fillId="2" borderId="1" applyNumberFormat="0" applyFont="0" applyAlignment="0" applyProtection="0"/>
    <xf numFmtId="0" fontId="7" fillId="2" borderId="1" applyNumberFormat="0" applyFont="0" applyAlignment="0" applyProtection="0"/>
    <xf numFmtId="0" fontId="2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0" fontId="7" fillId="2" borderId="1" applyNumberFormat="0" applyFont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2" fillId="0" borderId="0"/>
    <xf numFmtId="172" fontId="4" fillId="0" borderId="0"/>
    <xf numFmtId="172" fontId="4" fillId="0" borderId="0"/>
    <xf numFmtId="172" fontId="2" fillId="0" borderId="0"/>
    <xf numFmtId="16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2" fontId="2" fillId="0" borderId="0"/>
    <xf numFmtId="172" fontId="2" fillId="0" borderId="0"/>
    <xf numFmtId="172" fontId="2" fillId="0" borderId="0"/>
    <xf numFmtId="172" fontId="2" fillId="0" borderId="0"/>
    <xf numFmtId="165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72" fontId="2" fillId="0" borderId="0"/>
    <xf numFmtId="172" fontId="2" fillId="0" borderId="0"/>
    <xf numFmtId="0" fontId="2" fillId="0" borderId="0"/>
  </cellStyleXfs>
  <cellXfs count="82">
    <xf numFmtId="0" fontId="0" fillId="0" borderId="0" xfId="0"/>
    <xf numFmtId="0" fontId="3" fillId="0" borderId="0" xfId="0" applyFont="1"/>
    <xf numFmtId="167" fontId="3" fillId="0" borderId="0" xfId="0" applyNumberFormat="1" applyFont="1"/>
    <xf numFmtId="0" fontId="1" fillId="0" borderId="0" xfId="0" applyFont="1"/>
    <xf numFmtId="0" fontId="0" fillId="0" borderId="5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0" fillId="0" borderId="0" xfId="0" applyFont="1"/>
    <xf numFmtId="0" fontId="10" fillId="0" borderId="0" xfId="0" applyFont="1" applyAlignment="1">
      <alignment horizontal="center"/>
    </xf>
    <xf numFmtId="0" fontId="10" fillId="0" borderId="0" xfId="0" applyFont="1" applyAlignment="1">
      <alignment wrapText="1"/>
    </xf>
    <xf numFmtId="0" fontId="11" fillId="0" borderId="1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0" fillId="0" borderId="0" xfId="0" applyAlignment="1">
      <alignment wrapText="1"/>
    </xf>
    <xf numFmtId="170" fontId="0" fillId="0" borderId="0" xfId="5" applyNumberFormat="1" applyFont="1"/>
    <xf numFmtId="170" fontId="2" fillId="3" borderId="16" xfId="12" applyNumberFormat="1" applyFont="1" applyFill="1" applyBorder="1"/>
    <xf numFmtId="170" fontId="2" fillId="3" borderId="17" xfId="12" applyNumberFormat="1" applyFont="1" applyFill="1" applyBorder="1"/>
    <xf numFmtId="170" fontId="0" fillId="4" borderId="18" xfId="5" applyNumberFormat="1" applyFont="1" applyFill="1" applyBorder="1"/>
    <xf numFmtId="170" fontId="0" fillId="5" borderId="18" xfId="5" applyNumberFormat="1" applyFont="1" applyFill="1" applyBorder="1"/>
    <xf numFmtId="170" fontId="0" fillId="6" borderId="19" xfId="5" applyNumberFormat="1" applyFont="1" applyFill="1" applyBorder="1"/>
    <xf numFmtId="170" fontId="0" fillId="0" borderId="18" xfId="5" applyNumberFormat="1" applyFont="1" applyBorder="1"/>
    <xf numFmtId="170" fontId="2" fillId="3" borderId="20" xfId="12" applyNumberFormat="1" applyFont="1" applyFill="1" applyBorder="1"/>
    <xf numFmtId="170" fontId="2" fillId="3" borderId="21" xfId="12" applyNumberFormat="1" applyFont="1" applyFill="1" applyBorder="1"/>
    <xf numFmtId="170" fontId="0" fillId="6" borderId="18" xfId="5" applyNumberFormat="1" applyFont="1" applyFill="1" applyBorder="1"/>
    <xf numFmtId="0" fontId="8" fillId="0" borderId="9" xfId="0" applyFont="1" applyBorder="1" applyAlignment="1" applyProtection="1">
      <alignment vertical="center"/>
      <protection hidden="1"/>
    </xf>
    <xf numFmtId="3" fontId="0" fillId="0" borderId="0" xfId="0" applyNumberFormat="1"/>
    <xf numFmtId="0" fontId="9" fillId="7" borderId="12" xfId="0" applyFont="1" applyFill="1" applyBorder="1"/>
    <xf numFmtId="0" fontId="9" fillId="7" borderId="13" xfId="0" applyFont="1" applyFill="1" applyBorder="1"/>
    <xf numFmtId="0" fontId="9" fillId="7" borderId="14" xfId="0" applyFont="1" applyFill="1" applyBorder="1"/>
    <xf numFmtId="0" fontId="0" fillId="8" borderId="5" xfId="0" applyFont="1" applyFill="1" applyBorder="1" applyAlignment="1">
      <alignment vertical="center"/>
    </xf>
    <xf numFmtId="170" fontId="0" fillId="3" borderId="22" xfId="5" applyNumberFormat="1" applyFont="1" applyFill="1" applyBorder="1"/>
    <xf numFmtId="170" fontId="0" fillId="3" borderId="16" xfId="5" applyNumberFormat="1" applyFont="1" applyFill="1" applyBorder="1"/>
    <xf numFmtId="170" fontId="0" fillId="3" borderId="17" xfId="5" applyNumberFormat="1" applyFont="1" applyFill="1" applyBorder="1"/>
    <xf numFmtId="3" fontId="12" fillId="0" borderId="0" xfId="0" applyNumberFormat="1" applyFont="1"/>
    <xf numFmtId="0" fontId="0" fillId="8" borderId="8" xfId="0" applyFont="1" applyFill="1" applyBorder="1" applyAlignment="1">
      <alignment vertical="center"/>
    </xf>
    <xf numFmtId="170" fontId="0" fillId="0" borderId="23" xfId="5" applyNumberFormat="1" applyFont="1" applyBorder="1"/>
    <xf numFmtId="174" fontId="0" fillId="0" borderId="20" xfId="5" applyNumberFormat="1" applyFont="1" applyBorder="1"/>
    <xf numFmtId="170" fontId="0" fillId="4" borderId="21" xfId="5" applyNumberFormat="1" applyFont="1" applyFill="1" applyBorder="1"/>
    <xf numFmtId="170" fontId="0" fillId="5" borderId="13" xfId="5" applyNumberFormat="1" applyFont="1" applyFill="1" applyBorder="1"/>
    <xf numFmtId="170" fontId="0" fillId="0" borderId="15" xfId="5" applyNumberFormat="1" applyFont="1" applyBorder="1"/>
    <xf numFmtId="0" fontId="0" fillId="8" borderId="9" xfId="0" applyFont="1" applyFill="1" applyBorder="1" applyAlignment="1">
      <alignment vertical="center"/>
    </xf>
    <xf numFmtId="170" fontId="0" fillId="3" borderId="24" xfId="5" applyNumberFormat="1" applyFont="1" applyFill="1" applyBorder="1"/>
    <xf numFmtId="170" fontId="0" fillId="3" borderId="25" xfId="5" applyNumberFormat="1" applyFont="1" applyFill="1" applyBorder="1"/>
    <xf numFmtId="170" fontId="0" fillId="3" borderId="26" xfId="5" applyNumberFormat="1" applyFont="1" applyFill="1" applyBorder="1"/>
    <xf numFmtId="170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13" fillId="10" borderId="3" xfId="2" applyNumberFormat="1" applyFont="1" applyFill="1" applyBorder="1" applyAlignment="1">
      <alignment horizontal="center" vertical="center"/>
    </xf>
    <xf numFmtId="165" fontId="13" fillId="10" borderId="4" xfId="2" applyNumberFormat="1" applyFont="1" applyFill="1" applyBorder="1" applyAlignment="1">
      <alignment horizontal="center" vertical="center"/>
    </xf>
    <xf numFmtId="165" fontId="13" fillId="10" borderId="2" xfId="2" applyNumberFormat="1" applyFont="1" applyFill="1" applyBorder="1" applyAlignment="1">
      <alignment horizontal="center" vertical="center"/>
    </xf>
    <xf numFmtId="4" fontId="0" fillId="0" borderId="0" xfId="0" applyNumberFormat="1"/>
    <xf numFmtId="173" fontId="0" fillId="0" borderId="6" xfId="0" applyNumberFormat="1" applyFont="1" applyBorder="1"/>
    <xf numFmtId="173" fontId="0" fillId="0" borderId="7" xfId="0" applyNumberFormat="1" applyFont="1" applyBorder="1"/>
    <xf numFmtId="170" fontId="2" fillId="3" borderId="25" xfId="12" applyNumberFormat="1" applyFont="1" applyFill="1" applyBorder="1"/>
    <xf numFmtId="170" fontId="0" fillId="4" borderId="19" xfId="5" applyNumberFormat="1" applyFont="1" applyFill="1" applyBorder="1"/>
    <xf numFmtId="170" fontId="0" fillId="4" borderId="27" xfId="5" applyNumberFormat="1" applyFont="1" applyFill="1" applyBorder="1"/>
    <xf numFmtId="170" fontId="0" fillId="5" borderId="19" xfId="5" applyNumberFormat="1" applyFont="1" applyFill="1" applyBorder="1"/>
    <xf numFmtId="170" fontId="0" fillId="5" borderId="27" xfId="5" applyNumberFormat="1" applyFont="1" applyFill="1" applyBorder="1"/>
    <xf numFmtId="170" fontId="0" fillId="6" borderId="27" xfId="5" applyNumberFormat="1" applyFont="1" applyFill="1" applyBorder="1"/>
    <xf numFmtId="170" fontId="0" fillId="0" borderId="19" xfId="5" applyNumberFormat="1" applyFont="1" applyBorder="1"/>
    <xf numFmtId="170" fontId="0" fillId="0" borderId="27" xfId="5" applyNumberFormat="1" applyFont="1" applyBorder="1"/>
    <xf numFmtId="0" fontId="9" fillId="7" borderId="15" xfId="0" applyFont="1" applyFill="1" applyBorder="1"/>
    <xf numFmtId="0" fontId="0" fillId="0" borderId="0" xfId="0" applyFill="1"/>
    <xf numFmtId="1" fontId="0" fillId="0" borderId="0" xfId="0" applyNumberFormat="1"/>
    <xf numFmtId="164" fontId="0" fillId="0" borderId="0" xfId="0" applyNumberFormat="1"/>
    <xf numFmtId="170" fontId="2" fillId="3" borderId="28" xfId="12" applyNumberFormat="1" applyFont="1" applyFill="1" applyBorder="1"/>
    <xf numFmtId="170" fontId="2" fillId="3" borderId="29" xfId="12" applyNumberFormat="1" applyFont="1" applyFill="1" applyBorder="1"/>
    <xf numFmtId="170" fontId="2" fillId="0" borderId="20" xfId="12" applyNumberFormat="1" applyFont="1" applyBorder="1"/>
    <xf numFmtId="170" fontId="2" fillId="0" borderId="21" xfId="12" applyNumberFormat="1" applyFont="1" applyBorder="1"/>
    <xf numFmtId="164" fontId="0" fillId="0" borderId="0" xfId="0" applyNumberFormat="1"/>
    <xf numFmtId="164" fontId="0" fillId="0" borderId="0" xfId="0" applyNumberFormat="1"/>
    <xf numFmtId="170" fontId="2" fillId="3" borderId="26" xfId="12" applyNumberFormat="1" applyFont="1" applyFill="1" applyBorder="1"/>
    <xf numFmtId="4" fontId="14" fillId="0" borderId="0" xfId="0" applyNumberFormat="1" applyFont="1" applyAlignment="1">
      <alignment wrapText="1"/>
    </xf>
    <xf numFmtId="3" fontId="15" fillId="0" borderId="0" xfId="0" applyNumberFormat="1" applyFont="1" applyAlignment="1">
      <alignment wrapText="1"/>
    </xf>
    <xf numFmtId="171" fontId="13" fillId="9" borderId="3" xfId="2" applyNumberFormat="1" applyFont="1" applyFill="1" applyBorder="1" applyAlignment="1">
      <alignment horizontal="center" vertical="center"/>
    </xf>
    <xf numFmtId="171" fontId="13" fillId="9" borderId="4" xfId="2" applyNumberFormat="1" applyFont="1" applyFill="1" applyBorder="1" applyAlignment="1">
      <alignment horizontal="center" vertical="center"/>
    </xf>
    <xf numFmtId="171" fontId="13" fillId="9" borderId="2" xfId="2" applyNumberFormat="1" applyFont="1" applyFill="1" applyBorder="1" applyAlignment="1">
      <alignment horizontal="center" vertical="center"/>
    </xf>
    <xf numFmtId="165" fontId="13" fillId="10" borderId="3" xfId="2" applyFont="1" applyFill="1" applyBorder="1" applyAlignment="1">
      <alignment horizontal="center" vertical="center"/>
    </xf>
    <xf numFmtId="165" fontId="13" fillId="10" borderId="4" xfId="2" applyFont="1" applyFill="1" applyBorder="1" applyAlignment="1">
      <alignment horizontal="center" vertical="center"/>
    </xf>
    <xf numFmtId="165" fontId="13" fillId="10" borderId="2" xfId="2" applyFont="1" applyFill="1" applyBorder="1" applyAlignment="1">
      <alignment horizontal="center" vertical="center"/>
    </xf>
  </cellXfs>
  <cellStyles count="148">
    <cellStyle name="_x000a_386grabber=M" xfId="6"/>
    <cellStyle name="Hipervínculo 2 2" xfId="7"/>
    <cellStyle name="Hipervínculo 3 2" xfId="8"/>
    <cellStyle name="Hipervínculo visitado 2 2" xfId="9"/>
    <cellStyle name="Hipervínculo visitado 3 2" xfId="10"/>
    <cellStyle name="Millares" xfId="5" builtinId="3"/>
    <cellStyle name="Millares 10" xfId="11"/>
    <cellStyle name="Millares 11" xfId="12"/>
    <cellStyle name="Millares 12" xfId="121"/>
    <cellStyle name="Millares 2" xfId="2"/>
    <cellStyle name="Millares 2 2" xfId="13"/>
    <cellStyle name="Millares 2 3" xfId="14"/>
    <cellStyle name="Millares 2 4" xfId="144"/>
    <cellStyle name="Millares 3" xfId="15"/>
    <cellStyle name="Millares 3 2" xfId="16"/>
    <cellStyle name="Millares 3 3" xfId="143"/>
    <cellStyle name="Millares 4" xfId="17"/>
    <cellStyle name="Millares 5" xfId="18"/>
    <cellStyle name="Millares 6" xfId="19"/>
    <cellStyle name="Millares 6 2" xfId="20"/>
    <cellStyle name="Millares 7" xfId="21"/>
    <cellStyle name="Millares 8" xfId="22"/>
    <cellStyle name="Millares 9" xfId="23"/>
    <cellStyle name="Millares 9 2" xfId="24"/>
    <cellStyle name="Moneda 2" xfId="3"/>
    <cellStyle name="Moneda 3" xfId="1"/>
    <cellStyle name="Normal" xfId="0" builtinId="0"/>
    <cellStyle name="Normal 10" xfId="127"/>
    <cellStyle name="Normal 10 2" xfId="147"/>
    <cellStyle name="Normal 11" xfId="128"/>
    <cellStyle name="Normal 12" xfId="129"/>
    <cellStyle name="Normal 13" xfId="130"/>
    <cellStyle name="Normal 14" xfId="131"/>
    <cellStyle name="Normal 15" xfId="132"/>
    <cellStyle name="Normal 16" xfId="133"/>
    <cellStyle name="Normal 17" xfId="134"/>
    <cellStyle name="Normal 18" xfId="135"/>
    <cellStyle name="Normal 19" xfId="136"/>
    <cellStyle name="Normal 2" xfId="4"/>
    <cellStyle name="Normal 2 2" xfId="25"/>
    <cellStyle name="Normal 2 2 2" xfId="120"/>
    <cellStyle name="Normal 2 3" xfId="26"/>
    <cellStyle name="Normal 2 4" xfId="119"/>
    <cellStyle name="Normal 20" xfId="137"/>
    <cellStyle name="Normal 21" xfId="138"/>
    <cellStyle name="Normal 22" xfId="117"/>
    <cellStyle name="Normal 23" xfId="139"/>
    <cellStyle name="Normal 24" xfId="140"/>
    <cellStyle name="Normal 25" xfId="141"/>
    <cellStyle name="Normal 26" xfId="142"/>
    <cellStyle name="Normal 27" xfId="145"/>
    <cellStyle name="Normal 28" xfId="146"/>
    <cellStyle name="Normal 3" xfId="27"/>
    <cellStyle name="Normal 3 2" xfId="118"/>
    <cellStyle name="Normal 4" xfId="28"/>
    <cellStyle name="Normal 4 2" xfId="29"/>
    <cellStyle name="Normal 4 3" xfId="30"/>
    <cellStyle name="Normal 5" xfId="31"/>
    <cellStyle name="Normal 5 2" xfId="122"/>
    <cellStyle name="Normal 6" xfId="32"/>
    <cellStyle name="Normal 6 2" xfId="123"/>
    <cellStyle name="Normal 7" xfId="33"/>
    <cellStyle name="Normal 7 2" xfId="124"/>
    <cellStyle name="Normal 8" xfId="34"/>
    <cellStyle name="Normal 8 2" xfId="125"/>
    <cellStyle name="Normal 9" xfId="35"/>
    <cellStyle name="Normal 9 2" xfId="126"/>
    <cellStyle name="Notas 10" xfId="36"/>
    <cellStyle name="Notas 10 2" xfId="37"/>
    <cellStyle name="Notas 11" xfId="38"/>
    <cellStyle name="Notas 11 2" xfId="39"/>
    <cellStyle name="Notas 12" xfId="40"/>
    <cellStyle name="Notas 12 2" xfId="41"/>
    <cellStyle name="Notas 13" xfId="42"/>
    <cellStyle name="Notas 13 2" xfId="43"/>
    <cellStyle name="Notas 14" xfId="44"/>
    <cellStyle name="Notas 14 2" xfId="45"/>
    <cellStyle name="Notas 15" xfId="46"/>
    <cellStyle name="Notas 15 2" xfId="47"/>
    <cellStyle name="Notas 16" xfId="48"/>
    <cellStyle name="Notas 16 2" xfId="49"/>
    <cellStyle name="Notas 17" xfId="50"/>
    <cellStyle name="Notas 17 2" xfId="51"/>
    <cellStyle name="Notas 18" xfId="52"/>
    <cellStyle name="Notas 18 2" xfId="53"/>
    <cellStyle name="Notas 19" xfId="54"/>
    <cellStyle name="Notas 19 2" xfId="55"/>
    <cellStyle name="Notas 2 2" xfId="56"/>
    <cellStyle name="Notas 2 3" xfId="57"/>
    <cellStyle name="Notas 20" xfId="58"/>
    <cellStyle name="Notas 20 2" xfId="59"/>
    <cellStyle name="Notas 21" xfId="60"/>
    <cellStyle name="Notas 21 2" xfId="61"/>
    <cellStyle name="Notas 22" xfId="62"/>
    <cellStyle name="Notas 22 2" xfId="63"/>
    <cellStyle name="Notas 23" xfId="64"/>
    <cellStyle name="Notas 23 2" xfId="65"/>
    <cellStyle name="Notas 24" xfId="66"/>
    <cellStyle name="Notas 24 2" xfId="67"/>
    <cellStyle name="Notas 25" xfId="68"/>
    <cellStyle name="Notas 25 2" xfId="69"/>
    <cellStyle name="Notas 26" xfId="70"/>
    <cellStyle name="Notas 3 2" xfId="71"/>
    <cellStyle name="Notas 3 3" xfId="72"/>
    <cellStyle name="Notas 4 2" xfId="73"/>
    <cellStyle name="Notas 4 3" xfId="74"/>
    <cellStyle name="Notas 5 2" xfId="75"/>
    <cellStyle name="Notas 5 3" xfId="76"/>
    <cellStyle name="Notas 5 4" xfId="77"/>
    <cellStyle name="Notas 5 4 2" xfId="78"/>
    <cellStyle name="Notas 6 2" xfId="79"/>
    <cellStyle name="Notas 6 3" xfId="80"/>
    <cellStyle name="Notas 6 4" xfId="81"/>
    <cellStyle name="Notas 6 4 2" xfId="82"/>
    <cellStyle name="Notas 7 2" xfId="83"/>
    <cellStyle name="Notas 7 3" xfId="84"/>
    <cellStyle name="Notas 7 4" xfId="85"/>
    <cellStyle name="Notas 7 4 2" xfId="86"/>
    <cellStyle name="Notas 8 2" xfId="87"/>
    <cellStyle name="Notas 8 3" xfId="88"/>
    <cellStyle name="Notas 8 4" xfId="89"/>
    <cellStyle name="Notas 8 4 2" xfId="90"/>
    <cellStyle name="Notas 9" xfId="91"/>
    <cellStyle name="Notas 9 2" xfId="92"/>
    <cellStyle name="Porcentaje 2" xfId="93"/>
    <cellStyle name="Porcentaje 3" xfId="94"/>
    <cellStyle name="Porcentaje 4" xfId="95"/>
    <cellStyle name="Porcentaje 4 2" xfId="96"/>
    <cellStyle name="Porcentaje 5" xfId="97"/>
    <cellStyle name="Porcentaje 5 2" xfId="98"/>
    <cellStyle name="Porcentaje 6" xfId="99"/>
    <cellStyle name="Porcentaje 7" xfId="100"/>
    <cellStyle name="Porcentual 2" xfId="101"/>
    <cellStyle name="Porcentual 2 2" xfId="102"/>
    <cellStyle name="Porcentual 2 3" xfId="103"/>
    <cellStyle name="Porcentual 2 4" xfId="104"/>
    <cellStyle name="Porcentual 3" xfId="105"/>
    <cellStyle name="Porcentual 3 2" xfId="106"/>
    <cellStyle name="Porcentual 3 2 2" xfId="107"/>
    <cellStyle name="Porcentual 3 2 3" xfId="108"/>
    <cellStyle name="Porcentual 3 3" xfId="109"/>
    <cellStyle name="Porcentual 3 4" xfId="110"/>
    <cellStyle name="Porcentual 4" xfId="111"/>
    <cellStyle name="Porcentual 4 2" xfId="112"/>
    <cellStyle name="Porcentual 5" xfId="113"/>
    <cellStyle name="Porcentual 5 2" xfId="114"/>
    <cellStyle name="Porcentual 5 3" xfId="115"/>
    <cellStyle name="Porcentual 8" xfId="116"/>
  </cellStyles>
  <dxfs count="56">
    <dxf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-&quot;$&quot;\ * #,##0_-;\-&quot;$&quot;\ * #,##0_-;_-&quot;$&quot;\ * &quot;-&quot;??_-;_-@_-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-&quot;$&quot;\ * #,##0_-;\-&quot;$&quot;\ * #,##0_-;_-&quot;$&quot;\ * &quot;-&quot;??_-;_-@_-"/>
      <border diagonalUp="0" diagonalDown="0" outline="0">
        <left/>
        <right/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-&quot;$&quot;\ * #,##0_-;\-&quot;$&quot;\ * #,##0_-;_-&quot;$&quot;\ * &quot;-&quot;??_-;_-@_-"/>
      <border diagonalUp="0" diagonalDown="0" outline="0">
        <left/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-&quot;$&quot;\ * #,##0_-;\-&quot;$&quot;\ * #,##0_-;_-&quot;$&quot;\ * &quot;-&quot;??_-;_-@_-"/>
      <border diagonalUp="0" diagonalDown="0" outline="0">
        <left/>
        <right/>
        <top style="medium">
          <color indexed="64"/>
        </top>
        <bottom/>
      </border>
    </dxf>
    <dxf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border diagonalUp="0" diagonalDown="0" outline="0">
        <left style="medium">
          <color indexed="64"/>
        </left>
        <right/>
        <top style="medium">
          <color indexed="64"/>
        </top>
        <bottom/>
      </border>
    </dxf>
    <dxf>
      <border diagonalUp="0" diagonalDown="0" outline="0">
        <left/>
        <right/>
        <top style="medium">
          <color indexed="64"/>
        </top>
        <bottom/>
      </border>
    </dxf>
    <dxf>
      <numFmt numFmtId="170" formatCode="_(* #,##0_);_(* \(#,##0\);_(* &quot;-&quot;??_);_(@_)"/>
    </dxf>
    <dxf>
      <numFmt numFmtId="170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numFmt numFmtId="170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4.9989318521683403E-2"/>
        <name val="Calibri"/>
        <family val="2"/>
        <scheme val="minor"/>
      </font>
      <fill>
        <patternFill patternType="solid">
          <fgColor indexed="64"/>
          <bgColor theme="1" tint="0.14999847407452621"/>
        </patternFill>
      </fill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family val="2"/>
      </font>
      <numFmt numFmtId="170" formatCode="_(* #,##0_);_(* \(#,##0\);_(* &quot;-&quot;??_);_(@_)"/>
      <fill>
        <patternFill patternType="solid">
          <bgColor theme="1" tint="0.14999847407452621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70" formatCode="_(* #,##0_);_(* \(#,##0\);_(* &quot;-&quot;??_);_(@_)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70" formatCode="_(* #,##0_);_(* \(#,##0\);_(* &quot;-&quot;??_);_(@_)"/>
      <fill>
        <patternFill patternType="solid">
          <fgColor indexed="64"/>
          <bgColor theme="4" tint="0.59999389629810485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70" formatCode="_(* #,##0_);_(* \(#,##0\);_(* &quot;-&quot;??_);_(@_)"/>
      <fill>
        <patternFill patternType="solid">
          <fgColor indexed="64"/>
          <bgColor theme="0" tint="-0.249977111117893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numFmt numFmtId="170" formatCode="_(* #,##0_);_(* \(#,##0\);_(* &quot;-&quot;??_);_(@_)"/>
      <fill>
        <patternFill patternType="solid">
          <fgColor indexed="64"/>
          <bgColor theme="0" tint="-0.249977111117893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family val="2"/>
      </font>
      <numFmt numFmtId="170" formatCode="_(* #,##0_);_(* \(#,##0\);_(* &quot;-&quot;??_);_(@_)"/>
      <fill>
        <patternFill patternType="solid">
          <fgColor indexed="64"/>
          <bgColor theme="2" tint="-9.9978637043366805E-2"/>
        </patternFill>
      </fill>
      <alignment horizontal="general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theme="0"/>
        </left>
        <right/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theme="0"/>
        </left>
        <right style="medium">
          <color theme="0"/>
        </right>
        <top style="thin">
          <color theme="4" tint="0.39997558519241921"/>
        </top>
        <bottom style="thin">
          <color theme="4" tint="0.39997558519241921"/>
        </bottom>
        <vertical/>
        <horizontal style="thin">
          <color theme="4" tint="0.39997558519241921"/>
        </horizontal>
      </border>
    </dxf>
    <dxf>
      <font>
        <b/>
        <strike val="0"/>
        <outline val="0"/>
        <shadow val="0"/>
        <u val="none"/>
        <vertAlign val="baseline"/>
        <sz val="11"/>
        <color theme="0" tint="-0.14999847407452621"/>
        <name val="Calibri"/>
        <family val="2"/>
        <scheme val="minor"/>
      </font>
      <fill>
        <patternFill patternType="solid">
          <bgColor theme="1" tint="0.14999847407452621"/>
        </patternFill>
      </fill>
      <border diagonalUp="0" diagonalDown="0">
        <left style="medium">
          <color indexed="64"/>
        </left>
        <right/>
        <vertical/>
      </border>
    </dxf>
    <dxf>
      <border outline="0">
        <top style="medium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_-&quot;$&quot;\ * #,##0_-;\-&quot;$&quot;\ * #,##0_-;_-&quot;$&quot;\ * &quot;-&quot;??_-;_-@_-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4</xdr:row>
          <xdr:rowOff>180975</xdr:rowOff>
        </xdr:from>
        <xdr:to>
          <xdr:col>0</xdr:col>
          <xdr:colOff>1495425</xdr:colOff>
          <xdr:row>8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9</xdr:row>
          <xdr:rowOff>47625</xdr:rowOff>
        </xdr:from>
        <xdr:to>
          <xdr:col>0</xdr:col>
          <xdr:colOff>1504950</xdr:colOff>
          <xdr:row>12</xdr:row>
          <xdr:rowOff>66675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</a:rPr>
                <a:t>Grabar y Enviar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PUYEHUE MesaInversiones TransaccionesIIF" connectionId="2" autoFormatId="16" applyNumberFormats="0" applyBorderFormats="0" applyFontFormats="0" applyPatternFormats="0" applyAlignmentFormats="0" applyWidthHeightFormats="0">
  <queryTableRefresh nextId="27">
    <queryTableFields count="19">
      <queryTableField id="1" name="Fecha" tableColumnId="1"/>
      <queryTableField id="2" name="V" tableColumnId="2"/>
      <queryTableField id="3" name="OpV" tableColumnId="3"/>
      <queryTableField id="4" name="C" tableColumnId="4"/>
      <queryTableField id="5" name="OpC" tableColumnId="5"/>
      <queryTableField id="6" name="Rte" tableColumnId="6"/>
      <queryTableField id="7" name="Folio" tableColumnId="7"/>
      <queryTableField id="8" name="Instrumento" tableColumnId="8"/>
      <queryTableField id="10" name="Liq" tableColumnId="10"/>
      <queryTableField id="11" name="D" tableColumnId="11"/>
      <queryTableField id="13" name="Moneda" tableColumnId="13"/>
      <queryTableField id="17" name="Vende" tableColumnId="17"/>
      <queryTableField id="18" name="Compra" tableColumnId="18"/>
      <queryTableField id="21" name="Cantidad" tableColumnId="9"/>
      <queryTableField id="22" name="Plazo" tableColumnId="12"/>
      <queryTableField id="23" name="Duration" tableColumnId="14"/>
      <queryTableField id="24" name="Precio" tableColumnId="15"/>
      <queryTableField id="25" name="Tir" tableColumnId="16"/>
      <queryTableField id="26" name="Monto" tableColumnId="19"/>
    </queryTableFields>
  </queryTableRefresh>
</queryTable>
</file>

<file path=xl/queryTables/queryTable2.xml><?xml version="1.0" encoding="utf-8"?>
<queryTable xmlns="http://schemas.openxmlformats.org/spreadsheetml/2006/main" name="PUYEHUE MesaInversiones TransaccionesIIF" connectionId="1" autoFormatId="16" applyNumberFormats="0" applyBorderFormats="0" applyFontFormats="0" applyPatternFormats="0" applyAlignmentFormats="0" applyWidthHeightFormats="0">
  <queryTableRefresh nextId="35">
    <queryTableFields count="20">
      <queryTableField id="1" name="Fecha" tableColumnId="1"/>
      <queryTableField id="2" name="V" tableColumnId="2"/>
      <queryTableField id="3" name="OpV" tableColumnId="3"/>
      <queryTableField id="4" name="C" tableColumnId="4"/>
      <queryTableField id="5" name="OpC" tableColumnId="5"/>
      <queryTableField id="6" name="Rte" tableColumnId="6"/>
      <queryTableField id="7" name="Folio" tableColumnId="7"/>
      <queryTableField id="8" name="Instrumento" tableColumnId="8"/>
      <queryTableField id="10" name="Liq" tableColumnId="10"/>
      <queryTableField id="11" name="D" tableColumnId="11"/>
      <queryTableField id="13" name="Moneda" tableColumnId="13"/>
      <queryTableField id="17" name="Vende" tableColumnId="17"/>
      <queryTableField id="18" name="Compra" tableColumnId="18"/>
      <queryTableField id="27" name="Emisor" tableColumnId="9"/>
      <queryTableField id="28" name="Rescate" tableColumnId="12"/>
      <queryTableField id="29" name="Dias" tableColumnId="14"/>
      <queryTableField id="30" name="tasa" tableColumnId="15"/>
      <queryTableField id="31" name="Captacion" tableColumnId="16"/>
      <queryTableField id="32" name="NemotecnicoSinFecha" tableColumnId="19"/>
      <queryTableField id="33" name="Nemotecnico" tableColumnId="2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2" name="Tabla2" displayName="Tabla2" ref="B4:K13" totalsRowCount="1" totalsRowDxfId="47" headerRowBorderDxfId="49" tableBorderDxfId="48" totalsRowBorderDxfId="46">
  <autoFilter ref="B4:K12"/>
  <tableColumns count="10">
    <tableColumn id="1" name="Fondo" totalsRowLabel="Total" dataDxfId="45" totalsRowDxfId="9"/>
    <tableColumn id="2" name="Saldo Inicial" dataDxfId="44" totalsRowDxfId="8" dataCellStyle="Millares 11"/>
    <tableColumn id="5" name="Ingresos" dataDxfId="43" totalsRowDxfId="7" dataCellStyle="Millares 11"/>
    <tableColumn id="6" name="Egresos" dataDxfId="42" totalsRowDxfId="6" dataCellStyle="Millares 11"/>
    <tableColumn id="8" name="Aportes" dataDxfId="41" totalsRowDxfId="5" dataCellStyle="Millares"/>
    <tableColumn id="3" name="Compras PH" totalsRowFunction="custom" dataDxfId="40" totalsRowDxfId="4" dataCellStyle="Millares">
      <calculatedColumnFormula>SUMIFS(SubidosIRF!$S:$S,SubidosIRF!$M:$M,B5,SubidosIRF!I:I,"PH")+SUMIFS(SubidosIIF!$R:$R,SubidosIIF!$M:$M,$B5,SubidosIIF!$I:$I,"PH")+SUMIFS(SubidosIRF!$S:$S,SubidosIRF!$M:$M,B5,SubidosIRF!I:I,"PHOD")+SUMIFS(SubidosIIF!$R:$R,SubidosIIF!$M:$M,$B5,SubidosIIF!$I:$I,"PHOD")</calculatedColumnFormula>
      <totalsRowFormula>+SUM(Tabla2[Compras PH])</totalsRowFormula>
    </tableColumn>
    <tableColumn id="4" name="Ventas PH" totalsRowFunction="custom" dataDxfId="39" totalsRowDxfId="3" dataCellStyle="Millares">
      <calculatedColumnFormula>SUMIFS(SubidosIRF!$S:$S,SubidosIRF!$L:$L,Tabla2[[#This Row],[Fondo]],SubidosIRF!I:I,"PH")+SUMIFS(SubidosIIF!$R:$R,SubidosIIF!$L:$L,ResumenFondos!B5,SubidosIIF!I:I,"PH")+SUMIFS(SubidosIRF!$S:$S,SubidosIRF!$L:$L,Tabla2[[#This Row],[Fondo]],SubidosIRF!I:I,"PHOD")+SUMIFS(SubidosIIF!$R:$R,SubidosIIF!$L:$L,ResumenFondos!B5,SubidosIIF!I:I,"PHOD")</calculatedColumnFormula>
      <totalsRowFormula>+SUM(Tabla2[Ventas PH])</totalsRowFormula>
    </tableColumn>
    <tableColumn id="11" name="Compras PM" totalsRowFunction="custom" dataDxfId="38" totalsRowDxfId="2" dataCellStyle="Millares">
      <calculatedColumnFormula>SUMIFS(SubidosIRF!$S:$S,SubidosIRF!$M:$M,B5,SubidosIRF!I:I,"PM")+SUMIFS(SubidosIIF!$R:$R,SubidosIIF!$M:$M,$B5,SubidosIIF!$I:$I,"PM")+SUMIFS(SubidosIRF!$S:$S,SubidosIRF!$M:$M,B5,SubidosIRF!I:I,"PMOD")+SUMIFS(SubidosIIF!$R:$R,SubidosIIF!$M:$M,$B5,SubidosIIF!$I:$I,"PMOD")</calculatedColumnFormula>
      <totalsRowFormula>SUM(Tabla2[Compras PM])</totalsRowFormula>
    </tableColumn>
    <tableColumn id="12" name="Ventas PM" totalsRowFunction="custom" dataDxfId="37" totalsRowDxfId="1" dataCellStyle="Millares">
      <calculatedColumnFormula>SUMIFS(SubidosIRF!$S:$S,SubidosIRF!$L:$L,Tabla2[[#This Row],[Fondo]],SubidosIRF!$I:$I,"PM")+SUMIFS(SubidosIIF!$R:$R,SubidosIIF!$L:$L,ResumenFondos!B5,SubidosIIF!$I:$I,"PM")+SUMIFS(SubidosIRF!$S:$S,SubidosIRF!$L:$L,Tabla2[[#This Row],[Fondo]],SubidosIRF!$I:$I,"PMOD")+SUMIFS(SubidosIIF!$R:$R,SubidosIIF!$L:$L,ResumenFondos!B5,SubidosIIF!$I:$I,"PMOD")</calculatedColumnFormula>
      <totalsRowFormula>SUM(Tabla2[Ventas PM])</totalsRowFormula>
    </tableColumn>
    <tableColumn id="9" name="Caja Final PH" dataDxfId="36" totalsRowDxfId="0" dataCellStyle="Millares">
      <calculatedColumnFormula>+Tabla2[[#This Row],[Saldo Inicial]]+Tabla2[[#This Row],[Ingresos]]-Tabla2[[#This Row],[Egresos]]+Tabla2[[#This Row],[Aportes]]-Tabla2[[#This Row],[Compras PH]]+Tabla2[[#This Row],[Ventas PH]]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Tabla_PUYEHUE_MesaInversiones_TransaccionesIIF" displayName="Tabla_PUYEHUE_MesaInversiones_TransaccionesIIF" ref="A2:S55" tableType="queryTable" totalsRowShown="0" dataDxfId="35">
  <autoFilter ref="A2:S55"/>
  <tableColumns count="19">
    <tableColumn id="1" uniqueName="1" name="Fecha" queryTableFieldId="1"/>
    <tableColumn id="2" uniqueName="2" name="V" queryTableFieldId="2"/>
    <tableColumn id="3" uniqueName="3" name="OpV" queryTableFieldId="3"/>
    <tableColumn id="4" uniqueName="4" name="C" queryTableFieldId="4"/>
    <tableColumn id="5" uniqueName="5" name="OpC" queryTableFieldId="5"/>
    <tableColumn id="6" uniqueName="6" name="Rte" queryTableFieldId="6"/>
    <tableColumn id="7" uniqueName="7" name="Folio" queryTableFieldId="7"/>
    <tableColumn id="8" uniqueName="8" name="Instrumento" queryTableFieldId="8"/>
    <tableColumn id="10" uniqueName="10" name="Liq" queryTableFieldId="10"/>
    <tableColumn id="11" uniqueName="11" name="D" queryTableFieldId="11"/>
    <tableColumn id="13" uniqueName="13" name="Moneda" queryTableFieldId="13"/>
    <tableColumn id="17" uniqueName="17" name="Vende" queryTableFieldId="17"/>
    <tableColumn id="18" uniqueName="18" name="Compra" queryTableFieldId="18"/>
    <tableColumn id="9" uniqueName="9" name="Cantidad" queryTableFieldId="21"/>
    <tableColumn id="12" uniqueName="12" name="Plazo" queryTableFieldId="22" dataDxfId="34"/>
    <tableColumn id="14" uniqueName="14" name="Duration" queryTableFieldId="23"/>
    <tableColumn id="15" uniqueName="15" name="Precio" queryTableFieldId="24"/>
    <tableColumn id="16" uniqueName="16" name="Tir" queryTableFieldId="25"/>
    <tableColumn id="19" uniqueName="19" name="Monto" queryTableFieldId="2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Tabla_PUYEHUE_MesaInversiones_TransaccionesIIF2" displayName="Tabla_PUYEHUE_MesaInversiones_TransaccionesIIF2" ref="A2:T100" tableType="queryTable" totalsRowShown="0" dataDxfId="30">
  <autoFilter ref="A2:T100"/>
  <sortState ref="A3:T100">
    <sortCondition ref="M2:M100"/>
  </sortState>
  <tableColumns count="20">
    <tableColumn id="1" uniqueName="1" name="Fecha" queryTableFieldId="1" dataDxfId="29"/>
    <tableColumn id="2" uniqueName="2" name="V" queryTableFieldId="2" dataDxfId="28"/>
    <tableColumn id="3" uniqueName="3" name="OpV" queryTableFieldId="3" dataDxfId="27"/>
    <tableColumn id="4" uniqueName="4" name="C" queryTableFieldId="4" dataDxfId="26"/>
    <tableColumn id="5" uniqueName="5" name="OpC" queryTableFieldId="5" dataDxfId="25"/>
    <tableColumn id="6" uniqueName="6" name="Rte" queryTableFieldId="6" dataDxfId="24"/>
    <tableColumn id="7" uniqueName="7" name="Folio" queryTableFieldId="7" dataDxfId="23"/>
    <tableColumn id="8" uniqueName="8" name="Instrumento" queryTableFieldId="8" dataDxfId="22"/>
    <tableColumn id="10" uniqueName="10" name="Liq" queryTableFieldId="10" dataDxfId="21"/>
    <tableColumn id="11" uniqueName="11" name="D" queryTableFieldId="11" dataDxfId="20"/>
    <tableColumn id="13" uniqueName="13" name="Moneda" queryTableFieldId="13" dataDxfId="19"/>
    <tableColumn id="17" uniqueName="17" name="Vende" queryTableFieldId="17" dataDxfId="18"/>
    <tableColumn id="18" uniqueName="18" name="Compra" queryTableFieldId="18" dataDxfId="17"/>
    <tableColumn id="9" uniqueName="9" name="Emisor" queryTableFieldId="27" dataDxfId="16"/>
    <tableColumn id="12" uniqueName="12" name="Rescate" queryTableFieldId="28" dataDxfId="15" dataCellStyle="Millares"/>
    <tableColumn id="14" uniqueName="14" name="Dias" queryTableFieldId="29" dataDxfId="14"/>
    <tableColumn id="15" uniqueName="15" name="tasa" queryTableFieldId="30" dataDxfId="13"/>
    <tableColumn id="16" uniqueName="16" name="Captacion" queryTableFieldId="31" dataDxfId="12" dataCellStyle="Millares"/>
    <tableColumn id="19" uniqueName="19" name="NemotecnicoSinFecha" queryTableFieldId="32" dataDxfId="11"/>
    <tableColumn id="20" uniqueName="20" name="Nemotecnico" queryTableFieldId="33" dataDxfId="1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R53"/>
  <sheetViews>
    <sheetView showGridLines="0" tabSelected="1" defaultGridColor="0" colorId="9" zoomScale="90" zoomScaleNormal="90" workbookViewId="0">
      <selection activeCell="E23" sqref="E23"/>
    </sheetView>
  </sheetViews>
  <sheetFormatPr baseColWidth="10" defaultColWidth="11.42578125" defaultRowHeight="15" x14ac:dyDescent="0.25"/>
  <cols>
    <col min="1" max="1" width="24.5703125" customWidth="1"/>
    <col min="2" max="2" width="21.85546875" customWidth="1"/>
    <col min="3" max="4" width="14.5703125" customWidth="1"/>
    <col min="5" max="6" width="16" customWidth="1"/>
    <col min="7" max="7" width="17.28515625" customWidth="1"/>
    <col min="8" max="10" width="18.28515625" customWidth="1"/>
    <col min="11" max="11" width="17.28515625" customWidth="1"/>
    <col min="12" max="12" width="17.42578125" customWidth="1"/>
    <col min="13" max="13" width="23" customWidth="1"/>
    <col min="14" max="14" width="14.5703125" customWidth="1"/>
    <col min="15" max="15" width="16.85546875" customWidth="1"/>
    <col min="17" max="17" width="13.5703125" customWidth="1"/>
  </cols>
  <sheetData>
    <row r="1" spans="1:17" x14ac:dyDescent="0.25">
      <c r="F1" s="10"/>
      <c r="G1" s="11"/>
      <c r="H1" s="11"/>
      <c r="I1" s="11"/>
      <c r="J1" s="11"/>
    </row>
    <row r="2" spans="1:17" x14ac:dyDescent="0.25">
      <c r="F2" s="10"/>
    </row>
    <row r="3" spans="1:17" ht="45" customHeight="1" thickBot="1" x14ac:dyDescent="0.3">
      <c r="A3" s="12" t="s">
        <v>20</v>
      </c>
      <c r="B3" s="13" t="s">
        <v>21</v>
      </c>
      <c r="C3" s="13"/>
      <c r="D3" s="13"/>
      <c r="E3" s="13"/>
      <c r="F3" s="13"/>
      <c r="G3" s="13"/>
      <c r="H3" s="13"/>
      <c r="I3" s="14"/>
      <c r="J3" s="14"/>
    </row>
    <row r="4" spans="1:17" ht="15.75" thickBot="1" x14ac:dyDescent="0.3">
      <c r="A4" s="15"/>
      <c r="B4" s="8" t="s">
        <v>15</v>
      </c>
      <c r="C4" s="8" t="s">
        <v>38</v>
      </c>
      <c r="D4" s="8" t="s">
        <v>39</v>
      </c>
      <c r="E4" s="8" t="s">
        <v>40</v>
      </c>
      <c r="F4" s="8" t="s">
        <v>42</v>
      </c>
      <c r="G4" s="8" t="s">
        <v>41</v>
      </c>
      <c r="H4" s="9" t="s">
        <v>44</v>
      </c>
      <c r="I4" s="8" t="s">
        <v>47</v>
      </c>
      <c r="J4" s="9" t="s">
        <v>48</v>
      </c>
      <c r="K4" s="7" t="s">
        <v>43</v>
      </c>
      <c r="L4" s="16"/>
      <c r="N4" s="16" t="s">
        <v>51</v>
      </c>
      <c r="O4" t="s">
        <v>50</v>
      </c>
    </row>
    <row r="5" spans="1:17" x14ac:dyDescent="0.25">
      <c r="B5" s="4" t="s">
        <v>23</v>
      </c>
      <c r="C5" s="17">
        <v>28877431</v>
      </c>
      <c r="D5" s="17">
        <v>0</v>
      </c>
      <c r="E5" s="18">
        <v>3462163801</v>
      </c>
      <c r="F5" s="56"/>
      <c r="G5" s="58">
        <f>SUMIFS(SubidosIRF!$S:$S,SubidosIRF!$M:$M,B5,SubidosIRF!I:I,"PH")+SUMIFS(SubidosIIF!$R:$R,SubidosIIF!$M:$M,$B5,SubidosIIF!$I:$I,"PH")+SUMIFS(SubidosIRF!$S:$S,SubidosIRF!$M:$M,B5,SubidosIRF!I:I,"PHOD")+SUMIFS(SubidosIIF!$R:$R,SubidosIIF!$M:$M,$B5,SubidosIIF!$I:$I,"PHOD")</f>
        <v>4378223280</v>
      </c>
      <c r="H5" s="58">
        <f>SUMIFS(SubidosIRF!$S:$S,SubidosIRF!$L:$L,Tabla2[[#This Row],[Fondo]],SubidosIRF!I:I,"PH")+SUMIFS(SubidosIIF!$R:$R,SubidosIIF!$L:$L,ResumenFondos!B5,SubidosIIF!I:I,"PH")+SUMIFS(SubidosIRF!$S:$S,SubidosIRF!$L:$L,Tabla2[[#This Row],[Fondo]],SubidosIRF!I:I,"PHOD")+SUMIFS(SubidosIIF!$R:$R,SubidosIIF!$L:$L,ResumenFondos!B5,SubidosIIF!I:I,"PHOD")</f>
        <v>0</v>
      </c>
      <c r="I5" s="21">
        <f>SUMIFS(SubidosIRF!$S:$S,SubidosIRF!$M:$M,B5,SubidosIRF!I:I,"PM")+SUMIFS(SubidosIIF!$R:$R,SubidosIIF!$M:$M,$B5,SubidosIIF!$I:$I,"PM")+SUMIFS(SubidosIRF!$S:$S,SubidosIRF!$M:$M,B5,SubidosIRF!I:I,"PMOD")+SUMIFS(SubidosIIF!$R:$R,SubidosIIF!$M:$M,$B5,SubidosIIF!$I:$I,"PMOD")</f>
        <v>0</v>
      </c>
      <c r="J5" s="21">
        <f>SUMIFS(SubidosIRF!$S:$S,SubidosIRF!$L:$L,Tabla2[[#This Row],[Fondo]],SubidosIRF!$I:$I,"PM")+SUMIFS(SubidosIIF!$R:$R,SubidosIIF!$L:$L,ResumenFondos!B5,SubidosIIF!$I:$I,"PM")+SUMIFS(SubidosIRF!$S:$S,SubidosIRF!$L:$L,Tabla2[[#This Row],[Fondo]],SubidosIRF!$I:$I,"PMOD")+SUMIFS(SubidosIIF!$R:$R,SubidosIIF!$L:$L,ResumenFondos!B5,SubidosIIF!$I:$I,"PMOD")</f>
        <v>0</v>
      </c>
      <c r="K5" s="61">
        <f>+Tabla2[[#This Row],[Saldo Inicial]]+Tabla2[[#This Row],[Ingresos]]-Tabla2[[#This Row],[Egresos]]+Tabla2[[#This Row],[Aportes]]-Tabla2[[#This Row],[Compras PH]]+Tabla2[[#This Row],[Ventas PH]]</f>
        <v>-7811509650</v>
      </c>
      <c r="L5" s="16"/>
      <c r="M5" s="16"/>
      <c r="N5" s="16"/>
      <c r="O5" s="16">
        <f>Tabla2[[#This Row],[Caja Final PH]]-N5*1000000</f>
        <v>-7811509650</v>
      </c>
    </row>
    <row r="6" spans="1:17" x14ac:dyDescent="0.25">
      <c r="B6" s="6" t="s">
        <v>25</v>
      </c>
      <c r="C6" s="23">
        <v>44674282.200000003</v>
      </c>
      <c r="D6" s="23">
        <v>400831197</v>
      </c>
      <c r="E6" s="24">
        <v>70224014</v>
      </c>
      <c r="F6" s="19"/>
      <c r="G6" s="20">
        <f>SUMIFS(SubidosIRF!$S:$S,SubidosIRF!$M:$M,B6,SubidosIRF!I:I,"PH")+SUMIFS(SubidosIIF!$R:$R,SubidosIIF!$M:$M,$B6,SubidosIIF!$I:$I,"PH")+SUMIFS(SubidosIRF!$S:$S,SubidosIRF!$M:$M,B6,SubidosIRF!I:I,"PHOD")+SUMIFS(SubidosIIF!$R:$R,SubidosIIF!$M:$M,$B6,SubidosIIF!$I:$I,"PHOD")</f>
        <v>379010967</v>
      </c>
      <c r="H6" s="20">
        <f>SUMIFS(SubidosIRF!$S:$S,SubidosIRF!$L:$L,Tabla2[[#This Row],[Fondo]],SubidosIRF!I:I,"PH")+SUMIFS(SubidosIIF!$R:$R,SubidosIIF!$L:$L,ResumenFondos!B6,SubidosIIF!I:I,"PH")+SUMIFS(SubidosIRF!$S:$S,SubidosIRF!$L:$L,Tabla2[[#This Row],[Fondo]],SubidosIRF!I:I,"PHOD")+SUMIFS(SubidosIIF!$R:$R,SubidosIIF!$L:$L,ResumenFondos!B6,SubidosIIF!I:I,"PHOD")</f>
        <v>0</v>
      </c>
      <c r="I6" s="25">
        <f>SUMIFS(SubidosIRF!$S:$S,SubidosIRF!$M:$M,B6,SubidosIRF!I:I,"PM")+SUMIFS(SubidosIIF!$R:$R,SubidosIIF!$M:$M,$B6,SubidosIIF!$I:$I,"PM")+SUMIFS(SubidosIRF!$S:$S,SubidosIRF!$M:$M,B6,SubidosIRF!I:I,"PMOD")+SUMIFS(SubidosIIF!$R:$R,SubidosIIF!$M:$M,$B6,SubidosIIF!$I:$I,"PMOD")</f>
        <v>32605510</v>
      </c>
      <c r="J6" s="25">
        <f>SUMIFS(SubidosIRF!$S:$S,SubidosIRF!$L:$L,Tabla2[[#This Row],[Fondo]],SubidosIRF!$I:$I,"PM")+SUMIFS(SubidosIIF!$R:$R,SubidosIIF!$L:$L,ResumenFondos!B6,SubidosIIF!$I:$I,"PM")+SUMIFS(SubidosIRF!$S:$S,SubidosIRF!$L:$L,Tabla2[[#This Row],[Fondo]],SubidosIRF!$I:$I,"PMOD")+SUMIFS(SubidosIIF!$R:$R,SubidosIIF!$L:$L,ResumenFondos!B6,SubidosIIF!$I:$I,"PMOD")</f>
        <v>110894500</v>
      </c>
      <c r="K6" s="22">
        <f>+Tabla2[[#This Row],[Saldo Inicial]]+Tabla2[[#This Row],[Ingresos]]-Tabla2[[#This Row],[Egresos]]+Tabla2[[#This Row],[Aportes]]-Tabla2[[#This Row],[Compras PH]]+Tabla2[[#This Row],[Ventas PH]]</f>
        <v>-3729501.8000000119</v>
      </c>
      <c r="L6" s="16"/>
      <c r="M6" s="16"/>
      <c r="N6" s="16"/>
      <c r="O6" s="16">
        <f>Tabla2[[#This Row],[Caja Final PH]]-N6*1000000</f>
        <v>-3729501.8000000119</v>
      </c>
    </row>
    <row r="7" spans="1:17" x14ac:dyDescent="0.25">
      <c r="B7" s="6" t="s">
        <v>26</v>
      </c>
      <c r="C7" s="69">
        <v>82262880</v>
      </c>
      <c r="D7" s="69">
        <v>371665302</v>
      </c>
      <c r="E7" s="70">
        <v>6602246274</v>
      </c>
      <c r="F7" s="19"/>
      <c r="G7" s="20">
        <f>SUMIFS(SubidosIRF!$S:$S,SubidosIRF!$M:$M,B7,SubidosIRF!I:I,"PH")+SUMIFS(SubidosIIF!$R:$R,SubidosIIF!$M:$M,$B7,SubidosIIF!$I:$I,"PH")+SUMIFS(SubidosIRF!$S:$S,SubidosIRF!$M:$M,B7,SubidosIRF!I:I,"PHOD")+SUMIFS(SubidosIIF!$R:$R,SubidosIIF!$M:$M,$B7,SubidosIIF!$I:$I,"PHOD")</f>
        <v>763757862</v>
      </c>
      <c r="H7" s="20">
        <f>SUMIFS(SubidosIRF!$S:$S,SubidosIRF!$L:$L,Tabla2[[#This Row],[Fondo]],SubidosIRF!I:I,"PH")+SUMIFS(SubidosIIF!$R:$R,SubidosIIF!$L:$L,ResumenFondos!B7,SubidosIIF!I:I,"PH")+SUMIFS(SubidosIRF!$S:$S,SubidosIRF!$L:$L,Tabla2[[#This Row],[Fondo]],SubidosIRF!I:I,"PHOD")+SUMIFS(SubidosIIF!$R:$R,SubidosIIF!$L:$L,ResumenFondos!B7,SubidosIIF!I:I,"PHOD")</f>
        <v>6855485771</v>
      </c>
      <c r="I7" s="25">
        <f>SUMIFS(SubidosIRF!$S:$S,SubidosIRF!$M:$M,B7,SubidosIRF!I:I,"PM")+SUMIFS(SubidosIIF!$R:$R,SubidosIIF!$M:$M,$B7,SubidosIIF!$I:$I,"PM")+SUMIFS(SubidosIRF!$S:$S,SubidosIRF!$M:$M,B7,SubidosIRF!I:I,"PMOD")+SUMIFS(SubidosIIF!$R:$R,SubidosIIF!$M:$M,$B7,SubidosIIF!$I:$I,"PMOD")</f>
        <v>0</v>
      </c>
      <c r="J7" s="25">
        <f>SUMIFS(SubidosIRF!$S:$S,SubidosIRF!$L:$L,Tabla2[[#This Row],[Fondo]],SubidosIRF!$I:$I,"PM")+SUMIFS(SubidosIIF!$R:$R,SubidosIIF!$L:$L,ResumenFondos!B7,SubidosIIF!$I:$I,"PM")+SUMIFS(SubidosIRF!$S:$S,SubidosIRF!$L:$L,Tabla2[[#This Row],[Fondo]],SubidosIRF!$I:$I,"PMOD")+SUMIFS(SubidosIIF!$R:$R,SubidosIIF!$L:$L,ResumenFondos!B7,SubidosIIF!$I:$I,"PMOD")</f>
        <v>0</v>
      </c>
      <c r="K7" s="22">
        <f>+Tabla2[[#This Row],[Saldo Inicial]]+Tabla2[[#This Row],[Ingresos]]-Tabla2[[#This Row],[Egresos]]+Tabla2[[#This Row],[Aportes]]-Tabla2[[#This Row],[Compras PH]]+Tabla2[[#This Row],[Ventas PH]]</f>
        <v>-56590183</v>
      </c>
      <c r="L7" s="16"/>
      <c r="M7" s="16"/>
      <c r="N7" s="16"/>
      <c r="O7" s="16">
        <f>Tabla2[[#This Row],[Caja Final PH]]-N7*1000000</f>
        <v>-56590183</v>
      </c>
    </row>
    <row r="8" spans="1:17" ht="15.75" thickBot="1" x14ac:dyDescent="0.3">
      <c r="B8" s="6" t="s">
        <v>27</v>
      </c>
      <c r="C8" s="55">
        <v>17743839</v>
      </c>
      <c r="D8" s="55">
        <v>0</v>
      </c>
      <c r="E8" s="73">
        <v>0</v>
      </c>
      <c r="F8" s="19"/>
      <c r="G8" s="20">
        <f>SUMIFS(SubidosIRF!$S:$S,SubidosIRF!$M:$M,B8,SubidosIRF!I:I,"PH")+SUMIFS(SubidosIIF!$R:$R,SubidosIIF!$M:$M,$B8,SubidosIIF!$I:$I,"PH")+SUMIFS(SubidosIRF!$S:$S,SubidosIRF!$M:$M,B8,SubidosIRF!I:I,"PHOD")+SUMIFS(SubidosIIF!$R:$R,SubidosIIF!$M:$M,$B8,SubidosIIF!$I:$I,"PHOD")</f>
        <v>0</v>
      </c>
      <c r="H8" s="20">
        <f>SUMIFS(SubidosIRF!$S:$S,SubidosIRF!$L:$L,Tabla2[[#This Row],[Fondo]],SubidosIRF!I:I,"PH")+SUMIFS(SubidosIIF!$R:$R,SubidosIIF!$L:$L,ResumenFondos!B8,SubidosIIF!I:I,"PH")+SUMIFS(SubidosIRF!$S:$S,SubidosIRF!$L:$L,Tabla2[[#This Row],[Fondo]],SubidosIRF!I:I,"PHOD")+SUMIFS(SubidosIIF!$R:$R,SubidosIIF!$L:$L,ResumenFondos!B8,SubidosIIF!I:I,"PHOD")</f>
        <v>0</v>
      </c>
      <c r="I8" s="25">
        <f>SUMIFS(SubidosIRF!$S:$S,SubidosIRF!$M:$M,B8,SubidosIRF!I:I,"PM")+SUMIFS(SubidosIIF!$R:$R,SubidosIIF!$M:$M,$B8,SubidosIIF!$I:$I,"PM")+SUMIFS(SubidosIRF!$S:$S,SubidosIRF!$M:$M,B8,SubidosIRF!I:I,"PMOD")+SUMIFS(SubidosIIF!$R:$R,SubidosIIF!$M:$M,$B8,SubidosIIF!$I:$I,"PMOD")</f>
        <v>0</v>
      </c>
      <c r="J8" s="25">
        <f>SUMIFS(SubidosIRF!$S:$S,SubidosIRF!$L:$L,Tabla2[[#This Row],[Fondo]],SubidosIRF!$I:$I,"PM")+SUMIFS(SubidosIIF!$R:$R,SubidosIIF!$L:$L,ResumenFondos!B8,SubidosIIF!$I:$I,"PM")+SUMIFS(SubidosIRF!$S:$S,SubidosIRF!$L:$L,Tabla2[[#This Row],[Fondo]],SubidosIRF!$I:$I,"PMOD")+SUMIFS(SubidosIIF!$R:$R,SubidosIIF!$L:$L,ResumenFondos!B8,SubidosIIF!$I:$I,"PMOD")</f>
        <v>0</v>
      </c>
      <c r="K8" s="22">
        <f>+Tabla2[[#This Row],[Saldo Inicial]]+Tabla2[[#This Row],[Ingresos]]-Tabla2[[#This Row],[Egresos]]+Tabla2[[#This Row],[Aportes]]-Tabla2[[#This Row],[Compras PH]]+Tabla2[[#This Row],[Ventas PH]]</f>
        <v>17743839</v>
      </c>
      <c r="L8" s="16"/>
      <c r="M8" s="16">
        <v>75000000</v>
      </c>
      <c r="N8" s="16"/>
      <c r="O8" s="16">
        <f>Tabla2[[#This Row],[Caja Final PH]]-N8*1000000</f>
        <v>17743839</v>
      </c>
    </row>
    <row r="9" spans="1:17" ht="15.75" thickBot="1" x14ac:dyDescent="0.3">
      <c r="B9" s="6" t="s">
        <v>49</v>
      </c>
      <c r="C9" s="67">
        <v>17264250</v>
      </c>
      <c r="D9" s="18">
        <v>0</v>
      </c>
      <c r="E9" s="18">
        <v>4500453696</v>
      </c>
      <c r="F9" s="19"/>
      <c r="G9" s="20">
        <f>SUMIFS(SubidosIRF!$S:$S,SubidosIRF!$M:$M,B9,SubidosIRF!I:I,"PH")+SUMIFS(SubidosIIF!$R:$R,SubidosIIF!$M:$M,$B9,SubidosIIF!$I:$I,"PH")+SUMIFS(SubidosIRF!$S:$S,SubidosIRF!$M:$M,B9,SubidosIRF!I:I,"PHOD")+SUMIFS(SubidosIIF!$R:$R,SubidosIIF!$M:$M,$B9,SubidosIIF!$I:$I,"PHOD")</f>
        <v>0</v>
      </c>
      <c r="H9" s="20">
        <f>SUMIFS(SubidosIRF!$S:$S,SubidosIRF!$L:$L,Tabla2[[#This Row],[Fondo]],SubidosIRF!I:I,"PH")+SUMIFS(SubidosIIF!$R:$R,SubidosIIF!$L:$L,ResumenFondos!B9,SubidosIIF!I:I,"PH")+SUMIFS(SubidosIRF!$S:$S,SubidosIRF!$L:$L,Tabla2[[#This Row],[Fondo]],SubidosIRF!I:I,"PHOD")+SUMIFS(SubidosIIF!$R:$R,SubidosIIF!$L:$L,ResumenFondos!B9,SubidosIIF!I:I,"PHOD")</f>
        <v>0</v>
      </c>
      <c r="I9" s="25">
        <f>SUMIFS(SubidosIRF!$S:$S,SubidosIRF!$M:$M,B9,SubidosIRF!I:I,"PM")+SUMIFS(SubidosIIF!$R:$R,SubidosIIF!$M:$M,$B9,SubidosIIF!$I:$I,"PM")+SUMIFS(SubidosIRF!$S:$S,SubidosIRF!$M:$M,B9,SubidosIRF!I:I,"PMOD")+SUMIFS(SubidosIIF!$R:$R,SubidosIIF!$M:$M,$B9,SubidosIIF!$I:$I,"PMOD")</f>
        <v>0</v>
      </c>
      <c r="J9" s="25">
        <f>SUMIFS(SubidosIRF!$S:$S,SubidosIRF!$L:$L,Tabla2[[#This Row],[Fondo]],SubidosIRF!$I:$I,"PM")+SUMIFS(SubidosIIF!$R:$R,SubidosIIF!$L:$L,ResumenFondos!B9,SubidosIIF!$I:$I,"PM")+SUMIFS(SubidosIRF!$S:$S,SubidosIRF!$L:$L,Tabla2[[#This Row],[Fondo]],SubidosIRF!$I:$I,"PMOD")+SUMIFS(SubidosIIF!$R:$R,SubidosIIF!$L:$L,ResumenFondos!B9,SubidosIIF!$I:$I,"PMOD")</f>
        <v>0</v>
      </c>
      <c r="K9" s="22">
        <f>+Tabla2[[#This Row],[Saldo Inicial]]+Tabla2[[#This Row],[Ingresos]]-Tabla2[[#This Row],[Egresos]]+Tabla2[[#This Row],[Aportes]]-Tabla2[[#This Row],[Compras PH]]+Tabla2[[#This Row],[Ventas PH]]</f>
        <v>-4483189446</v>
      </c>
      <c r="L9" s="16"/>
      <c r="M9" s="16">
        <v>50000000</v>
      </c>
      <c r="N9" s="16"/>
      <c r="O9" s="16">
        <f>Tabla2[[#This Row],[Caja Final PH]]-N9*1000000</f>
        <v>-4483189446</v>
      </c>
    </row>
    <row r="10" spans="1:17" ht="15.75" thickBot="1" x14ac:dyDescent="0.3">
      <c r="B10" s="6" t="s">
        <v>28</v>
      </c>
      <c r="C10" s="67">
        <v>58539628</v>
      </c>
      <c r="D10" s="18">
        <v>1390722669</v>
      </c>
      <c r="E10" s="18">
        <v>0</v>
      </c>
      <c r="F10" s="19"/>
      <c r="G10" s="20">
        <f>SUMIFS(SubidosIRF!$S:$S,SubidosIRF!$M:$M,B10,SubidosIRF!I:I,"PH")+SUMIFS(SubidosIIF!$R:$R,SubidosIIF!$M:$M,$B10,SubidosIIF!$I:$I,"PH")+SUMIFS(SubidosIRF!$S:$S,SubidosIRF!$M:$M,B10,SubidosIRF!I:I,"PHOD")+SUMIFS(SubidosIIF!$R:$R,SubidosIIF!$M:$M,$B10,SubidosIIF!$I:$I,"PHOD")</f>
        <v>1789876894.5</v>
      </c>
      <c r="H10" s="20">
        <f>SUMIFS(SubidosIRF!$S:$S,SubidosIRF!$L:$L,Tabla2[[#This Row],[Fondo]],SubidosIRF!I:I,"PH")+SUMIFS(SubidosIIF!$R:$R,SubidosIIF!$L:$L,ResumenFondos!B10,SubidosIIF!I:I,"PH")+SUMIFS(SubidosIRF!$S:$S,SubidosIRF!$L:$L,Tabla2[[#This Row],[Fondo]],SubidosIRF!I:I,"PHOD")+SUMIFS(SubidosIIF!$R:$R,SubidosIIF!$L:$L,ResumenFondos!B10,SubidosIIF!I:I,"PHOD")</f>
        <v>410314568</v>
      </c>
      <c r="I10" s="25">
        <f>SUMIFS(SubidosIRF!$S:$S,SubidosIRF!$M:$M,B10,SubidosIRF!I:I,"PM")+SUMIFS(SubidosIIF!$R:$R,SubidosIIF!$M:$M,$B10,SubidosIIF!$I:$I,"PM")+SUMIFS(SubidosIRF!$S:$S,SubidosIRF!$M:$M,B10,SubidosIRF!I:I,"PMOD")+SUMIFS(SubidosIIF!$R:$R,SubidosIIF!$M:$M,$B10,SubidosIIF!$I:$I,"PMOD")</f>
        <v>272938669</v>
      </c>
      <c r="J10" s="25">
        <f>SUMIFS(SubidosIRF!$S:$S,SubidosIRF!$L:$L,Tabla2[[#This Row],[Fondo]],SubidosIRF!$I:$I,"PM")+SUMIFS(SubidosIIF!$R:$R,SubidosIIF!$L:$L,ResumenFondos!B10,SubidosIIF!$I:$I,"PM")+SUMIFS(SubidosIRF!$S:$S,SubidosIRF!$L:$L,Tabla2[[#This Row],[Fondo]],SubidosIRF!$I:$I,"PMOD")+SUMIFS(SubidosIIF!$R:$R,SubidosIIF!$L:$L,ResumenFondos!B10,SubidosIIF!$I:$I,"PMOD")</f>
        <v>528064540</v>
      </c>
      <c r="K10" s="22">
        <f>+Tabla2[[#This Row],[Saldo Inicial]]+Tabla2[[#This Row],[Ingresos]]-Tabla2[[#This Row],[Egresos]]+Tabla2[[#This Row],[Aportes]]-Tabla2[[#This Row],[Compras PH]]+Tabla2[[#This Row],[Ventas PH]]</f>
        <v>69699970.5</v>
      </c>
      <c r="L10" s="16"/>
      <c r="N10" s="16"/>
      <c r="O10" s="16">
        <f>Tabla2[[#This Row],[Caja Final PH]]-N10*1000000</f>
        <v>69699970.5</v>
      </c>
    </row>
    <row r="11" spans="1:17" ht="15.75" thickBot="1" x14ac:dyDescent="0.3">
      <c r="B11" s="6" t="s">
        <v>29</v>
      </c>
      <c r="C11" s="67">
        <v>16793582</v>
      </c>
      <c r="D11" s="18">
        <v>1324896749</v>
      </c>
      <c r="E11" s="18">
        <v>3500000</v>
      </c>
      <c r="F11" s="19"/>
      <c r="G11" s="20">
        <f>SUMIFS(SubidosIRF!$S:$S,SubidosIRF!$M:$M,B11,SubidosIRF!I:I,"PH")+SUMIFS(SubidosIIF!$R:$R,SubidosIIF!$M:$M,$B11,SubidosIIF!$I:$I,"PH")+SUMIFS(SubidosIRF!$S:$S,SubidosIRF!$M:$M,B11,SubidosIRF!I:I,"PHOD")+SUMIFS(SubidosIIF!$R:$R,SubidosIIF!$M:$M,$B11,SubidosIIF!$I:$I,"PHOD")</f>
        <v>1290937846.5</v>
      </c>
      <c r="H11" s="20">
        <f>SUMIFS(SubidosIRF!$S:$S,SubidosIRF!$L:$L,Tabla2[[#This Row],[Fondo]],SubidosIRF!I:I,"PH")+SUMIFS(SubidosIIF!$R:$R,SubidosIIF!$L:$L,ResumenFondos!B11,SubidosIIF!I:I,"PH")+SUMIFS(SubidosIRF!$S:$S,SubidosIRF!$L:$L,Tabla2[[#This Row],[Fondo]],SubidosIRF!I:I,"PHOD")+SUMIFS(SubidosIIF!$R:$R,SubidosIIF!$L:$L,ResumenFondos!B11,SubidosIIF!I:I,"PHOD")</f>
        <v>0</v>
      </c>
      <c r="I11" s="25">
        <f>SUMIFS(SubidosIRF!$S:$S,SubidosIRF!$M:$M,B11,SubidosIRF!I:I,"PM")+SUMIFS(SubidosIIF!$R:$R,SubidosIIF!$M:$M,$B11,SubidosIIF!$I:$I,"PM")+SUMIFS(SubidosIRF!$S:$S,SubidosIRF!$M:$M,B11,SubidosIRF!I:I,"PMOD")+SUMIFS(SubidosIIF!$R:$R,SubidosIIF!$M:$M,$B11,SubidosIIF!$I:$I,"PMOD")</f>
        <v>272938669</v>
      </c>
      <c r="J11" s="25">
        <f>SUMIFS(SubidosIRF!$S:$S,SubidosIRF!$L:$L,Tabla2[[#This Row],[Fondo]],SubidosIRF!$I:$I,"PM")+SUMIFS(SubidosIIF!$R:$R,SubidosIIF!$L:$L,ResumenFondos!B11,SubidosIIF!$I:$I,"PM")+SUMIFS(SubidosIRF!$S:$S,SubidosIRF!$L:$L,Tabla2[[#This Row],[Fondo]],SubidosIRF!$I:$I,"PMOD")+SUMIFS(SubidosIIF!$R:$R,SubidosIIF!$L:$L,ResumenFondos!B11,SubidosIIF!$I:$I,"PMOD")</f>
        <v>0</v>
      </c>
      <c r="K11" s="22">
        <f>+Tabla2[[#This Row],[Saldo Inicial]]+Tabla2[[#This Row],[Ingresos]]-Tabla2[[#This Row],[Egresos]]+Tabla2[[#This Row],[Aportes]]-Tabla2[[#This Row],[Compras PH]]+Tabla2[[#This Row],[Ventas PH]]</f>
        <v>47252484.5</v>
      </c>
      <c r="L11" s="16"/>
      <c r="N11" s="16"/>
      <c r="O11" s="16">
        <f>Tabla2[[#This Row],[Caja Final PH]]-N11*1000000</f>
        <v>47252484.5</v>
      </c>
    </row>
    <row r="12" spans="1:17" ht="15.75" thickBot="1" x14ac:dyDescent="0.3">
      <c r="B12" s="26" t="s">
        <v>30</v>
      </c>
      <c r="C12" s="68">
        <v>8945890</v>
      </c>
      <c r="D12" s="18">
        <v>114077076</v>
      </c>
      <c r="E12" s="18">
        <v>4662142649</v>
      </c>
      <c r="F12" s="57"/>
      <c r="G12" s="20">
        <f>SUMIFS(SubidosIRF!$S:$S,SubidosIRF!$M:$M,B12,SubidosIRF!I:I,"PH")+SUMIFS(SubidosIIF!$R:$R,SubidosIIF!$M:$M,$B12,SubidosIIF!$I:$I,"PH")+SUMIFS(SubidosIRF!$S:$S,SubidosIRF!$M:$M,B12,SubidosIRF!I:I,"PHOD")+SUMIFS(SubidosIIF!$R:$R,SubidosIIF!$M:$M,$B12,SubidosIIF!$I:$I,"PHOD")</f>
        <v>0</v>
      </c>
      <c r="H12" s="59">
        <f>SUMIFS(SubidosIRF!$S:$S,SubidosIRF!$L:$L,Tabla2[[#This Row],[Fondo]],SubidosIRF!I:I,"PH")+SUMIFS(SubidosIIF!$R:$R,SubidosIIF!$L:$L,ResumenFondos!B12,SubidosIIF!I:I,"PH")+SUMIFS(SubidosIRF!$S:$S,SubidosIRF!$L:$L,Tabla2[[#This Row],[Fondo]],SubidosIRF!I:I,"PHOD")+SUMIFS(SubidosIIF!$R:$R,SubidosIIF!$L:$L,ResumenFondos!B12,SubidosIIF!I:I,"PHOD")</f>
        <v>0</v>
      </c>
      <c r="I12" s="60">
        <f>SUMIFS(SubidosIRF!$S:$S,SubidosIRF!$M:$M,B12,SubidosIRF!I:I,"PM")+SUMIFS(SubidosIIF!$R:$R,SubidosIIF!$M:$M,$B12,SubidosIIF!$I:$I,"PM")+SUMIFS(SubidosIRF!$S:$S,SubidosIRF!$M:$M,B12,SubidosIRF!I:I,"PMOD")+SUMIFS(SubidosIIF!$R:$R,SubidosIIF!$M:$M,$B12,SubidosIIF!$I:$I,"PMOD")</f>
        <v>0</v>
      </c>
      <c r="J12" s="60">
        <f>SUMIFS(SubidosIRF!$S:$S,SubidosIRF!$L:$L,Tabla2[[#This Row],[Fondo]],SubidosIRF!$I:$I,"PM")+SUMIFS(SubidosIIF!$R:$R,SubidosIIF!$L:$L,ResumenFondos!B12,SubidosIIF!$I:$I,"PM")+SUMIFS(SubidosIRF!$S:$S,SubidosIRF!$L:$L,Tabla2[[#This Row],[Fondo]],SubidosIRF!$I:$I,"PMOD")+SUMIFS(SubidosIIF!$R:$R,SubidosIIF!$L:$L,ResumenFondos!B12,SubidosIIF!$I:$I,"PMOD")</f>
        <v>0</v>
      </c>
      <c r="K12" s="62">
        <f>+Tabla2[[#This Row],[Saldo Inicial]]+Tabla2[[#This Row],[Ingresos]]-Tabla2[[#This Row],[Egresos]]+Tabla2[[#This Row],[Aportes]]-Tabla2[[#This Row],[Compras PH]]+Tabla2[[#This Row],[Ventas PH]]</f>
        <v>-4539119683</v>
      </c>
      <c r="L12" s="16"/>
      <c r="M12" s="16"/>
      <c r="N12" s="16"/>
      <c r="O12" s="16">
        <f>Tabla2[[#This Row],[Caja Final PH]]-N12*1000000</f>
        <v>-4539119683</v>
      </c>
    </row>
    <row r="13" spans="1:17" x14ac:dyDescent="0.25">
      <c r="B13" s="5" t="s">
        <v>52</v>
      </c>
      <c r="C13" s="4"/>
      <c r="D13" s="4"/>
      <c r="E13" s="4"/>
      <c r="F13" s="4"/>
      <c r="G13" s="53">
        <f>+SUM(Tabla2[Compras PH])</f>
        <v>8601806850</v>
      </c>
      <c r="H13" s="54">
        <f>+SUM(Tabla2[Ventas PH])</f>
        <v>7265800339</v>
      </c>
      <c r="I13" s="53">
        <f>SUM(Tabla2[Compras PM])</f>
        <v>578482848</v>
      </c>
      <c r="J13" s="54">
        <f>SUM(Tabla2[Ventas PM])</f>
        <v>638959040</v>
      </c>
      <c r="K13" s="4"/>
      <c r="L13" s="16"/>
    </row>
    <row r="14" spans="1:17" x14ac:dyDescent="0.25">
      <c r="L14" s="16"/>
    </row>
    <row r="15" spans="1:17" ht="21.75" thickBot="1" x14ac:dyDescent="0.3">
      <c r="B15" s="14" t="s">
        <v>46</v>
      </c>
      <c r="L15" s="16"/>
      <c r="Q15" s="27"/>
    </row>
    <row r="16" spans="1:17" ht="15.75" thickBot="1" x14ac:dyDescent="0.3">
      <c r="B16" s="28" t="s">
        <v>15</v>
      </c>
      <c r="C16" s="29" t="s">
        <v>38</v>
      </c>
      <c r="D16" s="29" t="s">
        <v>39</v>
      </c>
      <c r="E16" s="29" t="s">
        <v>40</v>
      </c>
      <c r="F16" s="29" t="s">
        <v>42</v>
      </c>
      <c r="G16" s="29" t="s">
        <v>41</v>
      </c>
      <c r="H16" s="30" t="s">
        <v>44</v>
      </c>
      <c r="I16" s="29" t="s">
        <v>47</v>
      </c>
      <c r="J16" s="30" t="s">
        <v>48</v>
      </c>
      <c r="K16" s="63" t="s">
        <v>43</v>
      </c>
    </row>
    <row r="17" spans="2:17" ht="15.75" thickBot="1" x14ac:dyDescent="0.3">
      <c r="B17" s="31" t="s">
        <v>45</v>
      </c>
      <c r="C17" s="32">
        <f>+B22</f>
        <v>3249331.8316706419</v>
      </c>
      <c r="D17" s="33"/>
      <c r="E17" s="33"/>
      <c r="F17" s="34"/>
      <c r="N17" s="35"/>
      <c r="Q17" s="27"/>
    </row>
    <row r="18" spans="2:17" ht="15.75" thickBot="1" x14ac:dyDescent="0.3">
      <c r="B18" s="36" t="s">
        <v>24</v>
      </c>
      <c r="C18" s="37">
        <f>+B28</f>
        <v>252852.60891960358</v>
      </c>
      <c r="D18" s="38"/>
      <c r="E18" s="38"/>
      <c r="F18" s="39"/>
      <c r="G18" s="40">
        <f>SUMIFS(SubidosIRF!$S:$S,SubidosIRF!$M:$M,B18,SubidosIRF!I:I,"PH")+SUMIFS(SubidosIIF!$R:$R,SubidosIIF!$M:$M,$B18,SubidosIIF!$I:$I,"PH")</f>
        <v>199981.66</v>
      </c>
      <c r="H18" s="40">
        <f>SUMIFS(SubidosIRF!$S:$S,SubidosIRF!$L:$L,Tabla2[[#This Row],[Fondo]],SubidosIRF!I:I,"PH")+SUMIFS(SubidosIIF!$R:$R,SubidosIIF!$L:$L,ResumenFondos!B18,SubidosIIF!I:I,"PH")</f>
        <v>0</v>
      </c>
      <c r="I18" s="40"/>
      <c r="J18" s="40"/>
      <c r="K18" s="41">
        <f>C18+D18+F18-G18+H18-E18</f>
        <v>52870.948919603572</v>
      </c>
      <c r="N18" s="35"/>
      <c r="O18">
        <f>+K18-N18*1000</f>
        <v>52870.948919603572</v>
      </c>
    </row>
    <row r="19" spans="2:17" ht="15.75" thickBot="1" x14ac:dyDescent="0.3">
      <c r="B19" s="42"/>
      <c r="C19" s="43">
        <f>+B32</f>
        <v>7916.0330000012182</v>
      </c>
      <c r="D19" s="44"/>
      <c r="E19" s="44"/>
      <c r="F19" s="45"/>
      <c r="N19" s="27"/>
    </row>
    <row r="20" spans="2:17" x14ac:dyDescent="0.25">
      <c r="D20">
        <f t="shared" ref="D20:F20" si="0">SUM(D17:D19)</f>
        <v>0</v>
      </c>
      <c r="E20">
        <f t="shared" si="0"/>
        <v>0</v>
      </c>
      <c r="F20">
        <f t="shared" si="0"/>
        <v>0</v>
      </c>
      <c r="K20" s="46"/>
      <c r="Q20" s="27"/>
    </row>
    <row r="21" spans="2:17" ht="15.75" thickBot="1" x14ac:dyDescent="0.3">
      <c r="I21" s="35"/>
    </row>
    <row r="22" spans="2:17" x14ac:dyDescent="0.25">
      <c r="B22" s="76">
        <v>3249331.8316706419</v>
      </c>
      <c r="I22" s="27"/>
      <c r="J22" s="27"/>
      <c r="K22" s="27"/>
      <c r="L22" s="27"/>
      <c r="M22" s="27"/>
      <c r="N22" s="27"/>
      <c r="O22" s="27"/>
    </row>
    <row r="23" spans="2:17" x14ac:dyDescent="0.25">
      <c r="B23" s="77"/>
      <c r="J23" s="27"/>
      <c r="K23" s="27"/>
      <c r="L23" s="27"/>
      <c r="M23" s="27"/>
      <c r="N23" s="27"/>
      <c r="O23" s="27"/>
    </row>
    <row r="24" spans="2:17" x14ac:dyDescent="0.25">
      <c r="B24" s="77"/>
      <c r="E24" s="48"/>
      <c r="J24" s="27"/>
      <c r="K24" s="27"/>
      <c r="L24" s="27"/>
      <c r="M24" s="27"/>
      <c r="N24" s="27"/>
      <c r="O24" s="27"/>
    </row>
    <row r="25" spans="2:17" x14ac:dyDescent="0.25">
      <c r="B25" s="77"/>
      <c r="E25" s="72"/>
      <c r="F25" s="71"/>
      <c r="G25" s="71"/>
      <c r="H25" s="75"/>
      <c r="J25" s="27"/>
      <c r="K25" s="27"/>
      <c r="L25" s="27"/>
      <c r="M25" s="27"/>
      <c r="N25" s="27"/>
      <c r="O25" s="27"/>
    </row>
    <row r="26" spans="2:17" x14ac:dyDescent="0.25">
      <c r="B26" s="77"/>
      <c r="D26" s="66"/>
      <c r="E26" s="71"/>
      <c r="F26" s="71"/>
      <c r="G26" s="71"/>
      <c r="H26" s="71"/>
      <c r="I26" s="71"/>
      <c r="J26" s="27"/>
      <c r="K26" s="27"/>
      <c r="L26" s="27"/>
      <c r="M26" s="27"/>
      <c r="N26" s="27"/>
      <c r="O26" s="27"/>
      <c r="P26" s="48"/>
    </row>
    <row r="27" spans="2:17" ht="15.75" thickBot="1" x14ac:dyDescent="0.3">
      <c r="B27" s="78"/>
      <c r="E27" s="71"/>
      <c r="F27" s="72"/>
      <c r="G27" s="72"/>
      <c r="H27" s="75"/>
      <c r="I27" s="71"/>
      <c r="J27" s="27"/>
      <c r="K27" s="27"/>
      <c r="L27" s="27"/>
      <c r="M27" s="27"/>
      <c r="N27" s="27"/>
      <c r="O27" s="27"/>
      <c r="P27" s="48"/>
      <c r="Q27" s="48"/>
    </row>
    <row r="28" spans="2:17" x14ac:dyDescent="0.25">
      <c r="B28" s="49">
        <v>252852.60891960358</v>
      </c>
      <c r="E28" s="72"/>
      <c r="F28" s="71"/>
      <c r="G28" s="71"/>
      <c r="H28" s="71"/>
      <c r="I28" s="71"/>
      <c r="J28" s="74"/>
      <c r="K28" s="27"/>
      <c r="L28" s="27"/>
      <c r="M28" s="27"/>
      <c r="N28" s="27"/>
      <c r="O28" s="27"/>
      <c r="P28" s="48"/>
      <c r="Q28" s="48"/>
    </row>
    <row r="29" spans="2:17" ht="15.75" thickBot="1" x14ac:dyDescent="0.3">
      <c r="B29" s="50"/>
      <c r="E29" s="71"/>
      <c r="F29" s="71"/>
      <c r="G29" s="71"/>
      <c r="H29" s="71"/>
      <c r="I29" s="71"/>
      <c r="J29" s="27"/>
      <c r="K29" s="27"/>
      <c r="L29" s="27"/>
      <c r="M29" s="27"/>
      <c r="N29" s="27"/>
      <c r="O29" s="27"/>
      <c r="P29" s="48"/>
      <c r="Q29" s="48"/>
    </row>
    <row r="30" spans="2:17" ht="15.75" hidden="1" customHeight="1" x14ac:dyDescent="0.25">
      <c r="B30" s="50"/>
      <c r="E30" s="71"/>
      <c r="F30" s="71"/>
      <c r="G30" s="71"/>
      <c r="H30" s="71"/>
      <c r="I30" s="71"/>
      <c r="J30" s="27"/>
      <c r="K30" s="27"/>
      <c r="L30" s="27"/>
      <c r="M30" s="27"/>
      <c r="N30" s="27"/>
      <c r="O30" s="27"/>
      <c r="P30" s="48"/>
      <c r="Q30" s="48"/>
    </row>
    <row r="31" spans="2:17" ht="15.75" hidden="1" customHeight="1" thickBot="1" x14ac:dyDescent="0.3">
      <c r="B31" s="51"/>
      <c r="E31" s="71"/>
      <c r="F31" s="71"/>
      <c r="G31" s="71"/>
      <c r="H31" s="71"/>
      <c r="I31" s="71"/>
      <c r="J31" s="27"/>
      <c r="K31" s="27"/>
      <c r="L31" s="27"/>
      <c r="M31" s="27"/>
      <c r="N31" s="27"/>
      <c r="O31" s="27"/>
      <c r="P31" s="48"/>
      <c r="Q31" s="48"/>
    </row>
    <row r="32" spans="2:17" x14ac:dyDescent="0.25">
      <c r="B32" s="79">
        <v>7916.0330000012182</v>
      </c>
      <c r="E32" s="71"/>
      <c r="F32" s="72"/>
      <c r="G32" s="71"/>
      <c r="H32" s="71"/>
      <c r="I32" s="71"/>
      <c r="J32" s="27"/>
      <c r="K32" s="27"/>
      <c r="L32" s="27"/>
      <c r="M32" s="27"/>
      <c r="N32" s="27"/>
      <c r="O32" s="27"/>
      <c r="P32" s="48"/>
      <c r="Q32" s="48"/>
    </row>
    <row r="33" spans="2:18" x14ac:dyDescent="0.25">
      <c r="B33" s="80"/>
      <c r="E33" s="71"/>
      <c r="F33" s="71"/>
      <c r="G33" s="71"/>
      <c r="H33" s="71"/>
      <c r="I33" s="71"/>
      <c r="J33" s="27"/>
      <c r="K33" s="27"/>
      <c r="L33" s="27"/>
      <c r="M33" s="27"/>
      <c r="N33" s="27"/>
      <c r="O33" s="27"/>
      <c r="P33" s="48"/>
      <c r="Q33" s="48"/>
    </row>
    <row r="34" spans="2:18" x14ac:dyDescent="0.25">
      <c r="B34" s="80"/>
      <c r="E34" s="72"/>
      <c r="F34" s="71"/>
      <c r="G34" s="71"/>
      <c r="H34" s="71"/>
      <c r="I34" s="71"/>
      <c r="J34" s="27"/>
      <c r="K34" s="27"/>
      <c r="L34" s="27"/>
      <c r="M34" s="27"/>
      <c r="N34" s="27"/>
      <c r="O34" s="27"/>
      <c r="P34" s="48"/>
      <c r="Q34" s="48"/>
    </row>
    <row r="35" spans="2:18" ht="15.75" thickBot="1" x14ac:dyDescent="0.3">
      <c r="B35" s="81"/>
      <c r="E35" s="71"/>
      <c r="F35" s="71"/>
      <c r="G35" s="71"/>
      <c r="H35" s="71"/>
      <c r="I35" s="71"/>
      <c r="O35" s="48"/>
      <c r="P35" s="48"/>
      <c r="Q35" s="48"/>
    </row>
    <row r="36" spans="2:18" x14ac:dyDescent="0.25">
      <c r="E36" s="47"/>
      <c r="F36" s="47"/>
      <c r="G36" s="47"/>
      <c r="H36" s="47"/>
      <c r="I36" s="52"/>
      <c r="O36" s="48"/>
      <c r="P36" s="48"/>
      <c r="Q36" s="48"/>
    </row>
    <row r="37" spans="2:18" x14ac:dyDescent="0.25">
      <c r="I37" s="52"/>
      <c r="N37" s="48"/>
      <c r="O37" s="48"/>
      <c r="P37" s="48"/>
      <c r="Q37" s="48"/>
      <c r="R37" s="48"/>
    </row>
    <row r="38" spans="2:18" x14ac:dyDescent="0.25">
      <c r="I38" s="52"/>
      <c r="N38" s="48"/>
      <c r="O38" s="48"/>
      <c r="P38" s="48"/>
      <c r="Q38" s="48"/>
      <c r="R38" s="48"/>
    </row>
    <row r="39" spans="2:18" x14ac:dyDescent="0.25">
      <c r="I39" s="52"/>
      <c r="N39" s="48"/>
      <c r="O39" s="48"/>
      <c r="P39" s="48"/>
      <c r="Q39" s="48"/>
      <c r="R39" s="48"/>
    </row>
    <row r="40" spans="2:18" x14ac:dyDescent="0.25">
      <c r="I40" s="52"/>
      <c r="N40" s="48"/>
      <c r="O40" s="48"/>
      <c r="P40" s="48"/>
      <c r="Q40" s="48"/>
      <c r="R40" s="48"/>
    </row>
    <row r="41" spans="2:18" x14ac:dyDescent="0.25">
      <c r="I41" s="52"/>
      <c r="N41" s="48"/>
      <c r="O41" s="48"/>
      <c r="P41" s="48"/>
      <c r="Q41" s="48"/>
      <c r="R41" s="48"/>
    </row>
    <row r="42" spans="2:18" x14ac:dyDescent="0.25">
      <c r="N42" s="48"/>
      <c r="O42" s="48"/>
      <c r="P42" s="48"/>
      <c r="Q42" s="48"/>
      <c r="R42" s="48"/>
    </row>
    <row r="43" spans="2:18" x14ac:dyDescent="0.25">
      <c r="N43" s="48"/>
      <c r="O43" s="48"/>
      <c r="P43" s="48"/>
      <c r="Q43" s="48"/>
      <c r="R43" s="48"/>
    </row>
    <row r="44" spans="2:18" x14ac:dyDescent="0.25">
      <c r="N44" s="48"/>
      <c r="O44" s="48"/>
      <c r="P44" s="48"/>
      <c r="Q44" s="48"/>
      <c r="R44" s="48"/>
    </row>
    <row r="45" spans="2:18" x14ac:dyDescent="0.25">
      <c r="N45" s="48"/>
      <c r="O45" s="48"/>
      <c r="P45" s="48"/>
      <c r="Q45" s="48"/>
      <c r="R45" s="48"/>
    </row>
    <row r="46" spans="2:18" x14ac:dyDescent="0.25">
      <c r="N46" s="48"/>
      <c r="O46" s="48"/>
      <c r="P46" s="48"/>
      <c r="Q46" s="48"/>
      <c r="R46" s="48"/>
    </row>
    <row r="47" spans="2:18" x14ac:dyDescent="0.25">
      <c r="N47" s="48"/>
      <c r="O47" s="48"/>
      <c r="P47" s="48"/>
      <c r="Q47" s="48"/>
      <c r="R47" s="48"/>
    </row>
    <row r="48" spans="2:18" x14ac:dyDescent="0.25">
      <c r="N48" s="48"/>
      <c r="O48" s="48"/>
      <c r="P48" s="48"/>
      <c r="Q48" s="48"/>
      <c r="R48" s="48"/>
    </row>
    <row r="49" spans="14:18" x14ac:dyDescent="0.25">
      <c r="N49" s="48"/>
      <c r="O49" s="48"/>
      <c r="P49" s="48"/>
      <c r="Q49" s="48"/>
      <c r="R49" s="48"/>
    </row>
    <row r="50" spans="14:18" x14ac:dyDescent="0.25">
      <c r="N50" s="48"/>
      <c r="O50" s="48"/>
      <c r="P50" s="48"/>
      <c r="Q50" s="48"/>
      <c r="R50" s="48"/>
    </row>
    <row r="51" spans="14:18" x14ac:dyDescent="0.25">
      <c r="N51" s="48"/>
      <c r="O51" s="48"/>
      <c r="P51" s="48"/>
      <c r="Q51" s="48"/>
      <c r="R51" s="48"/>
    </row>
    <row r="52" spans="14:18" x14ac:dyDescent="0.25">
      <c r="N52" s="48"/>
      <c r="O52" s="48"/>
      <c r="P52" s="48"/>
      <c r="Q52" s="48"/>
      <c r="R52" s="48"/>
    </row>
    <row r="53" spans="14:18" x14ac:dyDescent="0.25">
      <c r="N53" s="48"/>
      <c r="O53" s="48"/>
      <c r="P53" s="48"/>
      <c r="Q53" s="48"/>
      <c r="R53" s="48"/>
    </row>
  </sheetData>
  <mergeCells count="2">
    <mergeCell ref="B22:B27"/>
    <mergeCell ref="B32:B35"/>
  </mergeCells>
  <conditionalFormatting sqref="K5:K12">
    <cfRule type="cellIs" dxfId="55" priority="2" operator="greaterThan">
      <formula>100000000</formula>
    </cfRule>
    <cfRule type="cellIs" dxfId="54" priority="3" operator="between">
      <formula>100000000</formula>
      <formula>0</formula>
    </cfRule>
    <cfRule type="cellIs" dxfId="53" priority="6" operator="lessThan">
      <formula>0</formula>
    </cfRule>
  </conditionalFormatting>
  <conditionalFormatting sqref="K18">
    <cfRule type="cellIs" dxfId="52" priority="1" operator="greaterThan">
      <formula>1000000</formula>
    </cfRule>
    <cfRule type="cellIs" dxfId="51" priority="4" operator="lessThan">
      <formula>0</formula>
    </cfRule>
    <cfRule type="cellIs" dxfId="50" priority="5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ctualizarYaSubidos">
                <anchor moveWithCells="1" sizeWithCells="1">
                  <from>
                    <xdr:col>0</xdr:col>
                    <xdr:colOff>85725</xdr:colOff>
                    <xdr:row>4</xdr:row>
                    <xdr:rowOff>180975</xdr:rowOff>
                  </from>
                  <to>
                    <xdr:col>0</xdr:col>
                    <xdr:colOff>1495425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GrabarEnviar">
                <anchor moveWithCells="1" sizeWithCells="1">
                  <from>
                    <xdr:col>0</xdr:col>
                    <xdr:colOff>95250</xdr:colOff>
                    <xdr:row>9</xdr:row>
                    <xdr:rowOff>47625</xdr:rowOff>
                  </from>
                  <to>
                    <xdr:col>0</xdr:col>
                    <xdr:colOff>1504950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S101"/>
  <sheetViews>
    <sheetView workbookViewId="0">
      <selection activeCell="C3" sqref="C3"/>
    </sheetView>
  </sheetViews>
  <sheetFormatPr baseColWidth="10" defaultRowHeight="15" x14ac:dyDescent="0.25"/>
  <cols>
    <col min="1" max="1" width="10.42578125" bestFit="1" customWidth="1"/>
    <col min="2" max="2" width="4.5703125" customWidth="1"/>
    <col min="3" max="3" width="7.140625" customWidth="1"/>
    <col min="4" max="4" width="4.42578125" customWidth="1"/>
    <col min="5" max="5" width="7" customWidth="1"/>
    <col min="6" max="6" width="6.28515625" customWidth="1"/>
    <col min="7" max="7" width="8" bestFit="1" customWidth="1"/>
    <col min="8" max="8" width="14.28515625" customWidth="1"/>
    <col min="9" max="9" width="5.85546875" bestFit="1" customWidth="1"/>
    <col min="10" max="10" width="4.5703125" customWidth="1"/>
    <col min="11" max="11" width="10.7109375" customWidth="1"/>
    <col min="12" max="12" width="12.42578125" bestFit="1" customWidth="1"/>
    <col min="13" max="13" width="12.7109375" bestFit="1" customWidth="1"/>
    <col min="14" max="14" width="11.140625" customWidth="1"/>
    <col min="15" max="15" width="10.42578125" bestFit="1" customWidth="1"/>
    <col min="16" max="16" width="11" customWidth="1"/>
    <col min="17" max="17" width="8.85546875" customWidth="1"/>
    <col min="18" max="18" width="5.5703125" bestFit="1" customWidth="1"/>
    <col min="19" max="19" width="12" bestFit="1" customWidth="1"/>
    <col min="20" max="20" width="7" customWidth="1"/>
    <col min="21" max="21" width="6.85546875" customWidth="1"/>
    <col min="22" max="22" width="12" customWidth="1"/>
    <col min="23" max="23" width="13" customWidth="1"/>
    <col min="24" max="24" width="12.42578125" customWidth="1"/>
    <col min="25" max="25" width="23.140625" customWidth="1"/>
    <col min="26" max="26" width="15.140625" customWidth="1"/>
  </cols>
  <sheetData>
    <row r="2" spans="1:19" x14ac:dyDescent="0.25">
      <c r="A2" t="s">
        <v>12</v>
      </c>
      <c r="B2" t="s">
        <v>0</v>
      </c>
      <c r="C2" t="s">
        <v>13</v>
      </c>
      <c r="D2" t="s">
        <v>1</v>
      </c>
      <c r="E2" t="s">
        <v>14</v>
      </c>
      <c r="F2" t="s">
        <v>2</v>
      </c>
      <c r="G2" t="s">
        <v>3</v>
      </c>
      <c r="H2" t="s">
        <v>4</v>
      </c>
      <c r="I2" t="s">
        <v>9</v>
      </c>
      <c r="J2" t="s">
        <v>5</v>
      </c>
      <c r="K2" t="s">
        <v>6</v>
      </c>
      <c r="L2" t="s">
        <v>8</v>
      </c>
      <c r="M2" t="s">
        <v>7</v>
      </c>
      <c r="N2" t="s">
        <v>10</v>
      </c>
      <c r="O2" t="s">
        <v>11</v>
      </c>
      <c r="P2" t="s">
        <v>16</v>
      </c>
      <c r="Q2" t="s">
        <v>17</v>
      </c>
      <c r="R2" t="s">
        <v>18</v>
      </c>
      <c r="S2" t="s">
        <v>19</v>
      </c>
    </row>
    <row r="3" spans="1:19" x14ac:dyDescent="0.25">
      <c r="A3" t="s">
        <v>53</v>
      </c>
      <c r="B3">
        <v>20</v>
      </c>
      <c r="D3">
        <v>43</v>
      </c>
      <c r="E3">
        <v>4</v>
      </c>
      <c r="F3" t="s">
        <v>54</v>
      </c>
      <c r="G3">
        <v>20057</v>
      </c>
      <c r="H3" t="s">
        <v>55</v>
      </c>
      <c r="I3" t="s">
        <v>56</v>
      </c>
      <c r="J3" t="s">
        <v>5</v>
      </c>
      <c r="K3" t="s">
        <v>57</v>
      </c>
      <c r="M3" t="s">
        <v>25</v>
      </c>
      <c r="N3">
        <v>1500</v>
      </c>
      <c r="O3" s="64" t="s">
        <v>58</v>
      </c>
      <c r="P3">
        <v>1.1399999999999999</v>
      </c>
      <c r="Q3">
        <v>101.56</v>
      </c>
      <c r="R3">
        <v>2.35</v>
      </c>
      <c r="S3">
        <v>32605510</v>
      </c>
    </row>
    <row r="4" spans="1:19" x14ac:dyDescent="0.25">
      <c r="A4" t="s">
        <v>53</v>
      </c>
      <c r="B4">
        <v>43</v>
      </c>
      <c r="C4">
        <v>3</v>
      </c>
      <c r="D4">
        <v>20</v>
      </c>
      <c r="F4" t="s">
        <v>59</v>
      </c>
      <c r="G4">
        <v>20107</v>
      </c>
      <c r="H4" t="s">
        <v>60</v>
      </c>
      <c r="I4" t="s">
        <v>56</v>
      </c>
      <c r="J4" t="s">
        <v>5</v>
      </c>
      <c r="K4" t="s">
        <v>57</v>
      </c>
      <c r="L4" t="s">
        <v>28</v>
      </c>
      <c r="N4">
        <v>1000</v>
      </c>
      <c r="O4" s="64" t="s">
        <v>61</v>
      </c>
      <c r="P4">
        <v>2.2599999999999998</v>
      </c>
      <c r="Q4">
        <v>103.87</v>
      </c>
      <c r="R4">
        <v>1.3</v>
      </c>
      <c r="S4">
        <v>27842354</v>
      </c>
    </row>
    <row r="5" spans="1:19" x14ac:dyDescent="0.25">
      <c r="A5" t="s">
        <v>53</v>
      </c>
      <c r="B5">
        <v>43</v>
      </c>
      <c r="C5">
        <v>3</v>
      </c>
      <c r="D5">
        <v>20</v>
      </c>
      <c r="F5" t="s">
        <v>59</v>
      </c>
      <c r="G5">
        <v>20108</v>
      </c>
      <c r="H5" t="s">
        <v>60</v>
      </c>
      <c r="I5" t="s">
        <v>56</v>
      </c>
      <c r="J5" t="s">
        <v>5</v>
      </c>
      <c r="K5" t="s">
        <v>57</v>
      </c>
      <c r="L5" t="s">
        <v>28</v>
      </c>
      <c r="N5">
        <v>1000</v>
      </c>
      <c r="O5" s="64" t="s">
        <v>61</v>
      </c>
      <c r="P5">
        <v>2.2599999999999998</v>
      </c>
      <c r="Q5">
        <v>103.87</v>
      </c>
      <c r="R5">
        <v>1.3</v>
      </c>
      <c r="S5">
        <v>27842354</v>
      </c>
    </row>
    <row r="6" spans="1:19" x14ac:dyDescent="0.25">
      <c r="A6" t="s">
        <v>53</v>
      </c>
      <c r="B6">
        <v>43</v>
      </c>
      <c r="C6">
        <v>3</v>
      </c>
      <c r="D6">
        <v>86</v>
      </c>
      <c r="F6" t="s">
        <v>59</v>
      </c>
      <c r="G6">
        <v>20110</v>
      </c>
      <c r="H6" t="s">
        <v>62</v>
      </c>
      <c r="I6" t="s">
        <v>56</v>
      </c>
      <c r="J6" t="s">
        <v>5</v>
      </c>
      <c r="K6" t="s">
        <v>57</v>
      </c>
      <c r="L6" t="s">
        <v>28</v>
      </c>
      <c r="N6">
        <v>1000</v>
      </c>
      <c r="O6" s="64" t="s">
        <v>63</v>
      </c>
      <c r="P6">
        <v>1.95</v>
      </c>
      <c r="Q6">
        <v>103.98</v>
      </c>
      <c r="R6">
        <v>1.25</v>
      </c>
      <c r="S6">
        <v>27734067</v>
      </c>
    </row>
    <row r="7" spans="1:19" x14ac:dyDescent="0.25">
      <c r="A7" t="s">
        <v>53</v>
      </c>
      <c r="B7">
        <v>43</v>
      </c>
      <c r="C7">
        <v>3</v>
      </c>
      <c r="D7">
        <v>86</v>
      </c>
      <c r="F7" t="s">
        <v>59</v>
      </c>
      <c r="G7">
        <v>20111</v>
      </c>
      <c r="H7" t="s">
        <v>62</v>
      </c>
      <c r="I7" t="s">
        <v>56</v>
      </c>
      <c r="J7" t="s">
        <v>5</v>
      </c>
      <c r="K7" t="s">
        <v>57</v>
      </c>
      <c r="L7" t="s">
        <v>28</v>
      </c>
      <c r="N7">
        <v>1000</v>
      </c>
      <c r="O7" s="64" t="s">
        <v>63</v>
      </c>
      <c r="P7">
        <v>1.95</v>
      </c>
      <c r="Q7">
        <v>103.98</v>
      </c>
      <c r="R7">
        <v>1.25</v>
      </c>
      <c r="S7">
        <v>27734067</v>
      </c>
    </row>
    <row r="8" spans="1:19" x14ac:dyDescent="0.25">
      <c r="A8" t="s">
        <v>53</v>
      </c>
      <c r="B8">
        <v>43</v>
      </c>
      <c r="C8">
        <v>3</v>
      </c>
      <c r="D8">
        <v>66</v>
      </c>
      <c r="F8" t="s">
        <v>86</v>
      </c>
      <c r="G8">
        <v>20166</v>
      </c>
      <c r="H8" t="s">
        <v>89</v>
      </c>
      <c r="I8" t="s">
        <v>56</v>
      </c>
      <c r="J8" t="s">
        <v>5</v>
      </c>
      <c r="K8" t="s">
        <v>57</v>
      </c>
      <c r="L8" t="s">
        <v>25</v>
      </c>
      <c r="N8">
        <v>1000</v>
      </c>
      <c r="O8" s="64" t="s">
        <v>68</v>
      </c>
      <c r="P8">
        <v>1.94</v>
      </c>
      <c r="Q8">
        <v>103.18</v>
      </c>
      <c r="R8">
        <v>1.34</v>
      </c>
      <c r="S8">
        <v>27723625</v>
      </c>
    </row>
    <row r="9" spans="1:19" x14ac:dyDescent="0.25">
      <c r="A9" t="s">
        <v>53</v>
      </c>
      <c r="B9">
        <v>43</v>
      </c>
      <c r="C9">
        <v>3</v>
      </c>
      <c r="D9">
        <v>66</v>
      </c>
      <c r="F9" t="s">
        <v>86</v>
      </c>
      <c r="G9">
        <v>20167</v>
      </c>
      <c r="H9" t="s">
        <v>89</v>
      </c>
      <c r="I9" t="s">
        <v>56</v>
      </c>
      <c r="J9" t="s">
        <v>5</v>
      </c>
      <c r="K9" t="s">
        <v>57</v>
      </c>
      <c r="L9" t="s">
        <v>28</v>
      </c>
      <c r="N9">
        <v>1000</v>
      </c>
      <c r="O9" s="64" t="s">
        <v>68</v>
      </c>
      <c r="P9">
        <v>1.94</v>
      </c>
      <c r="Q9">
        <v>103.18</v>
      </c>
      <c r="R9">
        <v>1.34</v>
      </c>
      <c r="S9">
        <v>27723625</v>
      </c>
    </row>
    <row r="10" spans="1:19" x14ac:dyDescent="0.25">
      <c r="A10" t="s">
        <v>53</v>
      </c>
      <c r="B10">
        <v>43</v>
      </c>
      <c r="C10">
        <v>3</v>
      </c>
      <c r="D10">
        <v>66</v>
      </c>
      <c r="F10" t="s">
        <v>86</v>
      </c>
      <c r="G10">
        <v>20168</v>
      </c>
      <c r="H10" t="s">
        <v>89</v>
      </c>
      <c r="I10" t="s">
        <v>56</v>
      </c>
      <c r="J10" t="s">
        <v>5</v>
      </c>
      <c r="K10" t="s">
        <v>57</v>
      </c>
      <c r="L10" t="s">
        <v>28</v>
      </c>
      <c r="N10">
        <v>1000</v>
      </c>
      <c r="O10" s="64" t="s">
        <v>68</v>
      </c>
      <c r="P10">
        <v>1.94</v>
      </c>
      <c r="Q10">
        <v>103.18</v>
      </c>
      <c r="R10">
        <v>1.34</v>
      </c>
      <c r="S10">
        <v>27723625</v>
      </c>
    </row>
    <row r="11" spans="1:19" x14ac:dyDescent="0.25">
      <c r="A11" t="s">
        <v>53</v>
      </c>
      <c r="B11">
        <v>43</v>
      </c>
      <c r="C11">
        <v>3</v>
      </c>
      <c r="D11">
        <v>66</v>
      </c>
      <c r="F11" t="s">
        <v>86</v>
      </c>
      <c r="G11">
        <v>20169</v>
      </c>
      <c r="H11" t="s">
        <v>89</v>
      </c>
      <c r="I11" t="s">
        <v>56</v>
      </c>
      <c r="J11" t="s">
        <v>5</v>
      </c>
      <c r="K11" t="s">
        <v>57</v>
      </c>
      <c r="L11" t="s">
        <v>28</v>
      </c>
      <c r="N11">
        <v>1000</v>
      </c>
      <c r="O11" s="64" t="s">
        <v>68</v>
      </c>
      <c r="P11">
        <v>1.94</v>
      </c>
      <c r="Q11">
        <v>103.18</v>
      </c>
      <c r="R11">
        <v>1.34</v>
      </c>
      <c r="S11">
        <v>27723625</v>
      </c>
    </row>
    <row r="12" spans="1:19" x14ac:dyDescent="0.25">
      <c r="A12" t="s">
        <v>53</v>
      </c>
      <c r="B12">
        <v>43</v>
      </c>
      <c r="C12">
        <v>3</v>
      </c>
      <c r="D12">
        <v>66</v>
      </c>
      <c r="F12" t="s">
        <v>86</v>
      </c>
      <c r="G12">
        <v>20170</v>
      </c>
      <c r="H12" t="s">
        <v>89</v>
      </c>
      <c r="I12" t="s">
        <v>56</v>
      </c>
      <c r="J12" t="s">
        <v>5</v>
      </c>
      <c r="K12" t="s">
        <v>57</v>
      </c>
      <c r="L12" t="s">
        <v>28</v>
      </c>
      <c r="N12">
        <v>1000</v>
      </c>
      <c r="O12" s="64" t="s">
        <v>68</v>
      </c>
      <c r="P12">
        <v>1.94</v>
      </c>
      <c r="Q12">
        <v>103.18</v>
      </c>
      <c r="R12">
        <v>1.34</v>
      </c>
      <c r="S12">
        <v>27723625</v>
      </c>
    </row>
    <row r="13" spans="1:19" x14ac:dyDescent="0.25">
      <c r="A13" t="s">
        <v>53</v>
      </c>
      <c r="B13">
        <v>43</v>
      </c>
      <c r="C13">
        <v>3</v>
      </c>
      <c r="D13">
        <v>66</v>
      </c>
      <c r="F13" t="s">
        <v>86</v>
      </c>
      <c r="G13">
        <v>20171</v>
      </c>
      <c r="H13" t="s">
        <v>89</v>
      </c>
      <c r="I13" t="s">
        <v>56</v>
      </c>
      <c r="J13" t="s">
        <v>5</v>
      </c>
      <c r="K13" t="s">
        <v>57</v>
      </c>
      <c r="L13" t="s">
        <v>28</v>
      </c>
      <c r="N13">
        <v>1000</v>
      </c>
      <c r="O13" s="64" t="s">
        <v>68</v>
      </c>
      <c r="P13">
        <v>1.94</v>
      </c>
      <c r="Q13">
        <v>103.18</v>
      </c>
      <c r="R13">
        <v>1.34</v>
      </c>
      <c r="S13">
        <v>27723625</v>
      </c>
    </row>
    <row r="14" spans="1:19" x14ac:dyDescent="0.25">
      <c r="A14" t="s">
        <v>53</v>
      </c>
      <c r="B14">
        <v>43</v>
      </c>
      <c r="C14">
        <v>3</v>
      </c>
      <c r="D14">
        <v>66</v>
      </c>
      <c r="F14" t="s">
        <v>86</v>
      </c>
      <c r="G14">
        <v>20172</v>
      </c>
      <c r="H14" t="s">
        <v>89</v>
      </c>
      <c r="I14" t="s">
        <v>56</v>
      </c>
      <c r="J14" t="s">
        <v>5</v>
      </c>
      <c r="K14" t="s">
        <v>57</v>
      </c>
      <c r="L14" t="s">
        <v>28</v>
      </c>
      <c r="N14">
        <v>1000</v>
      </c>
      <c r="O14" s="64" t="s">
        <v>68</v>
      </c>
      <c r="P14">
        <v>1.94</v>
      </c>
      <c r="Q14">
        <v>103.18</v>
      </c>
      <c r="R14">
        <v>1.34</v>
      </c>
      <c r="S14">
        <v>27723625</v>
      </c>
    </row>
    <row r="15" spans="1:19" x14ac:dyDescent="0.25">
      <c r="A15" t="s">
        <v>53</v>
      </c>
      <c r="B15">
        <v>43</v>
      </c>
      <c r="C15">
        <v>3</v>
      </c>
      <c r="D15">
        <v>66</v>
      </c>
      <c r="F15" t="s">
        <v>86</v>
      </c>
      <c r="G15">
        <v>20173</v>
      </c>
      <c r="H15" t="s">
        <v>89</v>
      </c>
      <c r="I15" t="s">
        <v>56</v>
      </c>
      <c r="J15" t="s">
        <v>5</v>
      </c>
      <c r="K15" t="s">
        <v>57</v>
      </c>
      <c r="L15" t="s">
        <v>25</v>
      </c>
      <c r="N15">
        <v>1000</v>
      </c>
      <c r="O15" s="64" t="s">
        <v>68</v>
      </c>
      <c r="P15">
        <v>1.94</v>
      </c>
      <c r="Q15">
        <v>103.18</v>
      </c>
      <c r="R15">
        <v>1.34</v>
      </c>
      <c r="S15">
        <v>27723625</v>
      </c>
    </row>
    <row r="16" spans="1:19" x14ac:dyDescent="0.25">
      <c r="A16" t="s">
        <v>53</v>
      </c>
      <c r="B16">
        <v>43</v>
      </c>
      <c r="C16">
        <v>3</v>
      </c>
      <c r="D16">
        <v>66</v>
      </c>
      <c r="F16" t="s">
        <v>86</v>
      </c>
      <c r="G16">
        <v>20174</v>
      </c>
      <c r="H16" t="s">
        <v>89</v>
      </c>
      <c r="I16" t="s">
        <v>56</v>
      </c>
      <c r="J16" t="s">
        <v>5</v>
      </c>
      <c r="K16" t="s">
        <v>57</v>
      </c>
      <c r="L16" t="s">
        <v>25</v>
      </c>
      <c r="N16">
        <v>1000</v>
      </c>
      <c r="O16" s="64" t="s">
        <v>68</v>
      </c>
      <c r="P16">
        <v>1.94</v>
      </c>
      <c r="Q16">
        <v>103.18</v>
      </c>
      <c r="R16">
        <v>1.34</v>
      </c>
      <c r="S16">
        <v>27723625</v>
      </c>
    </row>
    <row r="17" spans="1:19" x14ac:dyDescent="0.25">
      <c r="A17" t="s">
        <v>53</v>
      </c>
      <c r="B17">
        <v>43</v>
      </c>
      <c r="C17">
        <v>3</v>
      </c>
      <c r="D17">
        <v>66</v>
      </c>
      <c r="F17" t="s">
        <v>86</v>
      </c>
      <c r="G17">
        <v>20175</v>
      </c>
      <c r="H17" t="s">
        <v>89</v>
      </c>
      <c r="I17" t="s">
        <v>56</v>
      </c>
      <c r="J17" t="s">
        <v>5</v>
      </c>
      <c r="K17" t="s">
        <v>57</v>
      </c>
      <c r="L17" t="s">
        <v>25</v>
      </c>
      <c r="N17">
        <v>1000</v>
      </c>
      <c r="O17" s="64" t="s">
        <v>68</v>
      </c>
      <c r="P17">
        <v>1.94</v>
      </c>
      <c r="Q17">
        <v>103.18</v>
      </c>
      <c r="R17">
        <v>1.34</v>
      </c>
      <c r="S17">
        <v>27723625</v>
      </c>
    </row>
    <row r="18" spans="1:19" x14ac:dyDescent="0.25">
      <c r="A18" t="s">
        <v>53</v>
      </c>
      <c r="B18">
        <v>43</v>
      </c>
      <c r="C18">
        <v>3</v>
      </c>
      <c r="D18">
        <v>66</v>
      </c>
      <c r="F18" t="s">
        <v>86</v>
      </c>
      <c r="G18">
        <v>20176</v>
      </c>
      <c r="H18" t="s">
        <v>89</v>
      </c>
      <c r="I18" t="s">
        <v>56</v>
      </c>
      <c r="J18" t="s">
        <v>5</v>
      </c>
      <c r="K18" t="s">
        <v>57</v>
      </c>
      <c r="L18" t="s">
        <v>28</v>
      </c>
      <c r="N18">
        <v>1000</v>
      </c>
      <c r="O18" s="64" t="s">
        <v>68</v>
      </c>
      <c r="P18">
        <v>1.94</v>
      </c>
      <c r="Q18">
        <v>103.18</v>
      </c>
      <c r="R18">
        <v>1.34</v>
      </c>
      <c r="S18">
        <v>27723625</v>
      </c>
    </row>
    <row r="19" spans="1:19" x14ac:dyDescent="0.25">
      <c r="A19" t="s">
        <v>53</v>
      </c>
      <c r="B19">
        <v>43</v>
      </c>
      <c r="C19">
        <v>3</v>
      </c>
      <c r="D19">
        <v>66</v>
      </c>
      <c r="F19" t="s">
        <v>86</v>
      </c>
      <c r="G19">
        <v>20177</v>
      </c>
      <c r="H19" t="s">
        <v>89</v>
      </c>
      <c r="I19" t="s">
        <v>56</v>
      </c>
      <c r="J19" t="s">
        <v>5</v>
      </c>
      <c r="K19" t="s">
        <v>57</v>
      </c>
      <c r="L19" t="s">
        <v>28</v>
      </c>
      <c r="N19">
        <v>1000</v>
      </c>
      <c r="O19" s="64" t="s">
        <v>68</v>
      </c>
      <c r="P19">
        <v>1.94</v>
      </c>
      <c r="Q19">
        <v>103.18</v>
      </c>
      <c r="R19">
        <v>1.34</v>
      </c>
      <c r="S19">
        <v>27723625</v>
      </c>
    </row>
    <row r="20" spans="1:19" x14ac:dyDescent="0.25">
      <c r="A20" t="s">
        <v>53</v>
      </c>
      <c r="B20">
        <v>43</v>
      </c>
      <c r="C20">
        <v>3</v>
      </c>
      <c r="D20">
        <v>66</v>
      </c>
      <c r="F20" t="s">
        <v>86</v>
      </c>
      <c r="G20">
        <v>20178</v>
      </c>
      <c r="H20" t="s">
        <v>89</v>
      </c>
      <c r="I20" t="s">
        <v>56</v>
      </c>
      <c r="J20" t="s">
        <v>5</v>
      </c>
      <c r="K20" t="s">
        <v>57</v>
      </c>
      <c r="L20" t="s">
        <v>28</v>
      </c>
      <c r="N20">
        <v>1000</v>
      </c>
      <c r="O20" s="64" t="s">
        <v>68</v>
      </c>
      <c r="P20">
        <v>1.94</v>
      </c>
      <c r="Q20">
        <v>103.18</v>
      </c>
      <c r="R20">
        <v>1.34</v>
      </c>
      <c r="S20">
        <v>27723625</v>
      </c>
    </row>
    <row r="21" spans="1:19" x14ac:dyDescent="0.25">
      <c r="A21" t="s">
        <v>53</v>
      </c>
      <c r="B21">
        <v>43</v>
      </c>
      <c r="C21">
        <v>3</v>
      </c>
      <c r="D21">
        <v>66</v>
      </c>
      <c r="F21" t="s">
        <v>86</v>
      </c>
      <c r="G21">
        <v>20179</v>
      </c>
      <c r="H21" t="s">
        <v>89</v>
      </c>
      <c r="I21" t="s">
        <v>56</v>
      </c>
      <c r="J21" t="s">
        <v>5</v>
      </c>
      <c r="K21" t="s">
        <v>57</v>
      </c>
      <c r="L21" t="s">
        <v>28</v>
      </c>
      <c r="N21">
        <v>1000</v>
      </c>
      <c r="O21" s="64" t="s">
        <v>68</v>
      </c>
      <c r="P21">
        <v>1.94</v>
      </c>
      <c r="Q21">
        <v>103.18</v>
      </c>
      <c r="R21">
        <v>1.34</v>
      </c>
      <c r="S21">
        <v>27723625</v>
      </c>
    </row>
    <row r="22" spans="1:19" x14ac:dyDescent="0.25">
      <c r="A22" t="s">
        <v>53</v>
      </c>
      <c r="B22">
        <v>43</v>
      </c>
      <c r="C22">
        <v>3</v>
      </c>
      <c r="D22">
        <v>66</v>
      </c>
      <c r="F22" t="s">
        <v>86</v>
      </c>
      <c r="G22">
        <v>20180</v>
      </c>
      <c r="H22" t="s">
        <v>89</v>
      </c>
      <c r="I22" t="s">
        <v>56</v>
      </c>
      <c r="J22" t="s">
        <v>5</v>
      </c>
      <c r="K22" t="s">
        <v>57</v>
      </c>
      <c r="L22" t="s">
        <v>28</v>
      </c>
      <c r="N22">
        <v>1000</v>
      </c>
      <c r="O22" s="64" t="s">
        <v>68</v>
      </c>
      <c r="P22">
        <v>1.94</v>
      </c>
      <c r="Q22">
        <v>103.18</v>
      </c>
      <c r="R22">
        <v>1.34</v>
      </c>
      <c r="S22">
        <v>27723625</v>
      </c>
    </row>
    <row r="23" spans="1:19" x14ac:dyDescent="0.25">
      <c r="A23" t="s">
        <v>53</v>
      </c>
      <c r="B23">
        <v>43</v>
      </c>
      <c r="C23">
        <v>3</v>
      </c>
      <c r="D23">
        <v>66</v>
      </c>
      <c r="F23" t="s">
        <v>86</v>
      </c>
      <c r="G23">
        <v>20181</v>
      </c>
      <c r="H23" t="s">
        <v>89</v>
      </c>
      <c r="I23" t="s">
        <v>56</v>
      </c>
      <c r="J23" t="s">
        <v>5</v>
      </c>
      <c r="K23" t="s">
        <v>57</v>
      </c>
      <c r="L23" t="s">
        <v>28</v>
      </c>
      <c r="N23">
        <v>1000</v>
      </c>
      <c r="O23" s="64" t="s">
        <v>68</v>
      </c>
      <c r="P23">
        <v>1.94</v>
      </c>
      <c r="Q23">
        <v>103.18</v>
      </c>
      <c r="R23">
        <v>1.34</v>
      </c>
      <c r="S23">
        <v>27723625</v>
      </c>
    </row>
    <row r="24" spans="1:19" x14ac:dyDescent="0.25">
      <c r="A24" t="s">
        <v>53</v>
      </c>
      <c r="B24">
        <v>43</v>
      </c>
      <c r="C24">
        <v>4</v>
      </c>
      <c r="D24">
        <v>54</v>
      </c>
      <c r="F24" t="s">
        <v>86</v>
      </c>
      <c r="G24">
        <v>20184</v>
      </c>
      <c r="H24" t="s">
        <v>87</v>
      </c>
      <c r="I24" t="s">
        <v>67</v>
      </c>
      <c r="J24" t="s">
        <v>5</v>
      </c>
      <c r="K24" t="s">
        <v>57</v>
      </c>
      <c r="L24" t="s">
        <v>28</v>
      </c>
      <c r="N24">
        <v>5000</v>
      </c>
      <c r="O24" s="64" t="s">
        <v>88</v>
      </c>
      <c r="P24">
        <v>5.31</v>
      </c>
      <c r="Q24">
        <v>110.46</v>
      </c>
      <c r="R24">
        <v>1.8</v>
      </c>
      <c r="S24">
        <v>148160950</v>
      </c>
    </row>
    <row r="25" spans="1:19" x14ac:dyDescent="0.25">
      <c r="A25" t="s">
        <v>53</v>
      </c>
      <c r="B25">
        <v>43</v>
      </c>
      <c r="C25">
        <v>4</v>
      </c>
      <c r="D25">
        <v>54</v>
      </c>
      <c r="F25" t="s">
        <v>86</v>
      </c>
      <c r="G25">
        <v>20185</v>
      </c>
      <c r="H25" t="s">
        <v>87</v>
      </c>
      <c r="I25" t="s">
        <v>67</v>
      </c>
      <c r="J25" t="s">
        <v>5</v>
      </c>
      <c r="K25" t="s">
        <v>57</v>
      </c>
      <c r="L25" t="s">
        <v>26</v>
      </c>
      <c r="N25">
        <v>5000</v>
      </c>
      <c r="O25" s="64" t="s">
        <v>88</v>
      </c>
      <c r="P25">
        <v>5.31</v>
      </c>
      <c r="Q25">
        <v>110.46</v>
      </c>
      <c r="R25">
        <v>1.8</v>
      </c>
      <c r="S25">
        <v>148160950</v>
      </c>
    </row>
    <row r="26" spans="1:19" x14ac:dyDescent="0.25">
      <c r="A26" t="s">
        <v>53</v>
      </c>
      <c r="B26">
        <v>43</v>
      </c>
      <c r="C26">
        <v>4</v>
      </c>
      <c r="D26">
        <v>54</v>
      </c>
      <c r="F26" t="s">
        <v>86</v>
      </c>
      <c r="G26">
        <v>20186</v>
      </c>
      <c r="H26" t="s">
        <v>87</v>
      </c>
      <c r="I26" t="s">
        <v>67</v>
      </c>
      <c r="J26" t="s">
        <v>5</v>
      </c>
      <c r="K26" t="s">
        <v>57</v>
      </c>
      <c r="L26" t="s">
        <v>26</v>
      </c>
      <c r="N26">
        <v>5000</v>
      </c>
      <c r="O26" s="64" t="s">
        <v>88</v>
      </c>
      <c r="P26">
        <v>5.31</v>
      </c>
      <c r="Q26">
        <v>110.46</v>
      </c>
      <c r="R26">
        <v>1.8</v>
      </c>
      <c r="S26">
        <v>148160950</v>
      </c>
    </row>
    <row r="27" spans="1:19" x14ac:dyDescent="0.25">
      <c r="A27" t="s">
        <v>53</v>
      </c>
      <c r="B27">
        <v>43</v>
      </c>
      <c r="C27">
        <v>4</v>
      </c>
      <c r="D27">
        <v>54</v>
      </c>
      <c r="F27" t="s">
        <v>86</v>
      </c>
      <c r="G27">
        <v>20187</v>
      </c>
      <c r="H27" t="s">
        <v>87</v>
      </c>
      <c r="I27" t="s">
        <v>67</v>
      </c>
      <c r="J27" t="s">
        <v>5</v>
      </c>
      <c r="K27" t="s">
        <v>57</v>
      </c>
      <c r="L27" t="s">
        <v>26</v>
      </c>
      <c r="N27">
        <v>5000</v>
      </c>
      <c r="O27" s="64" t="s">
        <v>88</v>
      </c>
      <c r="P27">
        <v>5.31</v>
      </c>
      <c r="Q27">
        <v>110.46</v>
      </c>
      <c r="R27">
        <v>1.8</v>
      </c>
      <c r="S27">
        <v>148160950</v>
      </c>
    </row>
    <row r="28" spans="1:19" x14ac:dyDescent="0.25">
      <c r="A28" t="s">
        <v>53</v>
      </c>
      <c r="B28">
        <v>43</v>
      </c>
      <c r="C28">
        <v>4</v>
      </c>
      <c r="D28">
        <v>54</v>
      </c>
      <c r="F28" t="s">
        <v>86</v>
      </c>
      <c r="G28">
        <v>20188</v>
      </c>
      <c r="H28" t="s">
        <v>87</v>
      </c>
      <c r="I28" t="s">
        <v>67</v>
      </c>
      <c r="J28" t="s">
        <v>5</v>
      </c>
      <c r="K28" t="s">
        <v>57</v>
      </c>
      <c r="L28" t="s">
        <v>26</v>
      </c>
      <c r="N28">
        <v>5000</v>
      </c>
      <c r="O28" s="64" t="s">
        <v>88</v>
      </c>
      <c r="P28">
        <v>5.31</v>
      </c>
      <c r="Q28">
        <v>110.46</v>
      </c>
      <c r="R28">
        <v>1.8</v>
      </c>
      <c r="S28">
        <v>148160950</v>
      </c>
    </row>
    <row r="29" spans="1:19" x14ac:dyDescent="0.25">
      <c r="A29" t="s">
        <v>53</v>
      </c>
      <c r="B29">
        <v>43</v>
      </c>
      <c r="C29">
        <v>4</v>
      </c>
      <c r="D29">
        <v>54</v>
      </c>
      <c r="F29" t="s">
        <v>86</v>
      </c>
      <c r="G29">
        <v>20189</v>
      </c>
      <c r="H29" t="s">
        <v>87</v>
      </c>
      <c r="I29" t="s">
        <v>67</v>
      </c>
      <c r="J29" t="s">
        <v>5</v>
      </c>
      <c r="K29" t="s">
        <v>57</v>
      </c>
      <c r="L29" t="s">
        <v>28</v>
      </c>
      <c r="N29">
        <v>5000</v>
      </c>
      <c r="O29" s="64" t="s">
        <v>88</v>
      </c>
      <c r="P29">
        <v>5.31</v>
      </c>
      <c r="Q29">
        <v>110.46</v>
      </c>
      <c r="R29">
        <v>1.8</v>
      </c>
      <c r="S29">
        <v>148160950</v>
      </c>
    </row>
    <row r="30" spans="1:19" x14ac:dyDescent="0.25">
      <c r="A30" t="s">
        <v>53</v>
      </c>
      <c r="B30">
        <v>66</v>
      </c>
      <c r="C30">
        <v>3</v>
      </c>
      <c r="D30">
        <v>86</v>
      </c>
      <c r="F30" t="s">
        <v>113</v>
      </c>
      <c r="G30">
        <v>20251</v>
      </c>
      <c r="H30" t="s">
        <v>139</v>
      </c>
      <c r="I30" t="s">
        <v>56</v>
      </c>
      <c r="J30" t="s">
        <v>5</v>
      </c>
      <c r="K30" t="s">
        <v>57</v>
      </c>
      <c r="L30" t="s">
        <v>28</v>
      </c>
      <c r="N30">
        <v>1000</v>
      </c>
      <c r="O30" s="64" t="s">
        <v>140</v>
      </c>
      <c r="P30">
        <v>2</v>
      </c>
      <c r="Q30">
        <v>103.91</v>
      </c>
      <c r="R30">
        <v>1.25</v>
      </c>
      <c r="S30">
        <v>28076066</v>
      </c>
    </row>
    <row r="31" spans="1:19" x14ac:dyDescent="0.25">
      <c r="A31" t="s">
        <v>53</v>
      </c>
      <c r="B31">
        <v>66</v>
      </c>
      <c r="C31">
        <v>3</v>
      </c>
      <c r="D31">
        <v>86</v>
      </c>
      <c r="F31" t="s">
        <v>113</v>
      </c>
      <c r="G31">
        <v>20252</v>
      </c>
      <c r="H31" t="s">
        <v>139</v>
      </c>
      <c r="I31" t="s">
        <v>56</v>
      </c>
      <c r="J31" t="s">
        <v>5</v>
      </c>
      <c r="K31" t="s">
        <v>57</v>
      </c>
      <c r="L31" t="s">
        <v>28</v>
      </c>
      <c r="N31">
        <v>1000</v>
      </c>
      <c r="O31" s="64" t="s">
        <v>140</v>
      </c>
      <c r="P31">
        <v>2</v>
      </c>
      <c r="Q31">
        <v>103.91</v>
      </c>
      <c r="R31">
        <v>1.25</v>
      </c>
      <c r="S31">
        <v>28076066</v>
      </c>
    </row>
    <row r="32" spans="1:19" x14ac:dyDescent="0.25">
      <c r="A32" t="s">
        <v>53</v>
      </c>
      <c r="B32">
        <v>66</v>
      </c>
      <c r="C32">
        <v>3</v>
      </c>
      <c r="D32">
        <v>86</v>
      </c>
      <c r="F32" t="s">
        <v>113</v>
      </c>
      <c r="G32">
        <v>20253</v>
      </c>
      <c r="H32" t="s">
        <v>139</v>
      </c>
      <c r="I32" t="s">
        <v>56</v>
      </c>
      <c r="J32" t="s">
        <v>5</v>
      </c>
      <c r="K32" t="s">
        <v>57</v>
      </c>
      <c r="L32" t="s">
        <v>28</v>
      </c>
      <c r="N32">
        <v>1000</v>
      </c>
      <c r="O32" s="64" t="s">
        <v>140</v>
      </c>
      <c r="P32">
        <v>2</v>
      </c>
      <c r="Q32">
        <v>103.91</v>
      </c>
      <c r="R32">
        <v>1.25</v>
      </c>
      <c r="S32">
        <v>28076066</v>
      </c>
    </row>
    <row r="33" spans="1:19" x14ac:dyDescent="0.25">
      <c r="A33" t="s">
        <v>53</v>
      </c>
      <c r="B33">
        <v>43</v>
      </c>
      <c r="C33">
        <v>4</v>
      </c>
      <c r="D33">
        <v>54</v>
      </c>
      <c r="F33" t="s">
        <v>113</v>
      </c>
      <c r="G33">
        <v>20262</v>
      </c>
      <c r="H33" t="s">
        <v>114</v>
      </c>
      <c r="I33" t="s">
        <v>67</v>
      </c>
      <c r="J33" t="s">
        <v>5</v>
      </c>
      <c r="K33" t="s">
        <v>57</v>
      </c>
      <c r="L33" t="s">
        <v>28</v>
      </c>
      <c r="N33">
        <v>1000</v>
      </c>
      <c r="O33" s="64" t="s">
        <v>115</v>
      </c>
      <c r="P33">
        <v>4.08</v>
      </c>
      <c r="Q33">
        <v>106.31</v>
      </c>
      <c r="R33">
        <v>1.73</v>
      </c>
      <c r="S33">
        <v>28498167</v>
      </c>
    </row>
    <row r="34" spans="1:19" x14ac:dyDescent="0.25">
      <c r="A34" t="s">
        <v>53</v>
      </c>
      <c r="B34">
        <v>43</v>
      </c>
      <c r="C34">
        <v>4</v>
      </c>
      <c r="D34">
        <v>54</v>
      </c>
      <c r="F34" t="s">
        <v>113</v>
      </c>
      <c r="G34">
        <v>20263</v>
      </c>
      <c r="H34" t="s">
        <v>114</v>
      </c>
      <c r="I34" t="s">
        <v>67</v>
      </c>
      <c r="J34" t="s">
        <v>5</v>
      </c>
      <c r="K34" t="s">
        <v>57</v>
      </c>
      <c r="L34" t="s">
        <v>26</v>
      </c>
      <c r="N34">
        <v>1000</v>
      </c>
      <c r="O34" s="64" t="s">
        <v>115</v>
      </c>
      <c r="P34">
        <v>4.08</v>
      </c>
      <c r="Q34">
        <v>106.31</v>
      </c>
      <c r="R34">
        <v>1.73</v>
      </c>
      <c r="S34">
        <v>28498167</v>
      </c>
    </row>
    <row r="35" spans="1:19" x14ac:dyDescent="0.25">
      <c r="A35" t="s">
        <v>53</v>
      </c>
      <c r="B35">
        <v>43</v>
      </c>
      <c r="C35">
        <v>4</v>
      </c>
      <c r="D35">
        <v>54</v>
      </c>
      <c r="F35" t="s">
        <v>113</v>
      </c>
      <c r="G35">
        <v>20264</v>
      </c>
      <c r="H35" t="s">
        <v>114</v>
      </c>
      <c r="I35" t="s">
        <v>67</v>
      </c>
      <c r="J35" t="s">
        <v>5</v>
      </c>
      <c r="K35" t="s">
        <v>57</v>
      </c>
      <c r="L35" t="s">
        <v>26</v>
      </c>
      <c r="N35">
        <v>1000</v>
      </c>
      <c r="O35" s="64" t="s">
        <v>115</v>
      </c>
      <c r="P35">
        <v>4.08</v>
      </c>
      <c r="Q35">
        <v>106.31</v>
      </c>
      <c r="R35">
        <v>1.73</v>
      </c>
      <c r="S35">
        <v>28498167</v>
      </c>
    </row>
    <row r="36" spans="1:19" x14ac:dyDescent="0.25">
      <c r="A36" t="s">
        <v>53</v>
      </c>
      <c r="B36">
        <v>43</v>
      </c>
      <c r="C36">
        <v>4</v>
      </c>
      <c r="D36">
        <v>54</v>
      </c>
      <c r="F36" t="s">
        <v>113</v>
      </c>
      <c r="G36">
        <v>20265</v>
      </c>
      <c r="H36" t="s">
        <v>114</v>
      </c>
      <c r="I36" t="s">
        <v>67</v>
      </c>
      <c r="J36" t="s">
        <v>5</v>
      </c>
      <c r="K36" t="s">
        <v>57</v>
      </c>
      <c r="L36" t="s">
        <v>26</v>
      </c>
      <c r="N36">
        <v>1000</v>
      </c>
      <c r="O36" s="64" t="s">
        <v>115</v>
      </c>
      <c r="P36">
        <v>4.08</v>
      </c>
      <c r="Q36">
        <v>106.31</v>
      </c>
      <c r="R36">
        <v>1.73</v>
      </c>
      <c r="S36">
        <v>28498167</v>
      </c>
    </row>
    <row r="37" spans="1:19" x14ac:dyDescent="0.25">
      <c r="A37" t="s">
        <v>53</v>
      </c>
      <c r="B37">
        <v>43</v>
      </c>
      <c r="C37">
        <v>4</v>
      </c>
      <c r="D37">
        <v>54</v>
      </c>
      <c r="F37" t="s">
        <v>113</v>
      </c>
      <c r="G37">
        <v>20266</v>
      </c>
      <c r="H37" t="s">
        <v>114</v>
      </c>
      <c r="I37" t="s">
        <v>67</v>
      </c>
      <c r="J37" t="s">
        <v>5</v>
      </c>
      <c r="K37" t="s">
        <v>57</v>
      </c>
      <c r="L37" t="s">
        <v>26</v>
      </c>
      <c r="N37">
        <v>1000</v>
      </c>
      <c r="O37" s="64" t="s">
        <v>115</v>
      </c>
      <c r="P37">
        <v>4.08</v>
      </c>
      <c r="Q37">
        <v>106.31</v>
      </c>
      <c r="R37">
        <v>1.73</v>
      </c>
      <c r="S37">
        <v>28498167</v>
      </c>
    </row>
    <row r="38" spans="1:19" x14ac:dyDescent="0.25">
      <c r="A38" t="s">
        <v>53</v>
      </c>
      <c r="B38">
        <v>43</v>
      </c>
      <c r="C38">
        <v>4</v>
      </c>
      <c r="D38">
        <v>54</v>
      </c>
      <c r="F38" t="s">
        <v>113</v>
      </c>
      <c r="G38">
        <v>20267</v>
      </c>
      <c r="H38" t="s">
        <v>114</v>
      </c>
      <c r="I38" t="s">
        <v>67</v>
      </c>
      <c r="J38" t="s">
        <v>5</v>
      </c>
      <c r="K38" t="s">
        <v>57</v>
      </c>
      <c r="L38" t="s">
        <v>28</v>
      </c>
      <c r="N38">
        <v>1000</v>
      </c>
      <c r="O38" s="64" t="s">
        <v>115</v>
      </c>
      <c r="P38">
        <v>4.08</v>
      </c>
      <c r="Q38">
        <v>106.31</v>
      </c>
      <c r="R38">
        <v>1.73</v>
      </c>
      <c r="S38">
        <v>28498167</v>
      </c>
    </row>
    <row r="39" spans="1:19" x14ac:dyDescent="0.25">
      <c r="A39" t="s">
        <v>53</v>
      </c>
      <c r="B39">
        <v>43</v>
      </c>
      <c r="C39">
        <v>4</v>
      </c>
      <c r="D39">
        <v>54</v>
      </c>
      <c r="F39" t="s">
        <v>113</v>
      </c>
      <c r="G39">
        <v>20268</v>
      </c>
      <c r="H39" t="s">
        <v>114</v>
      </c>
      <c r="I39" t="s">
        <v>67</v>
      </c>
      <c r="J39" t="s">
        <v>5</v>
      </c>
      <c r="K39" t="s">
        <v>57</v>
      </c>
      <c r="L39" t="s">
        <v>28</v>
      </c>
      <c r="N39">
        <v>1000</v>
      </c>
      <c r="O39" s="64" t="s">
        <v>115</v>
      </c>
      <c r="P39">
        <v>4.08</v>
      </c>
      <c r="Q39">
        <v>106.31</v>
      </c>
      <c r="R39">
        <v>1.73</v>
      </c>
      <c r="S39">
        <v>28498167</v>
      </c>
    </row>
    <row r="40" spans="1:19" x14ac:dyDescent="0.25">
      <c r="A40" t="s">
        <v>53</v>
      </c>
      <c r="B40">
        <v>43</v>
      </c>
      <c r="C40">
        <v>4</v>
      </c>
      <c r="D40">
        <v>54</v>
      </c>
      <c r="F40" t="s">
        <v>113</v>
      </c>
      <c r="G40">
        <v>20269</v>
      </c>
      <c r="H40" t="s">
        <v>114</v>
      </c>
      <c r="I40" t="s">
        <v>67</v>
      </c>
      <c r="J40" t="s">
        <v>5</v>
      </c>
      <c r="K40" t="s">
        <v>57</v>
      </c>
      <c r="L40" t="s">
        <v>28</v>
      </c>
      <c r="N40">
        <v>1000</v>
      </c>
      <c r="O40" s="64" t="s">
        <v>115</v>
      </c>
      <c r="P40">
        <v>4.08</v>
      </c>
      <c r="Q40">
        <v>106.31</v>
      </c>
      <c r="R40">
        <v>1.73</v>
      </c>
      <c r="S40">
        <v>28498167</v>
      </c>
    </row>
    <row r="41" spans="1:19" x14ac:dyDescent="0.25">
      <c r="A41" t="s">
        <v>53</v>
      </c>
      <c r="B41">
        <v>88</v>
      </c>
      <c r="D41">
        <v>43</v>
      </c>
      <c r="E41">
        <v>3</v>
      </c>
      <c r="F41" t="s">
        <v>64</v>
      </c>
      <c r="G41">
        <v>161088</v>
      </c>
      <c r="H41" t="s">
        <v>65</v>
      </c>
      <c r="I41" t="s">
        <v>56</v>
      </c>
      <c r="J41" t="s">
        <v>5</v>
      </c>
      <c r="K41" t="s">
        <v>57</v>
      </c>
      <c r="M41" t="s">
        <v>29</v>
      </c>
      <c r="N41">
        <v>10000</v>
      </c>
      <c r="O41" s="64" t="s">
        <v>66</v>
      </c>
      <c r="P41">
        <v>3.56</v>
      </c>
      <c r="Q41">
        <v>101.83</v>
      </c>
      <c r="R41">
        <v>0.99</v>
      </c>
      <c r="S41">
        <v>272938669</v>
      </c>
    </row>
    <row r="42" spans="1:19" x14ac:dyDescent="0.25">
      <c r="A42" t="s">
        <v>53</v>
      </c>
      <c r="B42">
        <v>88</v>
      </c>
      <c r="D42">
        <v>43</v>
      </c>
      <c r="E42">
        <v>3</v>
      </c>
      <c r="F42" t="s">
        <v>64</v>
      </c>
      <c r="G42">
        <v>161089</v>
      </c>
      <c r="H42" t="s">
        <v>65</v>
      </c>
      <c r="I42" t="s">
        <v>56</v>
      </c>
      <c r="J42" t="s">
        <v>5</v>
      </c>
      <c r="K42" t="s">
        <v>57</v>
      </c>
      <c r="M42" t="s">
        <v>28</v>
      </c>
      <c r="N42">
        <v>10000</v>
      </c>
      <c r="O42" s="64" t="s">
        <v>66</v>
      </c>
      <c r="P42">
        <v>3.56</v>
      </c>
      <c r="Q42">
        <v>101.83</v>
      </c>
      <c r="R42">
        <v>0.99</v>
      </c>
      <c r="S42">
        <v>272938669</v>
      </c>
    </row>
    <row r="43" spans="1:19" x14ac:dyDescent="0.25">
      <c r="A43" t="s">
        <v>53</v>
      </c>
      <c r="B43">
        <v>54</v>
      </c>
      <c r="D43">
        <v>43</v>
      </c>
      <c r="E43">
        <v>3</v>
      </c>
      <c r="F43" t="s">
        <v>64</v>
      </c>
      <c r="G43">
        <v>161095</v>
      </c>
      <c r="H43" t="s">
        <v>65</v>
      </c>
      <c r="I43" t="s">
        <v>67</v>
      </c>
      <c r="J43" t="s">
        <v>5</v>
      </c>
      <c r="K43" t="s">
        <v>57</v>
      </c>
      <c r="M43" t="s">
        <v>28</v>
      </c>
      <c r="N43">
        <v>15000</v>
      </c>
      <c r="O43" s="64" t="s">
        <v>68</v>
      </c>
      <c r="P43">
        <v>3.57</v>
      </c>
      <c r="Q43">
        <v>101.83</v>
      </c>
      <c r="R43">
        <v>0.99</v>
      </c>
      <c r="S43">
        <v>409316782</v>
      </c>
    </row>
    <row r="44" spans="1:19" x14ac:dyDescent="0.25">
      <c r="A44" t="s">
        <v>53</v>
      </c>
      <c r="B44">
        <v>54</v>
      </c>
      <c r="D44">
        <v>43</v>
      </c>
      <c r="E44">
        <v>3</v>
      </c>
      <c r="F44" t="s">
        <v>64</v>
      </c>
      <c r="G44">
        <v>161109</v>
      </c>
      <c r="H44" t="s">
        <v>65</v>
      </c>
      <c r="I44" t="s">
        <v>67</v>
      </c>
      <c r="J44" t="s">
        <v>5</v>
      </c>
      <c r="K44" t="s">
        <v>57</v>
      </c>
      <c r="M44" t="s">
        <v>29</v>
      </c>
      <c r="N44">
        <v>10000</v>
      </c>
      <c r="O44" s="64" t="s">
        <v>68</v>
      </c>
      <c r="P44">
        <v>3.57</v>
      </c>
      <c r="Q44">
        <v>101.83</v>
      </c>
      <c r="R44">
        <v>0.99</v>
      </c>
      <c r="S44">
        <v>272877855</v>
      </c>
    </row>
    <row r="45" spans="1:19" x14ac:dyDescent="0.25">
      <c r="A45" t="s">
        <v>53</v>
      </c>
      <c r="B45">
        <v>54</v>
      </c>
      <c r="D45">
        <v>43</v>
      </c>
      <c r="E45">
        <v>3</v>
      </c>
      <c r="F45" t="s">
        <v>64</v>
      </c>
      <c r="G45">
        <v>161110</v>
      </c>
      <c r="H45" t="s">
        <v>65</v>
      </c>
      <c r="I45" t="s">
        <v>67</v>
      </c>
      <c r="J45" t="s">
        <v>5</v>
      </c>
      <c r="K45" t="s">
        <v>57</v>
      </c>
      <c r="M45" t="s">
        <v>29</v>
      </c>
      <c r="N45">
        <v>10000</v>
      </c>
      <c r="O45" s="64" t="s">
        <v>68</v>
      </c>
      <c r="P45">
        <v>3.57</v>
      </c>
      <c r="Q45">
        <v>101.83</v>
      </c>
      <c r="R45">
        <v>0.99</v>
      </c>
      <c r="S45">
        <v>272877855</v>
      </c>
    </row>
    <row r="46" spans="1:19" x14ac:dyDescent="0.25">
      <c r="A46" t="s">
        <v>53</v>
      </c>
      <c r="B46">
        <v>54</v>
      </c>
      <c r="D46">
        <v>43</v>
      </c>
      <c r="E46">
        <v>3</v>
      </c>
      <c r="F46" t="s">
        <v>64</v>
      </c>
      <c r="G46">
        <v>161111</v>
      </c>
      <c r="H46" t="s">
        <v>65</v>
      </c>
      <c r="I46" t="s">
        <v>67</v>
      </c>
      <c r="J46" t="s">
        <v>5</v>
      </c>
      <c r="K46" t="s">
        <v>57</v>
      </c>
      <c r="M46" t="s">
        <v>28</v>
      </c>
      <c r="N46">
        <v>10000</v>
      </c>
      <c r="O46" s="64" t="s">
        <v>68</v>
      </c>
      <c r="P46">
        <v>3.57</v>
      </c>
      <c r="Q46">
        <v>101.83</v>
      </c>
      <c r="R46">
        <v>0.99</v>
      </c>
      <c r="S46">
        <v>272877855</v>
      </c>
    </row>
    <row r="47" spans="1:19" x14ac:dyDescent="0.25">
      <c r="A47" t="s">
        <v>53</v>
      </c>
      <c r="B47">
        <v>54</v>
      </c>
      <c r="D47">
        <v>43</v>
      </c>
      <c r="E47">
        <v>3</v>
      </c>
      <c r="F47" t="s">
        <v>64</v>
      </c>
      <c r="G47">
        <v>161112</v>
      </c>
      <c r="H47" t="s">
        <v>65</v>
      </c>
      <c r="I47" t="s">
        <v>67</v>
      </c>
      <c r="J47" t="s">
        <v>5</v>
      </c>
      <c r="K47" t="s">
        <v>57</v>
      </c>
      <c r="M47" t="s">
        <v>28</v>
      </c>
      <c r="N47">
        <v>10000</v>
      </c>
      <c r="O47" s="64" t="s">
        <v>68</v>
      </c>
      <c r="P47">
        <v>3.57</v>
      </c>
      <c r="Q47">
        <v>101.83</v>
      </c>
      <c r="R47">
        <v>0.99</v>
      </c>
      <c r="S47">
        <v>272877855</v>
      </c>
    </row>
    <row r="48" spans="1:19" x14ac:dyDescent="0.25">
      <c r="A48" t="s">
        <v>53</v>
      </c>
      <c r="B48">
        <v>85</v>
      </c>
      <c r="D48">
        <v>43</v>
      </c>
      <c r="E48">
        <v>3</v>
      </c>
      <c r="F48" t="s">
        <v>64</v>
      </c>
      <c r="G48">
        <v>161115</v>
      </c>
      <c r="H48" t="s">
        <v>65</v>
      </c>
      <c r="I48" t="s">
        <v>67</v>
      </c>
      <c r="J48" t="s">
        <v>5</v>
      </c>
      <c r="K48" t="s">
        <v>57</v>
      </c>
      <c r="M48" t="s">
        <v>28</v>
      </c>
      <c r="N48">
        <v>5000</v>
      </c>
      <c r="O48" s="64" t="s">
        <v>68</v>
      </c>
      <c r="P48">
        <v>3.57</v>
      </c>
      <c r="Q48">
        <v>101.79</v>
      </c>
      <c r="R48">
        <v>1</v>
      </c>
      <c r="S48">
        <v>136385332.5</v>
      </c>
    </row>
    <row r="49" spans="1:19" x14ac:dyDescent="0.25">
      <c r="A49" t="s">
        <v>53</v>
      </c>
      <c r="B49">
        <v>54</v>
      </c>
      <c r="D49">
        <v>43</v>
      </c>
      <c r="E49">
        <v>3</v>
      </c>
      <c r="F49" t="s">
        <v>64</v>
      </c>
      <c r="G49">
        <v>1610951</v>
      </c>
      <c r="H49" t="s">
        <v>65</v>
      </c>
      <c r="I49" t="s">
        <v>67</v>
      </c>
      <c r="J49" t="s">
        <v>5</v>
      </c>
      <c r="K49" t="s">
        <v>57</v>
      </c>
      <c r="M49" t="s">
        <v>29</v>
      </c>
      <c r="N49">
        <v>15000</v>
      </c>
      <c r="O49" s="64" t="s">
        <v>68</v>
      </c>
      <c r="P49">
        <v>3.57</v>
      </c>
      <c r="Q49">
        <v>101.83</v>
      </c>
      <c r="R49">
        <v>0.99</v>
      </c>
      <c r="S49">
        <v>409316782</v>
      </c>
    </row>
    <row r="50" spans="1:19" x14ac:dyDescent="0.25">
      <c r="A50" t="s">
        <v>53</v>
      </c>
      <c r="B50">
        <v>85</v>
      </c>
      <c r="D50">
        <v>43</v>
      </c>
      <c r="E50">
        <v>3</v>
      </c>
      <c r="F50" t="s">
        <v>64</v>
      </c>
      <c r="G50">
        <v>1611151</v>
      </c>
      <c r="H50" t="s">
        <v>65</v>
      </c>
      <c r="I50" t="s">
        <v>67</v>
      </c>
      <c r="J50" t="s">
        <v>5</v>
      </c>
      <c r="K50" t="s">
        <v>57</v>
      </c>
      <c r="M50" t="s">
        <v>29</v>
      </c>
      <c r="N50">
        <v>5000</v>
      </c>
      <c r="O50" s="64" t="s">
        <v>68</v>
      </c>
      <c r="P50">
        <v>3.57</v>
      </c>
      <c r="Q50">
        <v>101.79</v>
      </c>
      <c r="R50">
        <v>1</v>
      </c>
      <c r="S50">
        <v>136385332.5</v>
      </c>
    </row>
    <row r="51" spans="1:19" x14ac:dyDescent="0.25">
      <c r="A51" t="s">
        <v>53</v>
      </c>
      <c r="B51">
        <v>66</v>
      </c>
      <c r="C51">
        <v>4</v>
      </c>
      <c r="D51">
        <v>90</v>
      </c>
      <c r="F51" t="s">
        <v>136</v>
      </c>
      <c r="G51">
        <v>161371</v>
      </c>
      <c r="H51" t="s">
        <v>137</v>
      </c>
      <c r="I51" t="s">
        <v>67</v>
      </c>
      <c r="J51" t="s">
        <v>5</v>
      </c>
      <c r="K51" t="s">
        <v>138</v>
      </c>
      <c r="L51" t="s">
        <v>26</v>
      </c>
      <c r="N51">
        <v>500000000</v>
      </c>
      <c r="O51" s="64" t="s">
        <v>68</v>
      </c>
      <c r="P51">
        <v>3.38</v>
      </c>
      <c r="Q51">
        <v>103.12</v>
      </c>
      <c r="R51">
        <v>3.6</v>
      </c>
      <c r="S51">
        <v>523258064</v>
      </c>
    </row>
    <row r="52" spans="1:19" x14ac:dyDescent="0.25">
      <c r="A52" t="s">
        <v>53</v>
      </c>
      <c r="B52">
        <v>66</v>
      </c>
      <c r="C52">
        <v>4</v>
      </c>
      <c r="D52">
        <v>90</v>
      </c>
      <c r="F52" t="s">
        <v>136</v>
      </c>
      <c r="G52">
        <v>161372</v>
      </c>
      <c r="H52" t="s">
        <v>137</v>
      </c>
      <c r="I52" t="s">
        <v>67</v>
      </c>
      <c r="J52" t="s">
        <v>5</v>
      </c>
      <c r="K52" t="s">
        <v>138</v>
      </c>
      <c r="L52" t="s">
        <v>26</v>
      </c>
      <c r="N52">
        <v>500000000</v>
      </c>
      <c r="O52" s="64" t="s">
        <v>68</v>
      </c>
      <c r="P52">
        <v>3.38</v>
      </c>
      <c r="Q52">
        <v>103.12</v>
      </c>
      <c r="R52">
        <v>3.6</v>
      </c>
      <c r="S52">
        <v>523258064</v>
      </c>
    </row>
    <row r="53" spans="1:19" x14ac:dyDescent="0.25">
      <c r="A53" t="s">
        <v>53</v>
      </c>
      <c r="B53">
        <v>66</v>
      </c>
      <c r="C53">
        <v>4</v>
      </c>
      <c r="D53">
        <v>90</v>
      </c>
      <c r="F53" t="s">
        <v>136</v>
      </c>
      <c r="G53">
        <v>161374</v>
      </c>
      <c r="H53" t="s">
        <v>137</v>
      </c>
      <c r="I53" t="s">
        <v>67</v>
      </c>
      <c r="J53" t="s">
        <v>5</v>
      </c>
      <c r="K53" t="s">
        <v>138</v>
      </c>
      <c r="L53" t="s">
        <v>26</v>
      </c>
      <c r="N53">
        <v>200000000</v>
      </c>
      <c r="O53" s="64" t="s">
        <v>68</v>
      </c>
      <c r="P53">
        <v>3.38</v>
      </c>
      <c r="Q53">
        <v>103.12</v>
      </c>
      <c r="R53">
        <v>3.6</v>
      </c>
      <c r="S53">
        <v>209303225</v>
      </c>
    </row>
    <row r="54" spans="1:19" x14ac:dyDescent="0.25">
      <c r="A54" t="s">
        <v>53</v>
      </c>
      <c r="B54">
        <v>85</v>
      </c>
      <c r="D54">
        <v>66</v>
      </c>
      <c r="E54">
        <v>4</v>
      </c>
      <c r="F54" t="s">
        <v>136</v>
      </c>
      <c r="G54">
        <v>161418</v>
      </c>
      <c r="H54" t="s">
        <v>65</v>
      </c>
      <c r="I54" t="s">
        <v>67</v>
      </c>
      <c r="J54" t="s">
        <v>5</v>
      </c>
      <c r="K54" t="s">
        <v>57</v>
      </c>
      <c r="M54" t="s">
        <v>26</v>
      </c>
      <c r="N54">
        <v>20000</v>
      </c>
      <c r="O54" s="64" t="s">
        <v>68</v>
      </c>
      <c r="P54">
        <v>3.57</v>
      </c>
      <c r="Q54">
        <v>101.79</v>
      </c>
      <c r="R54">
        <v>1</v>
      </c>
      <c r="S54">
        <v>545541330</v>
      </c>
    </row>
    <row r="55" spans="1:19" x14ac:dyDescent="0.25">
      <c r="A55" t="s">
        <v>53</v>
      </c>
      <c r="B55">
        <v>85</v>
      </c>
      <c r="D55">
        <v>66</v>
      </c>
      <c r="E55">
        <v>4</v>
      </c>
      <c r="F55" t="s">
        <v>136</v>
      </c>
      <c r="G55">
        <v>161434</v>
      </c>
      <c r="H55" t="s">
        <v>65</v>
      </c>
      <c r="I55" t="s">
        <v>67</v>
      </c>
      <c r="J55" t="s">
        <v>5</v>
      </c>
      <c r="K55" t="s">
        <v>57</v>
      </c>
      <c r="M55" t="s">
        <v>26</v>
      </c>
      <c r="N55">
        <v>8000</v>
      </c>
      <c r="O55" s="64" t="s">
        <v>68</v>
      </c>
      <c r="P55">
        <v>3.57</v>
      </c>
      <c r="Q55">
        <v>101.79</v>
      </c>
      <c r="R55">
        <v>1</v>
      </c>
      <c r="S55">
        <v>218216532</v>
      </c>
    </row>
    <row r="56" spans="1:19" x14ac:dyDescent="0.25">
      <c r="A56" s="64"/>
      <c r="B56" s="64"/>
      <c r="C56" s="64"/>
      <c r="D56" s="64"/>
      <c r="E56" s="64"/>
      <c r="F56" s="64"/>
      <c r="G56" s="64"/>
      <c r="H56" s="64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</row>
    <row r="57" spans="1:19" x14ac:dyDescent="0.25">
      <c r="A57" s="64"/>
      <c r="B57" s="64"/>
      <c r="C57" s="64"/>
      <c r="D57" s="64"/>
      <c r="E57" s="64"/>
      <c r="F57" s="64"/>
      <c r="G57" s="64"/>
      <c r="H57" s="64"/>
      <c r="I57" s="64"/>
      <c r="J57" s="64"/>
      <c r="K57" s="64"/>
      <c r="L57" s="64"/>
      <c r="M57" s="64"/>
      <c r="N57" s="64"/>
      <c r="O57" s="64"/>
      <c r="P57" s="64"/>
      <c r="Q57" s="64"/>
      <c r="R57" s="64"/>
      <c r="S57" s="64"/>
    </row>
    <row r="58" spans="1:19" x14ac:dyDescent="0.25">
      <c r="A58" s="64"/>
      <c r="B58" s="64"/>
      <c r="C58" s="64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</row>
    <row r="59" spans="1:19" x14ac:dyDescent="0.25">
      <c r="A59" s="64"/>
      <c r="B59" s="64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</row>
    <row r="60" spans="1:19" x14ac:dyDescent="0.25">
      <c r="A60" s="64"/>
      <c r="B60" s="64"/>
      <c r="C60" s="64"/>
      <c r="D60" s="64"/>
      <c r="E60" s="64"/>
      <c r="F60" s="64"/>
      <c r="G60" s="64"/>
      <c r="H60" s="64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</row>
    <row r="61" spans="1:19" x14ac:dyDescent="0.25">
      <c r="A61" s="64"/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</row>
    <row r="62" spans="1:19" x14ac:dyDescent="0.25">
      <c r="A62" s="64"/>
      <c r="B62" s="64"/>
      <c r="C62" s="64"/>
      <c r="D62" s="64"/>
      <c r="E62" s="64"/>
      <c r="F62" s="64"/>
      <c r="G62" s="64"/>
      <c r="H62" s="64"/>
      <c r="I62" s="64"/>
      <c r="J62" s="64"/>
      <c r="K62" s="64"/>
      <c r="L62" s="64"/>
      <c r="M62" s="64"/>
      <c r="N62" s="64"/>
      <c r="O62" s="64"/>
      <c r="P62" s="64"/>
      <c r="Q62" s="64"/>
      <c r="R62" s="64"/>
      <c r="S62" s="64"/>
    </row>
    <row r="63" spans="1:19" x14ac:dyDescent="0.25">
      <c r="A63" s="64"/>
      <c r="B63" s="64"/>
      <c r="C63" s="64"/>
      <c r="D63" s="64"/>
      <c r="E63" s="64"/>
      <c r="F63" s="64"/>
      <c r="G63" s="64"/>
      <c r="H63" s="64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</row>
    <row r="64" spans="1:19" x14ac:dyDescent="0.25">
      <c r="A64" s="64"/>
      <c r="B64" s="64"/>
      <c r="C64" s="64"/>
      <c r="D64" s="64"/>
      <c r="E64" s="64"/>
      <c r="F64" s="64"/>
      <c r="G64" s="64"/>
      <c r="H64" s="64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</row>
    <row r="65" spans="1:19" x14ac:dyDescent="0.25">
      <c r="A65" s="64"/>
      <c r="B65" s="64"/>
      <c r="C65" s="64"/>
      <c r="D65" s="64"/>
      <c r="E65" s="64"/>
      <c r="F65" s="64"/>
      <c r="G65" s="64"/>
      <c r="H65" s="64"/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</row>
    <row r="66" spans="1:19" x14ac:dyDescent="0.25">
      <c r="A66" s="64"/>
      <c r="B66" s="64"/>
      <c r="C66" s="64"/>
      <c r="D66" s="64"/>
      <c r="E66" s="64"/>
      <c r="F66" s="64"/>
      <c r="G66" s="64"/>
      <c r="H66" s="64"/>
      <c r="I66" s="64"/>
      <c r="J66" s="64"/>
      <c r="K66" s="64"/>
      <c r="L66" s="64"/>
      <c r="M66" s="64"/>
      <c r="N66" s="64"/>
      <c r="O66" s="64"/>
      <c r="P66" s="64"/>
      <c r="Q66" s="64"/>
      <c r="R66" s="64"/>
      <c r="S66" s="64"/>
    </row>
    <row r="67" spans="1:19" x14ac:dyDescent="0.25">
      <c r="A67" s="64"/>
      <c r="B67" s="64"/>
      <c r="C67" s="64"/>
      <c r="D67" s="64"/>
      <c r="E67" s="64"/>
      <c r="F67" s="64"/>
      <c r="G67" s="64"/>
      <c r="H67" s="64"/>
      <c r="I67" s="64"/>
      <c r="J67" s="64"/>
      <c r="K67" s="64"/>
      <c r="L67" s="64"/>
      <c r="M67" s="64"/>
      <c r="N67" s="64"/>
      <c r="O67" s="64"/>
      <c r="P67" s="64"/>
      <c r="Q67" s="64"/>
      <c r="R67" s="64"/>
      <c r="S67" s="64"/>
    </row>
    <row r="68" spans="1:19" x14ac:dyDescent="0.25">
      <c r="A68" s="64"/>
      <c r="B68" s="64"/>
      <c r="C68" s="64"/>
      <c r="D68" s="64"/>
      <c r="E68" s="64"/>
      <c r="F68" s="64"/>
      <c r="G68" s="64"/>
      <c r="H68" s="64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</row>
    <row r="69" spans="1:19" x14ac:dyDescent="0.25">
      <c r="A69" s="64"/>
      <c r="B69" s="64"/>
      <c r="C69" s="64"/>
      <c r="D69" s="64"/>
      <c r="E69" s="64"/>
      <c r="F69" s="64"/>
      <c r="G69" s="64"/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</row>
    <row r="70" spans="1:19" x14ac:dyDescent="0.25">
      <c r="A70" s="64"/>
      <c r="B70" s="64"/>
      <c r="C70" s="64"/>
      <c r="D70" s="64"/>
      <c r="E70" s="64"/>
      <c r="F70" s="64"/>
      <c r="G70" s="64"/>
      <c r="H70" s="64"/>
      <c r="I70" s="64"/>
      <c r="J70" s="64"/>
      <c r="K70" s="64"/>
      <c r="L70" s="64"/>
      <c r="M70" s="64"/>
      <c r="N70" s="64"/>
      <c r="O70" s="64"/>
      <c r="P70" s="64"/>
      <c r="Q70" s="64"/>
      <c r="R70" s="64"/>
      <c r="S70" s="64"/>
    </row>
    <row r="71" spans="1:19" x14ac:dyDescent="0.25">
      <c r="A71" s="64"/>
      <c r="B71" s="64"/>
      <c r="C71" s="64"/>
      <c r="D71" s="64"/>
      <c r="E71" s="64"/>
      <c r="F71" s="64"/>
      <c r="G71" s="64"/>
      <c r="H71" s="64"/>
      <c r="I71" s="64"/>
      <c r="J71" s="64"/>
      <c r="K71" s="64"/>
      <c r="L71" s="64"/>
      <c r="M71" s="64"/>
      <c r="N71" s="64"/>
      <c r="O71" s="64"/>
      <c r="P71" s="64"/>
      <c r="Q71" s="64"/>
      <c r="R71" s="64"/>
      <c r="S71" s="64"/>
    </row>
    <row r="72" spans="1:19" x14ac:dyDescent="0.25">
      <c r="A72" s="64"/>
      <c r="B72" s="64"/>
      <c r="C72" s="64"/>
      <c r="D72" s="64"/>
      <c r="E72" s="64"/>
      <c r="F72" s="64"/>
      <c r="G72" s="64"/>
      <c r="H72" s="64"/>
      <c r="I72" s="64"/>
      <c r="J72" s="64"/>
      <c r="K72" s="64"/>
      <c r="L72" s="64"/>
      <c r="M72" s="64"/>
      <c r="N72" s="64"/>
      <c r="O72" s="64"/>
      <c r="P72" s="64"/>
      <c r="Q72" s="64"/>
      <c r="R72" s="64"/>
      <c r="S72" s="64"/>
    </row>
    <row r="73" spans="1:19" x14ac:dyDescent="0.25">
      <c r="A73" s="64"/>
      <c r="B73" s="64"/>
      <c r="C73" s="64"/>
      <c r="D73" s="64"/>
      <c r="E73" s="64"/>
      <c r="F73" s="64"/>
      <c r="G73" s="64"/>
      <c r="H73" s="64"/>
      <c r="I73" s="64"/>
      <c r="J73" s="64"/>
      <c r="K73" s="64"/>
      <c r="L73" s="64"/>
      <c r="M73" s="64"/>
      <c r="N73" s="64"/>
      <c r="O73" s="64"/>
      <c r="P73" s="64"/>
      <c r="Q73" s="64"/>
      <c r="R73" s="64"/>
      <c r="S73" s="64"/>
    </row>
    <row r="74" spans="1:19" x14ac:dyDescent="0.25">
      <c r="A74" s="64"/>
      <c r="B74" s="64"/>
      <c r="C74" s="64"/>
      <c r="D74" s="64"/>
      <c r="E74" s="64"/>
      <c r="F74" s="64"/>
      <c r="G74" s="64"/>
      <c r="H74" s="64"/>
      <c r="I74" s="64"/>
      <c r="J74" s="64"/>
      <c r="K74" s="64"/>
      <c r="L74" s="64"/>
      <c r="M74" s="64"/>
      <c r="N74" s="64"/>
      <c r="O74" s="64"/>
      <c r="P74" s="64"/>
      <c r="Q74" s="64"/>
      <c r="R74" s="64"/>
      <c r="S74" s="64"/>
    </row>
    <row r="75" spans="1:19" x14ac:dyDescent="0.25">
      <c r="A75" s="64"/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</row>
    <row r="76" spans="1:19" x14ac:dyDescent="0.25">
      <c r="A76" s="64"/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  <c r="P76" s="64"/>
      <c r="Q76" s="64"/>
      <c r="R76" s="64"/>
      <c r="S76" s="64"/>
    </row>
    <row r="77" spans="1:19" x14ac:dyDescent="0.25">
      <c r="A77" s="64"/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</row>
    <row r="78" spans="1:19" x14ac:dyDescent="0.25">
      <c r="A78" s="64"/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</row>
    <row r="79" spans="1:19" x14ac:dyDescent="0.25">
      <c r="A79" s="64"/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</row>
    <row r="80" spans="1:19" x14ac:dyDescent="0.25">
      <c r="A80" s="64"/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</row>
    <row r="81" spans="1:19" x14ac:dyDescent="0.25">
      <c r="A81" s="64"/>
      <c r="B81" s="64"/>
      <c r="C81" s="64"/>
      <c r="D81" s="64"/>
      <c r="E81" s="64"/>
      <c r="F81" s="64"/>
      <c r="G81" s="64"/>
      <c r="H81" s="64"/>
      <c r="I81" s="64"/>
      <c r="J81" s="64"/>
      <c r="K81" s="64"/>
      <c r="L81" s="64"/>
      <c r="M81" s="64"/>
      <c r="N81" s="64"/>
      <c r="O81" s="64"/>
      <c r="P81" s="64"/>
      <c r="Q81" s="64"/>
      <c r="R81" s="64"/>
      <c r="S81" s="64"/>
    </row>
    <row r="82" spans="1:19" x14ac:dyDescent="0.25">
      <c r="A82" s="64"/>
      <c r="B82" s="64"/>
      <c r="C82" s="64"/>
      <c r="D82" s="64"/>
      <c r="E82" s="64"/>
      <c r="F82" s="64"/>
      <c r="G82" s="64"/>
      <c r="H82" s="64"/>
      <c r="I82" s="64"/>
      <c r="J82" s="64"/>
      <c r="K82" s="64"/>
      <c r="L82" s="64"/>
      <c r="M82" s="64"/>
      <c r="N82" s="64"/>
      <c r="O82" s="64"/>
      <c r="P82" s="64"/>
      <c r="Q82" s="64"/>
      <c r="R82" s="64"/>
      <c r="S82" s="64"/>
    </row>
    <row r="83" spans="1:19" x14ac:dyDescent="0.25">
      <c r="A83" s="64"/>
      <c r="B83" s="64"/>
      <c r="C83" s="64"/>
      <c r="D83" s="64"/>
      <c r="E83" s="64"/>
      <c r="F83" s="64"/>
      <c r="G83" s="64"/>
      <c r="H83" s="64"/>
      <c r="I83" s="64"/>
      <c r="J83" s="64"/>
      <c r="K83" s="64"/>
      <c r="L83" s="64"/>
      <c r="M83" s="64"/>
      <c r="N83" s="64"/>
      <c r="O83" s="64"/>
      <c r="P83" s="64"/>
      <c r="Q83" s="64"/>
      <c r="R83" s="64"/>
      <c r="S83" s="64"/>
    </row>
    <row r="84" spans="1:19" x14ac:dyDescent="0.25">
      <c r="A84" s="64"/>
      <c r="B84" s="64"/>
      <c r="C84" s="64"/>
      <c r="D84" s="64"/>
      <c r="E84" s="64"/>
      <c r="F84" s="64"/>
      <c r="G84" s="64"/>
      <c r="H84" s="64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</row>
    <row r="85" spans="1:19" x14ac:dyDescent="0.25">
      <c r="A85" s="64"/>
      <c r="B85" s="64"/>
      <c r="C85" s="64"/>
      <c r="D85" s="64"/>
      <c r="E85" s="64"/>
      <c r="F85" s="64"/>
      <c r="G85" s="64"/>
      <c r="H85" s="64"/>
      <c r="I85" s="64"/>
      <c r="J85" s="64"/>
      <c r="K85" s="64"/>
      <c r="L85" s="64"/>
      <c r="M85" s="64"/>
      <c r="N85" s="64"/>
      <c r="O85" s="64"/>
      <c r="P85" s="64"/>
      <c r="Q85" s="64"/>
      <c r="R85" s="64"/>
      <c r="S85" s="64"/>
    </row>
    <row r="86" spans="1:19" x14ac:dyDescent="0.25">
      <c r="A86" s="64"/>
      <c r="B86" s="64"/>
      <c r="C86" s="64"/>
      <c r="D86" s="64"/>
      <c r="E86" s="64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</row>
    <row r="87" spans="1:19" x14ac:dyDescent="0.25">
      <c r="A87" s="64"/>
      <c r="B87" s="64"/>
      <c r="C87" s="64"/>
      <c r="D87" s="64"/>
      <c r="E87" s="64"/>
      <c r="F87" s="64"/>
      <c r="G87" s="64"/>
      <c r="H87" s="64"/>
      <c r="I87" s="64"/>
      <c r="J87" s="64"/>
      <c r="K87" s="64"/>
      <c r="L87" s="64"/>
      <c r="M87" s="64"/>
      <c r="N87" s="64"/>
      <c r="O87" s="64"/>
      <c r="P87" s="64"/>
      <c r="Q87" s="64"/>
      <c r="R87" s="64"/>
      <c r="S87" s="64"/>
    </row>
    <row r="88" spans="1:19" x14ac:dyDescent="0.25">
      <c r="A88" s="64"/>
      <c r="B88" s="64"/>
      <c r="C88" s="64"/>
      <c r="D88" s="64"/>
      <c r="E88" s="64"/>
      <c r="F88" s="64"/>
      <c r="G88" s="64"/>
      <c r="H88" s="64"/>
      <c r="I88" s="64"/>
      <c r="J88" s="64"/>
      <c r="K88" s="64"/>
      <c r="L88" s="64"/>
      <c r="M88" s="64"/>
      <c r="N88" s="64"/>
      <c r="O88" s="64"/>
      <c r="P88" s="64"/>
      <c r="Q88" s="64"/>
      <c r="R88" s="64"/>
      <c r="S88" s="64"/>
    </row>
    <row r="89" spans="1:19" x14ac:dyDescent="0.25">
      <c r="A89" s="64"/>
      <c r="B89" s="64"/>
      <c r="C89" s="64"/>
      <c r="D89" s="64"/>
      <c r="E89" s="64"/>
      <c r="F89" s="64"/>
      <c r="G89" s="64"/>
      <c r="H89" s="64"/>
      <c r="I89" s="64"/>
      <c r="J89" s="64"/>
      <c r="K89" s="64"/>
      <c r="L89" s="64"/>
      <c r="M89" s="64"/>
      <c r="N89" s="64"/>
      <c r="O89" s="64"/>
      <c r="P89" s="64"/>
      <c r="Q89" s="64"/>
      <c r="R89" s="64"/>
      <c r="S89" s="64"/>
    </row>
    <row r="90" spans="1:19" x14ac:dyDescent="0.25">
      <c r="A90" s="47"/>
      <c r="P90" s="27"/>
      <c r="R90" s="27"/>
      <c r="S90" s="65"/>
    </row>
    <row r="91" spans="1:19" x14ac:dyDescent="0.25">
      <c r="A91" s="47"/>
      <c r="P91" s="27"/>
      <c r="R91" s="27"/>
      <c r="S91" s="65"/>
    </row>
    <row r="92" spans="1:19" x14ac:dyDescent="0.25">
      <c r="A92" s="47"/>
      <c r="P92" s="27"/>
      <c r="R92" s="27"/>
      <c r="S92" s="65"/>
    </row>
    <row r="93" spans="1:19" x14ac:dyDescent="0.25">
      <c r="A93" s="47"/>
      <c r="P93" s="27"/>
      <c r="R93" s="27"/>
      <c r="S93" s="65"/>
    </row>
    <row r="94" spans="1:19" x14ac:dyDescent="0.25">
      <c r="A94" s="47"/>
      <c r="P94" s="27"/>
      <c r="R94" s="27"/>
      <c r="S94" s="65"/>
    </row>
    <row r="95" spans="1:19" x14ac:dyDescent="0.25">
      <c r="A95" s="47"/>
      <c r="P95" s="27"/>
      <c r="R95" s="27"/>
      <c r="S95" s="65"/>
    </row>
    <row r="96" spans="1:19" x14ac:dyDescent="0.25">
      <c r="A96" s="47"/>
      <c r="P96" s="27"/>
      <c r="R96" s="27"/>
      <c r="S96" s="65"/>
    </row>
    <row r="97" spans="1:19" x14ac:dyDescent="0.25">
      <c r="A97" s="47"/>
      <c r="P97" s="27"/>
      <c r="R97" s="27"/>
      <c r="S97" s="65"/>
    </row>
    <row r="98" spans="1:19" x14ac:dyDescent="0.25">
      <c r="A98" s="47"/>
      <c r="P98" s="27"/>
      <c r="R98" s="27"/>
      <c r="S98" s="65"/>
    </row>
    <row r="99" spans="1:19" x14ac:dyDescent="0.25">
      <c r="A99" s="47"/>
    </row>
    <row r="100" spans="1:19" x14ac:dyDescent="0.25">
      <c r="A100" s="47"/>
    </row>
    <row r="101" spans="1:19" x14ac:dyDescent="0.25">
      <c r="A101" s="47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T100"/>
  <sheetViews>
    <sheetView workbookViewId="0">
      <selection activeCell="K18" sqref="K18"/>
    </sheetView>
  </sheetViews>
  <sheetFormatPr baseColWidth="10" defaultRowHeight="15" x14ac:dyDescent="0.25"/>
  <cols>
    <col min="1" max="1" width="11.85546875" bestFit="1" customWidth="1"/>
    <col min="2" max="2" width="4.5703125" customWidth="1"/>
    <col min="3" max="3" width="7.140625" customWidth="1"/>
    <col min="4" max="4" width="4.42578125" customWidth="1"/>
    <col min="5" max="5" width="7" customWidth="1"/>
    <col min="6" max="6" width="6.28515625" customWidth="1"/>
    <col min="7" max="7" width="9" bestFit="1" customWidth="1"/>
    <col min="8" max="8" width="14.28515625" customWidth="1"/>
    <col min="9" max="9" width="7.5703125" bestFit="1" customWidth="1"/>
    <col min="10" max="10" width="4.5703125" customWidth="1"/>
    <col min="11" max="11" width="10.7109375" customWidth="1"/>
    <col min="12" max="12" width="9.140625" bestFit="1" customWidth="1"/>
    <col min="13" max="13" width="12.7109375" bestFit="1" customWidth="1"/>
    <col min="14" max="14" width="13.42578125" bestFit="1" customWidth="1"/>
    <col min="15" max="15" width="12.5703125" style="16" bestFit="1" customWidth="1"/>
    <col min="16" max="16" width="7" customWidth="1"/>
    <col min="17" max="17" width="6.85546875" customWidth="1"/>
    <col min="18" max="18" width="13.42578125" style="16" bestFit="1" customWidth="1"/>
    <col min="19" max="19" width="23.140625" customWidth="1"/>
    <col min="20" max="20" width="15.85546875" bestFit="1" customWidth="1"/>
    <col min="21" max="21" width="10.42578125" customWidth="1"/>
    <col min="22" max="22" width="11" customWidth="1"/>
    <col min="23" max="23" width="8.85546875" customWidth="1"/>
    <col min="24" max="24" width="5.5703125" customWidth="1"/>
    <col min="25" max="25" width="10" customWidth="1"/>
    <col min="26" max="26" width="7" customWidth="1"/>
    <col min="27" max="27" width="6.85546875" customWidth="1"/>
    <col min="28" max="28" width="12" customWidth="1"/>
    <col min="29" max="29" width="13" customWidth="1"/>
    <col min="30" max="30" width="12.42578125" customWidth="1"/>
    <col min="31" max="31" width="23.140625" customWidth="1"/>
    <col min="32" max="32" width="15.140625" customWidth="1"/>
  </cols>
  <sheetData>
    <row r="2" spans="1:20" x14ac:dyDescent="0.25">
      <c r="A2" t="s">
        <v>12</v>
      </c>
      <c r="B2" t="s">
        <v>0</v>
      </c>
      <c r="C2" t="s">
        <v>13</v>
      </c>
      <c r="D2" t="s">
        <v>1</v>
      </c>
      <c r="E2" t="s">
        <v>14</v>
      </c>
      <c r="F2" t="s">
        <v>2</v>
      </c>
      <c r="G2" t="s">
        <v>3</v>
      </c>
      <c r="H2" t="s">
        <v>4</v>
      </c>
      <c r="I2" t="s">
        <v>9</v>
      </c>
      <c r="J2" t="s">
        <v>5</v>
      </c>
      <c r="K2" t="s">
        <v>6</v>
      </c>
      <c r="L2" t="s">
        <v>8</v>
      </c>
      <c r="M2" t="s">
        <v>7</v>
      </c>
      <c r="N2" t="s">
        <v>31</v>
      </c>
      <c r="O2" s="16" t="s">
        <v>32</v>
      </c>
      <c r="P2" t="s">
        <v>33</v>
      </c>
      <c r="Q2" t="s">
        <v>34</v>
      </c>
      <c r="R2" s="16" t="s">
        <v>35</v>
      </c>
      <c r="S2" t="s">
        <v>36</v>
      </c>
      <c r="T2" t="s">
        <v>37</v>
      </c>
    </row>
    <row r="3" spans="1:20" x14ac:dyDescent="0.25">
      <c r="A3" t="s">
        <v>53</v>
      </c>
      <c r="B3">
        <v>35</v>
      </c>
      <c r="D3">
        <v>66</v>
      </c>
      <c r="E3">
        <v>3</v>
      </c>
      <c r="F3" t="s">
        <v>96</v>
      </c>
      <c r="G3">
        <v>982734</v>
      </c>
      <c r="H3" t="s">
        <v>97</v>
      </c>
      <c r="I3" t="s">
        <v>67</v>
      </c>
      <c r="J3" t="s">
        <v>5</v>
      </c>
      <c r="K3" t="s">
        <v>72</v>
      </c>
      <c r="M3" t="s">
        <v>25</v>
      </c>
      <c r="N3" t="s">
        <v>98</v>
      </c>
      <c r="O3" s="16">
        <v>94350223</v>
      </c>
      <c r="P3">
        <v>14</v>
      </c>
      <c r="Q3">
        <v>0.46</v>
      </c>
      <c r="R3" s="16">
        <v>94149806</v>
      </c>
      <c r="S3" t="s">
        <v>99</v>
      </c>
      <c r="T3" t="s">
        <v>100</v>
      </c>
    </row>
    <row r="4" spans="1:20" x14ac:dyDescent="0.25">
      <c r="A4" t="s">
        <v>53</v>
      </c>
      <c r="B4">
        <v>43</v>
      </c>
      <c r="C4">
        <v>4</v>
      </c>
      <c r="D4">
        <v>43</v>
      </c>
      <c r="E4">
        <v>4</v>
      </c>
      <c r="F4" t="s">
        <v>64</v>
      </c>
      <c r="G4">
        <v>160109</v>
      </c>
      <c r="H4" t="s">
        <v>70</v>
      </c>
      <c r="I4" t="s">
        <v>101</v>
      </c>
      <c r="J4" t="s">
        <v>5</v>
      </c>
      <c r="K4" t="s">
        <v>72</v>
      </c>
      <c r="L4" t="s">
        <v>26</v>
      </c>
      <c r="M4" t="s">
        <v>25</v>
      </c>
      <c r="N4" t="s">
        <v>128</v>
      </c>
      <c r="O4" s="16">
        <v>291450000</v>
      </c>
      <c r="P4">
        <v>257</v>
      </c>
      <c r="Q4">
        <v>0.27</v>
      </c>
      <c r="R4" s="16">
        <v>284861161</v>
      </c>
      <c r="S4" t="s">
        <v>129</v>
      </c>
      <c r="T4" t="s">
        <v>130</v>
      </c>
    </row>
    <row r="5" spans="1:20" x14ac:dyDescent="0.25">
      <c r="A5" t="s">
        <v>53</v>
      </c>
      <c r="B5">
        <v>85</v>
      </c>
      <c r="D5">
        <v>66</v>
      </c>
      <c r="E5">
        <v>3</v>
      </c>
      <c r="F5" t="s">
        <v>113</v>
      </c>
      <c r="G5">
        <v>71249</v>
      </c>
      <c r="H5" t="s">
        <v>70</v>
      </c>
      <c r="I5" t="s">
        <v>67</v>
      </c>
      <c r="J5" t="s">
        <v>5</v>
      </c>
      <c r="K5" t="s">
        <v>72</v>
      </c>
      <c r="M5" t="s">
        <v>28</v>
      </c>
      <c r="N5" t="s">
        <v>118</v>
      </c>
      <c r="O5" s="16">
        <v>200000000</v>
      </c>
      <c r="P5">
        <v>34</v>
      </c>
      <c r="Q5">
        <v>0.23</v>
      </c>
      <c r="R5" s="16">
        <v>199480022</v>
      </c>
      <c r="S5" t="s">
        <v>119</v>
      </c>
      <c r="T5" t="s">
        <v>120</v>
      </c>
    </row>
    <row r="6" spans="1:20" x14ac:dyDescent="0.25">
      <c r="A6" t="s">
        <v>53</v>
      </c>
      <c r="B6">
        <v>85</v>
      </c>
      <c r="D6">
        <v>66</v>
      </c>
      <c r="E6">
        <v>3</v>
      </c>
      <c r="F6" t="s">
        <v>113</v>
      </c>
      <c r="G6">
        <v>71250</v>
      </c>
      <c r="H6" t="s">
        <v>70</v>
      </c>
      <c r="I6" t="s">
        <v>67</v>
      </c>
      <c r="J6" t="s">
        <v>5</v>
      </c>
      <c r="K6" t="s">
        <v>72</v>
      </c>
      <c r="M6" t="s">
        <v>28</v>
      </c>
      <c r="N6" t="s">
        <v>118</v>
      </c>
      <c r="O6" s="16">
        <v>200000000</v>
      </c>
      <c r="P6">
        <v>34</v>
      </c>
      <c r="Q6">
        <v>0.23</v>
      </c>
      <c r="R6" s="16">
        <v>199480022</v>
      </c>
      <c r="S6" t="s">
        <v>119</v>
      </c>
      <c r="T6" t="s">
        <v>120</v>
      </c>
    </row>
    <row r="7" spans="1:20" x14ac:dyDescent="0.25">
      <c r="A7" t="s">
        <v>53</v>
      </c>
      <c r="B7">
        <v>85</v>
      </c>
      <c r="D7">
        <v>66</v>
      </c>
      <c r="E7">
        <v>3</v>
      </c>
      <c r="F7" t="s">
        <v>113</v>
      </c>
      <c r="G7">
        <v>71251</v>
      </c>
      <c r="H7" t="s">
        <v>70</v>
      </c>
      <c r="I7" t="s">
        <v>67</v>
      </c>
      <c r="J7" t="s">
        <v>5</v>
      </c>
      <c r="K7" t="s">
        <v>72</v>
      </c>
      <c r="M7" t="s">
        <v>28</v>
      </c>
      <c r="N7" t="s">
        <v>118</v>
      </c>
      <c r="O7" s="16">
        <v>200000000</v>
      </c>
      <c r="P7">
        <v>34</v>
      </c>
      <c r="Q7">
        <v>0.23</v>
      </c>
      <c r="R7" s="16">
        <v>199480022</v>
      </c>
      <c r="S7" t="s">
        <v>119</v>
      </c>
      <c r="T7" t="s">
        <v>120</v>
      </c>
    </row>
    <row r="8" spans="1:20" x14ac:dyDescent="0.25">
      <c r="A8" t="s">
        <v>53</v>
      </c>
      <c r="B8">
        <v>43</v>
      </c>
      <c r="D8">
        <v>66</v>
      </c>
      <c r="E8">
        <v>3</v>
      </c>
      <c r="F8" t="s">
        <v>125</v>
      </c>
      <c r="G8">
        <v>71451</v>
      </c>
      <c r="H8" t="s">
        <v>70</v>
      </c>
      <c r="I8" t="s">
        <v>67</v>
      </c>
      <c r="J8" t="s">
        <v>5</v>
      </c>
      <c r="K8" t="s">
        <v>72</v>
      </c>
      <c r="M8" t="s">
        <v>28</v>
      </c>
      <c r="N8" t="s">
        <v>118</v>
      </c>
      <c r="O8" s="16">
        <v>100000000</v>
      </c>
      <c r="P8">
        <v>3</v>
      </c>
      <c r="Q8">
        <v>0.21</v>
      </c>
      <c r="R8" s="16">
        <v>99979004</v>
      </c>
      <c r="S8" t="s">
        <v>119</v>
      </c>
      <c r="T8" t="s">
        <v>126</v>
      </c>
    </row>
    <row r="9" spans="1:20" x14ac:dyDescent="0.25">
      <c r="A9" t="s">
        <v>53</v>
      </c>
      <c r="B9">
        <v>70</v>
      </c>
      <c r="D9">
        <v>43</v>
      </c>
      <c r="E9">
        <v>4</v>
      </c>
      <c r="F9" t="s">
        <v>86</v>
      </c>
      <c r="G9">
        <v>71111</v>
      </c>
      <c r="H9" t="s">
        <v>70</v>
      </c>
      <c r="I9" t="s">
        <v>67</v>
      </c>
      <c r="J9" t="s">
        <v>5</v>
      </c>
      <c r="K9" t="s">
        <v>72</v>
      </c>
      <c r="M9" t="s">
        <v>23</v>
      </c>
      <c r="N9" t="s">
        <v>83</v>
      </c>
      <c r="O9" s="16">
        <v>100000000</v>
      </c>
      <c r="P9">
        <v>193</v>
      </c>
      <c r="Q9">
        <v>0.25</v>
      </c>
      <c r="R9" s="16">
        <v>98417125</v>
      </c>
      <c r="S9" t="s">
        <v>84</v>
      </c>
      <c r="T9" t="s">
        <v>92</v>
      </c>
    </row>
    <row r="10" spans="1:20" x14ac:dyDescent="0.25">
      <c r="A10" t="s">
        <v>53</v>
      </c>
      <c r="B10">
        <v>54</v>
      </c>
      <c r="D10">
        <v>43</v>
      </c>
      <c r="E10">
        <v>4</v>
      </c>
      <c r="F10" t="s">
        <v>86</v>
      </c>
      <c r="G10">
        <v>71116</v>
      </c>
      <c r="H10" t="s">
        <v>70</v>
      </c>
      <c r="I10" t="s">
        <v>67</v>
      </c>
      <c r="J10" t="s">
        <v>5</v>
      </c>
      <c r="K10" t="s">
        <v>72</v>
      </c>
      <c r="M10" t="s">
        <v>23</v>
      </c>
      <c r="N10" t="s">
        <v>93</v>
      </c>
      <c r="O10" s="16">
        <v>50000000</v>
      </c>
      <c r="P10">
        <v>276</v>
      </c>
      <c r="Q10">
        <v>0.26</v>
      </c>
      <c r="R10" s="16">
        <v>48831940</v>
      </c>
      <c r="S10" t="s">
        <v>94</v>
      </c>
      <c r="T10" t="s">
        <v>95</v>
      </c>
    </row>
    <row r="11" spans="1:20" x14ac:dyDescent="0.25">
      <c r="A11" t="s">
        <v>53</v>
      </c>
      <c r="B11">
        <v>54</v>
      </c>
      <c r="D11">
        <v>43</v>
      </c>
      <c r="E11">
        <v>4</v>
      </c>
      <c r="F11" t="s">
        <v>86</v>
      </c>
      <c r="G11">
        <v>71117</v>
      </c>
      <c r="H11" t="s">
        <v>70</v>
      </c>
      <c r="I11" t="s">
        <v>67</v>
      </c>
      <c r="J11" t="s">
        <v>5</v>
      </c>
      <c r="K11" t="s">
        <v>72</v>
      </c>
      <c r="M11" t="s">
        <v>23</v>
      </c>
      <c r="N11" t="s">
        <v>93</v>
      </c>
      <c r="O11" s="16">
        <v>50000000</v>
      </c>
      <c r="P11">
        <v>276</v>
      </c>
      <c r="Q11">
        <v>0.26</v>
      </c>
      <c r="R11" s="16">
        <v>48831940</v>
      </c>
      <c r="S11" t="s">
        <v>94</v>
      </c>
      <c r="T11" t="s">
        <v>95</v>
      </c>
    </row>
    <row r="12" spans="1:20" x14ac:dyDescent="0.25">
      <c r="A12" t="s">
        <v>53</v>
      </c>
      <c r="B12">
        <v>54</v>
      </c>
      <c r="D12">
        <v>43</v>
      </c>
      <c r="E12">
        <v>4</v>
      </c>
      <c r="F12" t="s">
        <v>86</v>
      </c>
      <c r="G12">
        <v>71118</v>
      </c>
      <c r="H12" t="s">
        <v>70</v>
      </c>
      <c r="I12" t="s">
        <v>67</v>
      </c>
      <c r="J12" t="s">
        <v>5</v>
      </c>
      <c r="K12" t="s">
        <v>72</v>
      </c>
      <c r="M12" t="s">
        <v>23</v>
      </c>
      <c r="N12" t="s">
        <v>93</v>
      </c>
      <c r="O12" s="16">
        <v>50000000</v>
      </c>
      <c r="P12">
        <v>276</v>
      </c>
      <c r="Q12">
        <v>0.26</v>
      </c>
      <c r="R12" s="16">
        <v>48831940</v>
      </c>
      <c r="S12" t="s">
        <v>94</v>
      </c>
      <c r="T12" t="s">
        <v>95</v>
      </c>
    </row>
    <row r="13" spans="1:20" x14ac:dyDescent="0.25">
      <c r="A13" t="s">
        <v>53</v>
      </c>
      <c r="B13">
        <v>54</v>
      </c>
      <c r="D13">
        <v>43</v>
      </c>
      <c r="E13">
        <v>4</v>
      </c>
      <c r="F13" t="s">
        <v>86</v>
      </c>
      <c r="G13">
        <v>71119</v>
      </c>
      <c r="H13" t="s">
        <v>70</v>
      </c>
      <c r="I13" t="s">
        <v>67</v>
      </c>
      <c r="J13" t="s">
        <v>5</v>
      </c>
      <c r="K13" t="s">
        <v>72</v>
      </c>
      <c r="M13" t="s">
        <v>23</v>
      </c>
      <c r="N13" t="s">
        <v>93</v>
      </c>
      <c r="O13" s="16">
        <v>50000000</v>
      </c>
      <c r="P13">
        <v>276</v>
      </c>
      <c r="Q13">
        <v>0.26</v>
      </c>
      <c r="R13" s="16">
        <v>48831940</v>
      </c>
      <c r="S13" t="s">
        <v>94</v>
      </c>
      <c r="T13" t="s">
        <v>95</v>
      </c>
    </row>
    <row r="14" spans="1:20" x14ac:dyDescent="0.25">
      <c r="A14" t="s">
        <v>53</v>
      </c>
      <c r="B14">
        <v>70</v>
      </c>
      <c r="D14">
        <v>66</v>
      </c>
      <c r="E14">
        <v>3</v>
      </c>
      <c r="F14" t="s">
        <v>113</v>
      </c>
      <c r="G14">
        <v>71211</v>
      </c>
      <c r="H14" t="s">
        <v>70</v>
      </c>
      <c r="I14" t="s">
        <v>67</v>
      </c>
      <c r="J14" t="s">
        <v>5</v>
      </c>
      <c r="K14" t="s">
        <v>72</v>
      </c>
      <c r="M14" t="s">
        <v>23</v>
      </c>
      <c r="N14" t="s">
        <v>103</v>
      </c>
      <c r="O14" s="16">
        <v>100000000</v>
      </c>
      <c r="P14">
        <v>17</v>
      </c>
      <c r="Q14">
        <v>0.23</v>
      </c>
      <c r="R14" s="16">
        <v>99869836</v>
      </c>
      <c r="S14" t="s">
        <v>104</v>
      </c>
      <c r="T14" t="s">
        <v>117</v>
      </c>
    </row>
    <row r="15" spans="1:20" x14ac:dyDescent="0.25">
      <c r="A15" t="s">
        <v>53</v>
      </c>
      <c r="B15">
        <v>70</v>
      </c>
      <c r="D15">
        <v>66</v>
      </c>
      <c r="E15">
        <v>3</v>
      </c>
      <c r="F15" t="s">
        <v>113</v>
      </c>
      <c r="G15">
        <v>71212</v>
      </c>
      <c r="H15" t="s">
        <v>70</v>
      </c>
      <c r="I15" t="s">
        <v>67</v>
      </c>
      <c r="J15" t="s">
        <v>5</v>
      </c>
      <c r="K15" t="s">
        <v>72</v>
      </c>
      <c r="M15" t="s">
        <v>23</v>
      </c>
      <c r="N15" t="s">
        <v>103</v>
      </c>
      <c r="O15" s="16">
        <v>100000000</v>
      </c>
      <c r="P15">
        <v>17</v>
      </c>
      <c r="Q15">
        <v>0.23</v>
      </c>
      <c r="R15" s="16">
        <v>99869836</v>
      </c>
      <c r="S15" t="s">
        <v>104</v>
      </c>
      <c r="T15" t="s">
        <v>117</v>
      </c>
    </row>
    <row r="16" spans="1:20" x14ac:dyDescent="0.25">
      <c r="A16" t="s">
        <v>53</v>
      </c>
      <c r="B16">
        <v>70</v>
      </c>
      <c r="D16">
        <v>66</v>
      </c>
      <c r="E16">
        <v>3</v>
      </c>
      <c r="F16" t="s">
        <v>113</v>
      </c>
      <c r="G16">
        <v>71213</v>
      </c>
      <c r="H16" t="s">
        <v>70</v>
      </c>
      <c r="I16" t="s">
        <v>67</v>
      </c>
      <c r="J16" t="s">
        <v>5</v>
      </c>
      <c r="K16" t="s">
        <v>72</v>
      </c>
      <c r="M16" t="s">
        <v>23</v>
      </c>
      <c r="N16" t="s">
        <v>103</v>
      </c>
      <c r="O16" s="16">
        <v>100000000</v>
      </c>
      <c r="P16">
        <v>17</v>
      </c>
      <c r="Q16">
        <v>0.23</v>
      </c>
      <c r="R16" s="16">
        <v>99869836</v>
      </c>
      <c r="S16" t="s">
        <v>104</v>
      </c>
      <c r="T16" t="s">
        <v>117</v>
      </c>
    </row>
    <row r="17" spans="1:20" x14ac:dyDescent="0.25">
      <c r="A17" t="s">
        <v>53</v>
      </c>
      <c r="B17">
        <v>70</v>
      </c>
      <c r="D17">
        <v>66</v>
      </c>
      <c r="E17">
        <v>3</v>
      </c>
      <c r="F17" t="s">
        <v>113</v>
      </c>
      <c r="G17">
        <v>71214</v>
      </c>
      <c r="H17" t="s">
        <v>70</v>
      </c>
      <c r="I17" t="s">
        <v>67</v>
      </c>
      <c r="J17" t="s">
        <v>5</v>
      </c>
      <c r="K17" t="s">
        <v>72</v>
      </c>
      <c r="M17" t="s">
        <v>23</v>
      </c>
      <c r="N17" t="s">
        <v>103</v>
      </c>
      <c r="O17" s="16">
        <v>100000000</v>
      </c>
      <c r="P17">
        <v>17</v>
      </c>
      <c r="Q17">
        <v>0.23</v>
      </c>
      <c r="R17" s="16">
        <v>99869836</v>
      </c>
      <c r="S17" t="s">
        <v>104</v>
      </c>
      <c r="T17" t="s">
        <v>117</v>
      </c>
    </row>
    <row r="18" spans="1:20" x14ac:dyDescent="0.25">
      <c r="A18" t="s">
        <v>53</v>
      </c>
      <c r="B18">
        <v>85</v>
      </c>
      <c r="D18">
        <v>66</v>
      </c>
      <c r="E18">
        <v>3</v>
      </c>
      <c r="F18" t="s">
        <v>113</v>
      </c>
      <c r="G18">
        <v>71246</v>
      </c>
      <c r="H18" t="s">
        <v>70</v>
      </c>
      <c r="I18" t="s">
        <v>67</v>
      </c>
      <c r="J18" t="s">
        <v>5</v>
      </c>
      <c r="K18" t="s">
        <v>72</v>
      </c>
      <c r="M18" t="s">
        <v>23</v>
      </c>
      <c r="N18" t="s">
        <v>118</v>
      </c>
      <c r="O18" s="16">
        <v>200000000</v>
      </c>
      <c r="P18">
        <v>34</v>
      </c>
      <c r="Q18">
        <v>0.23</v>
      </c>
      <c r="R18" s="16">
        <v>199480022</v>
      </c>
      <c r="S18" t="s">
        <v>119</v>
      </c>
      <c r="T18" t="s">
        <v>120</v>
      </c>
    </row>
    <row r="19" spans="1:20" x14ac:dyDescent="0.25">
      <c r="A19" t="s">
        <v>53</v>
      </c>
      <c r="B19">
        <v>85</v>
      </c>
      <c r="D19">
        <v>66</v>
      </c>
      <c r="E19">
        <v>3</v>
      </c>
      <c r="F19" t="s">
        <v>113</v>
      </c>
      <c r="G19">
        <v>71247</v>
      </c>
      <c r="H19" t="s">
        <v>70</v>
      </c>
      <c r="I19" t="s">
        <v>67</v>
      </c>
      <c r="J19" t="s">
        <v>5</v>
      </c>
      <c r="K19" t="s">
        <v>72</v>
      </c>
      <c r="M19" t="s">
        <v>23</v>
      </c>
      <c r="N19" t="s">
        <v>118</v>
      </c>
      <c r="O19" s="16">
        <v>200000000</v>
      </c>
      <c r="P19">
        <v>34</v>
      </c>
      <c r="Q19">
        <v>0.23</v>
      </c>
      <c r="R19" s="16">
        <v>199480022</v>
      </c>
      <c r="S19" t="s">
        <v>119</v>
      </c>
      <c r="T19" t="s">
        <v>120</v>
      </c>
    </row>
    <row r="20" spans="1:20" x14ac:dyDescent="0.25">
      <c r="A20" t="s">
        <v>53</v>
      </c>
      <c r="B20">
        <v>85</v>
      </c>
      <c r="D20">
        <v>66</v>
      </c>
      <c r="E20">
        <v>3</v>
      </c>
      <c r="F20" t="s">
        <v>113</v>
      </c>
      <c r="G20">
        <v>71248</v>
      </c>
      <c r="H20" t="s">
        <v>70</v>
      </c>
      <c r="I20" t="s">
        <v>67</v>
      </c>
      <c r="J20" t="s">
        <v>5</v>
      </c>
      <c r="K20" t="s">
        <v>72</v>
      </c>
      <c r="M20" t="s">
        <v>23</v>
      </c>
      <c r="N20" t="s">
        <v>118</v>
      </c>
      <c r="O20" s="16">
        <v>200000000</v>
      </c>
      <c r="P20">
        <v>34</v>
      </c>
      <c r="Q20">
        <v>0.23</v>
      </c>
      <c r="R20" s="16">
        <v>199480022</v>
      </c>
      <c r="S20" t="s">
        <v>119</v>
      </c>
      <c r="T20" t="s">
        <v>120</v>
      </c>
    </row>
    <row r="21" spans="1:20" x14ac:dyDescent="0.25">
      <c r="A21" t="s">
        <v>53</v>
      </c>
      <c r="B21">
        <v>48</v>
      </c>
      <c r="D21">
        <v>66</v>
      </c>
      <c r="E21">
        <v>3</v>
      </c>
      <c r="F21" t="s">
        <v>113</v>
      </c>
      <c r="G21">
        <v>71343</v>
      </c>
      <c r="H21" t="s">
        <v>70</v>
      </c>
      <c r="I21" t="s">
        <v>67</v>
      </c>
      <c r="J21" t="s">
        <v>5</v>
      </c>
      <c r="K21" t="s">
        <v>72</v>
      </c>
      <c r="M21" t="s">
        <v>23</v>
      </c>
      <c r="N21" t="s">
        <v>121</v>
      </c>
      <c r="O21" s="16">
        <v>133000000</v>
      </c>
      <c r="P21">
        <v>102</v>
      </c>
      <c r="Q21">
        <v>0.24</v>
      </c>
      <c r="R21" s="16">
        <v>131923504</v>
      </c>
      <c r="S21" t="s">
        <v>122</v>
      </c>
      <c r="T21" t="s">
        <v>123</v>
      </c>
    </row>
    <row r="22" spans="1:20" x14ac:dyDescent="0.25">
      <c r="A22" t="s">
        <v>53</v>
      </c>
      <c r="B22">
        <v>48</v>
      </c>
      <c r="D22">
        <v>66</v>
      </c>
      <c r="E22">
        <v>3</v>
      </c>
      <c r="F22" t="s">
        <v>113</v>
      </c>
      <c r="G22">
        <v>71344</v>
      </c>
      <c r="H22" t="s">
        <v>70</v>
      </c>
      <c r="I22" t="s">
        <v>67</v>
      </c>
      <c r="J22" t="s">
        <v>5</v>
      </c>
      <c r="K22" t="s">
        <v>72</v>
      </c>
      <c r="M22" t="s">
        <v>23</v>
      </c>
      <c r="N22" t="s">
        <v>121</v>
      </c>
      <c r="O22" s="16">
        <v>133000000</v>
      </c>
      <c r="P22">
        <v>102</v>
      </c>
      <c r="Q22">
        <v>0.24</v>
      </c>
      <c r="R22" s="16">
        <v>131923504</v>
      </c>
      <c r="S22" t="s">
        <v>122</v>
      </c>
      <c r="T22" t="s">
        <v>123</v>
      </c>
    </row>
    <row r="23" spans="1:20" x14ac:dyDescent="0.25">
      <c r="A23" t="s">
        <v>53</v>
      </c>
      <c r="B23">
        <v>48</v>
      </c>
      <c r="D23">
        <v>66</v>
      </c>
      <c r="E23">
        <v>3</v>
      </c>
      <c r="F23" t="s">
        <v>113</v>
      </c>
      <c r="G23">
        <v>71345</v>
      </c>
      <c r="H23" t="s">
        <v>70</v>
      </c>
      <c r="I23" t="s">
        <v>67</v>
      </c>
      <c r="J23" t="s">
        <v>5</v>
      </c>
      <c r="K23" t="s">
        <v>72</v>
      </c>
      <c r="M23" t="s">
        <v>23</v>
      </c>
      <c r="N23" t="s">
        <v>121</v>
      </c>
      <c r="O23" s="16">
        <v>133000000</v>
      </c>
      <c r="P23">
        <v>102</v>
      </c>
      <c r="Q23">
        <v>0.24</v>
      </c>
      <c r="R23" s="16">
        <v>131923504</v>
      </c>
      <c r="S23" t="s">
        <v>122</v>
      </c>
      <c r="T23" t="s">
        <v>123</v>
      </c>
    </row>
    <row r="24" spans="1:20" x14ac:dyDescent="0.25">
      <c r="A24" t="s">
        <v>53</v>
      </c>
      <c r="B24">
        <v>48</v>
      </c>
      <c r="D24">
        <v>66</v>
      </c>
      <c r="E24">
        <v>3</v>
      </c>
      <c r="F24" t="s">
        <v>113</v>
      </c>
      <c r="G24">
        <v>71346</v>
      </c>
      <c r="H24" t="s">
        <v>70</v>
      </c>
      <c r="I24" t="s">
        <v>67</v>
      </c>
      <c r="J24" t="s">
        <v>5</v>
      </c>
      <c r="K24" t="s">
        <v>72</v>
      </c>
      <c r="M24" t="s">
        <v>23</v>
      </c>
      <c r="N24" t="s">
        <v>121</v>
      </c>
      <c r="O24" s="16">
        <v>133000000</v>
      </c>
      <c r="P24">
        <v>102</v>
      </c>
      <c r="Q24">
        <v>0.24</v>
      </c>
      <c r="R24" s="16">
        <v>131923504</v>
      </c>
      <c r="S24" t="s">
        <v>122</v>
      </c>
      <c r="T24" t="s">
        <v>123</v>
      </c>
    </row>
    <row r="25" spans="1:20" x14ac:dyDescent="0.25">
      <c r="A25" t="s">
        <v>53</v>
      </c>
      <c r="B25">
        <v>48</v>
      </c>
      <c r="D25">
        <v>66</v>
      </c>
      <c r="E25">
        <v>3</v>
      </c>
      <c r="F25" t="s">
        <v>113</v>
      </c>
      <c r="G25">
        <v>71347</v>
      </c>
      <c r="H25" t="s">
        <v>70</v>
      </c>
      <c r="I25" t="s">
        <v>67</v>
      </c>
      <c r="J25" t="s">
        <v>5</v>
      </c>
      <c r="K25" t="s">
        <v>72</v>
      </c>
      <c r="M25" t="s">
        <v>23</v>
      </c>
      <c r="N25" t="s">
        <v>121</v>
      </c>
      <c r="O25" s="16">
        <v>133000000</v>
      </c>
      <c r="P25">
        <v>102</v>
      </c>
      <c r="Q25">
        <v>0.24</v>
      </c>
      <c r="R25" s="16">
        <v>131923504</v>
      </c>
      <c r="S25" t="s">
        <v>122</v>
      </c>
      <c r="T25" t="s">
        <v>123</v>
      </c>
    </row>
    <row r="26" spans="1:20" x14ac:dyDescent="0.25">
      <c r="A26" t="s">
        <v>53</v>
      </c>
      <c r="B26">
        <v>48</v>
      </c>
      <c r="D26">
        <v>66</v>
      </c>
      <c r="E26">
        <v>3</v>
      </c>
      <c r="F26" t="s">
        <v>113</v>
      </c>
      <c r="G26">
        <v>71348</v>
      </c>
      <c r="H26" t="s">
        <v>70</v>
      </c>
      <c r="I26" t="s">
        <v>67</v>
      </c>
      <c r="J26" t="s">
        <v>5</v>
      </c>
      <c r="K26" t="s">
        <v>72</v>
      </c>
      <c r="M26" t="s">
        <v>23</v>
      </c>
      <c r="N26" t="s">
        <v>121</v>
      </c>
      <c r="O26" s="16">
        <v>133000000</v>
      </c>
      <c r="P26">
        <v>102</v>
      </c>
      <c r="Q26">
        <v>0.24</v>
      </c>
      <c r="R26" s="16">
        <v>131923504</v>
      </c>
      <c r="S26" t="s">
        <v>122</v>
      </c>
      <c r="T26" t="s">
        <v>123</v>
      </c>
    </row>
    <row r="27" spans="1:20" x14ac:dyDescent="0.25">
      <c r="A27" t="s">
        <v>53</v>
      </c>
      <c r="B27">
        <v>48</v>
      </c>
      <c r="D27">
        <v>66</v>
      </c>
      <c r="E27">
        <v>3</v>
      </c>
      <c r="F27" t="s">
        <v>113</v>
      </c>
      <c r="G27">
        <v>71349</v>
      </c>
      <c r="H27" t="s">
        <v>70</v>
      </c>
      <c r="I27" t="s">
        <v>67</v>
      </c>
      <c r="J27" t="s">
        <v>5</v>
      </c>
      <c r="K27" t="s">
        <v>72</v>
      </c>
      <c r="M27" t="s">
        <v>23</v>
      </c>
      <c r="N27" t="s">
        <v>121</v>
      </c>
      <c r="O27" s="16">
        <v>133000000</v>
      </c>
      <c r="P27">
        <v>102</v>
      </c>
      <c r="Q27">
        <v>0.24</v>
      </c>
      <c r="R27" s="16">
        <v>131923504</v>
      </c>
      <c r="S27" t="s">
        <v>122</v>
      </c>
      <c r="T27" t="s">
        <v>123</v>
      </c>
    </row>
    <row r="28" spans="1:20" x14ac:dyDescent="0.25">
      <c r="A28" t="s">
        <v>53</v>
      </c>
      <c r="B28">
        <v>48</v>
      </c>
      <c r="D28">
        <v>66</v>
      </c>
      <c r="E28">
        <v>3</v>
      </c>
      <c r="F28" t="s">
        <v>113</v>
      </c>
      <c r="G28">
        <v>71350</v>
      </c>
      <c r="H28" t="s">
        <v>70</v>
      </c>
      <c r="I28" t="s">
        <v>67</v>
      </c>
      <c r="J28" t="s">
        <v>5</v>
      </c>
      <c r="K28" t="s">
        <v>72</v>
      </c>
      <c r="M28" t="s">
        <v>23</v>
      </c>
      <c r="N28" t="s">
        <v>121</v>
      </c>
      <c r="O28" s="16">
        <v>133000000</v>
      </c>
      <c r="P28">
        <v>102</v>
      </c>
      <c r="Q28">
        <v>0.24</v>
      </c>
      <c r="R28" s="16">
        <v>131923504</v>
      </c>
      <c r="S28" t="s">
        <v>122</v>
      </c>
      <c r="T28" t="s">
        <v>123</v>
      </c>
    </row>
    <row r="29" spans="1:20" x14ac:dyDescent="0.25">
      <c r="A29" t="s">
        <v>53</v>
      </c>
      <c r="B29">
        <v>58</v>
      </c>
      <c r="D29">
        <v>66</v>
      </c>
      <c r="E29">
        <v>3</v>
      </c>
      <c r="F29" t="s">
        <v>113</v>
      </c>
      <c r="G29">
        <v>71363</v>
      </c>
      <c r="H29" t="s">
        <v>70</v>
      </c>
      <c r="I29" t="s">
        <v>67</v>
      </c>
      <c r="J29" t="s">
        <v>5</v>
      </c>
      <c r="K29" t="s">
        <v>72</v>
      </c>
      <c r="M29" t="s">
        <v>23</v>
      </c>
      <c r="N29" t="s">
        <v>110</v>
      </c>
      <c r="O29" s="16">
        <v>412210000</v>
      </c>
      <c r="P29">
        <v>104</v>
      </c>
      <c r="Q29">
        <v>0.24</v>
      </c>
      <c r="R29" s="16">
        <v>408808712</v>
      </c>
      <c r="S29" t="s">
        <v>111</v>
      </c>
      <c r="T29" t="s">
        <v>124</v>
      </c>
    </row>
    <row r="30" spans="1:20" x14ac:dyDescent="0.25">
      <c r="A30" t="s">
        <v>53</v>
      </c>
      <c r="B30">
        <v>58</v>
      </c>
      <c r="D30">
        <v>66</v>
      </c>
      <c r="E30">
        <v>3</v>
      </c>
      <c r="F30" t="s">
        <v>113</v>
      </c>
      <c r="G30">
        <v>71364</v>
      </c>
      <c r="H30" t="s">
        <v>70</v>
      </c>
      <c r="I30" t="s">
        <v>67</v>
      </c>
      <c r="J30" t="s">
        <v>5</v>
      </c>
      <c r="K30" t="s">
        <v>72</v>
      </c>
      <c r="M30" t="s">
        <v>23</v>
      </c>
      <c r="N30" t="s">
        <v>110</v>
      </c>
      <c r="O30" s="16">
        <v>412210000</v>
      </c>
      <c r="P30">
        <v>104</v>
      </c>
      <c r="Q30">
        <v>0.24</v>
      </c>
      <c r="R30" s="16">
        <v>408808712</v>
      </c>
      <c r="S30" t="s">
        <v>111</v>
      </c>
      <c r="T30" t="s">
        <v>124</v>
      </c>
    </row>
    <row r="31" spans="1:20" x14ac:dyDescent="0.25">
      <c r="A31" t="s">
        <v>53</v>
      </c>
      <c r="B31">
        <v>58</v>
      </c>
      <c r="D31">
        <v>66</v>
      </c>
      <c r="E31">
        <v>3</v>
      </c>
      <c r="F31" t="s">
        <v>113</v>
      </c>
      <c r="G31">
        <v>71365</v>
      </c>
      <c r="H31" t="s">
        <v>70</v>
      </c>
      <c r="I31" t="s">
        <v>67</v>
      </c>
      <c r="J31" t="s">
        <v>5</v>
      </c>
      <c r="K31" t="s">
        <v>72</v>
      </c>
      <c r="M31" t="s">
        <v>23</v>
      </c>
      <c r="N31" t="s">
        <v>110</v>
      </c>
      <c r="O31" s="16">
        <v>412210000</v>
      </c>
      <c r="P31">
        <v>104</v>
      </c>
      <c r="Q31">
        <v>0.24</v>
      </c>
      <c r="R31" s="16">
        <v>408808712</v>
      </c>
      <c r="S31" t="s">
        <v>111</v>
      </c>
      <c r="T31" t="s">
        <v>124</v>
      </c>
    </row>
    <row r="32" spans="1:20" x14ac:dyDescent="0.25">
      <c r="A32" t="s">
        <v>53</v>
      </c>
      <c r="B32">
        <v>43</v>
      </c>
      <c r="D32">
        <v>66</v>
      </c>
      <c r="E32">
        <v>3</v>
      </c>
      <c r="F32" t="s">
        <v>125</v>
      </c>
      <c r="G32">
        <v>71452</v>
      </c>
      <c r="H32" t="s">
        <v>70</v>
      </c>
      <c r="I32" t="s">
        <v>67</v>
      </c>
      <c r="J32" t="s">
        <v>5</v>
      </c>
      <c r="K32" t="s">
        <v>72</v>
      </c>
      <c r="M32" t="s">
        <v>23</v>
      </c>
      <c r="N32" t="s">
        <v>118</v>
      </c>
      <c r="O32" s="16">
        <v>100000000</v>
      </c>
      <c r="P32">
        <v>3</v>
      </c>
      <c r="Q32">
        <v>0.21</v>
      </c>
      <c r="R32" s="16">
        <v>99979004</v>
      </c>
      <c r="S32" t="s">
        <v>119</v>
      </c>
      <c r="T32" t="s">
        <v>126</v>
      </c>
    </row>
    <row r="33" spans="1:20" x14ac:dyDescent="0.25">
      <c r="A33" t="s">
        <v>53</v>
      </c>
      <c r="B33">
        <v>43</v>
      </c>
      <c r="D33">
        <v>66</v>
      </c>
      <c r="E33">
        <v>3</v>
      </c>
      <c r="F33" t="s">
        <v>125</v>
      </c>
      <c r="G33">
        <v>71453</v>
      </c>
      <c r="H33" t="s">
        <v>70</v>
      </c>
      <c r="I33" t="s">
        <v>67</v>
      </c>
      <c r="J33" t="s">
        <v>5</v>
      </c>
      <c r="K33" t="s">
        <v>72</v>
      </c>
      <c r="M33" t="s">
        <v>23</v>
      </c>
      <c r="N33" t="s">
        <v>118</v>
      </c>
      <c r="O33" s="16">
        <v>100000000</v>
      </c>
      <c r="P33">
        <v>3</v>
      </c>
      <c r="Q33">
        <v>0.21</v>
      </c>
      <c r="R33" s="16">
        <v>99979004</v>
      </c>
      <c r="S33" t="s">
        <v>119</v>
      </c>
      <c r="T33" t="s">
        <v>126</v>
      </c>
    </row>
    <row r="34" spans="1:20" x14ac:dyDescent="0.25">
      <c r="A34" t="s">
        <v>53</v>
      </c>
      <c r="B34">
        <v>43</v>
      </c>
      <c r="C34">
        <v>4</v>
      </c>
      <c r="D34">
        <v>43</v>
      </c>
      <c r="E34">
        <v>4</v>
      </c>
      <c r="F34" t="s">
        <v>64</v>
      </c>
      <c r="G34">
        <v>160078</v>
      </c>
      <c r="H34" t="s">
        <v>70</v>
      </c>
      <c r="I34" t="s">
        <v>101</v>
      </c>
      <c r="J34" t="s">
        <v>5</v>
      </c>
      <c r="K34" t="s">
        <v>72</v>
      </c>
      <c r="L34" t="s">
        <v>26</v>
      </c>
      <c r="M34" t="s">
        <v>23</v>
      </c>
      <c r="N34" t="s">
        <v>80</v>
      </c>
      <c r="O34" s="16">
        <v>100000000</v>
      </c>
      <c r="P34">
        <v>3</v>
      </c>
      <c r="Q34">
        <v>0.22</v>
      </c>
      <c r="R34" s="16">
        <v>99978005</v>
      </c>
      <c r="S34" t="s">
        <v>81</v>
      </c>
      <c r="T34" t="s">
        <v>102</v>
      </c>
    </row>
    <row r="35" spans="1:20" x14ac:dyDescent="0.25">
      <c r="A35" t="s">
        <v>53</v>
      </c>
      <c r="B35">
        <v>43</v>
      </c>
      <c r="C35">
        <v>4</v>
      </c>
      <c r="D35">
        <v>43</v>
      </c>
      <c r="E35">
        <v>4</v>
      </c>
      <c r="F35" t="s">
        <v>64</v>
      </c>
      <c r="G35">
        <v>160079</v>
      </c>
      <c r="H35" t="s">
        <v>70</v>
      </c>
      <c r="I35" t="s">
        <v>101</v>
      </c>
      <c r="J35" t="s">
        <v>5</v>
      </c>
      <c r="K35" t="s">
        <v>72</v>
      </c>
      <c r="L35" t="s">
        <v>26</v>
      </c>
      <c r="M35" t="s">
        <v>23</v>
      </c>
      <c r="N35" t="s">
        <v>103</v>
      </c>
      <c r="O35" s="16">
        <v>50000000</v>
      </c>
      <c r="P35">
        <v>3</v>
      </c>
      <c r="Q35">
        <v>0.23</v>
      </c>
      <c r="R35" s="16">
        <v>49988503</v>
      </c>
      <c r="S35" t="s">
        <v>104</v>
      </c>
      <c r="T35" t="s">
        <v>105</v>
      </c>
    </row>
    <row r="36" spans="1:20" x14ac:dyDescent="0.25">
      <c r="A36" t="s">
        <v>53</v>
      </c>
      <c r="B36">
        <v>43</v>
      </c>
      <c r="C36">
        <v>4</v>
      </c>
      <c r="D36">
        <v>43</v>
      </c>
      <c r="E36">
        <v>4</v>
      </c>
      <c r="F36" t="s">
        <v>64</v>
      </c>
      <c r="G36">
        <v>160083</v>
      </c>
      <c r="H36" t="s">
        <v>70</v>
      </c>
      <c r="I36" t="s">
        <v>101</v>
      </c>
      <c r="J36" t="s">
        <v>5</v>
      </c>
      <c r="K36" t="s">
        <v>72</v>
      </c>
      <c r="L36" t="s">
        <v>26</v>
      </c>
      <c r="M36" t="s">
        <v>23</v>
      </c>
      <c r="N36" t="s">
        <v>103</v>
      </c>
      <c r="O36" s="16">
        <v>110440000</v>
      </c>
      <c r="P36">
        <v>82</v>
      </c>
      <c r="Q36">
        <v>0.25</v>
      </c>
      <c r="R36" s="16">
        <v>109690449</v>
      </c>
      <c r="S36" t="s">
        <v>104</v>
      </c>
      <c r="T36" t="s">
        <v>106</v>
      </c>
    </row>
    <row r="37" spans="1:20" x14ac:dyDescent="0.25">
      <c r="A37" t="s">
        <v>53</v>
      </c>
      <c r="B37">
        <v>43</v>
      </c>
      <c r="C37">
        <v>4</v>
      </c>
      <c r="D37">
        <v>43</v>
      </c>
      <c r="E37">
        <v>4</v>
      </c>
      <c r="F37" t="s">
        <v>64</v>
      </c>
      <c r="G37">
        <v>160085</v>
      </c>
      <c r="H37" t="s">
        <v>70</v>
      </c>
      <c r="I37" t="s">
        <v>101</v>
      </c>
      <c r="J37" t="s">
        <v>5</v>
      </c>
      <c r="K37" t="s">
        <v>72</v>
      </c>
      <c r="L37" t="s">
        <v>26</v>
      </c>
      <c r="M37" t="s">
        <v>23</v>
      </c>
      <c r="N37" t="s">
        <v>107</v>
      </c>
      <c r="O37" s="16">
        <v>150000000</v>
      </c>
      <c r="P37">
        <v>130</v>
      </c>
      <c r="Q37">
        <v>0.25</v>
      </c>
      <c r="R37" s="16">
        <v>148392415</v>
      </c>
      <c r="S37" t="s">
        <v>108</v>
      </c>
      <c r="T37" t="s">
        <v>109</v>
      </c>
    </row>
    <row r="38" spans="1:20" x14ac:dyDescent="0.25">
      <c r="A38" t="s">
        <v>53</v>
      </c>
      <c r="B38">
        <v>43</v>
      </c>
      <c r="C38">
        <v>4</v>
      </c>
      <c r="D38">
        <v>43</v>
      </c>
      <c r="E38">
        <v>4</v>
      </c>
      <c r="F38" t="s">
        <v>64</v>
      </c>
      <c r="G38">
        <v>160086</v>
      </c>
      <c r="H38" t="s">
        <v>70</v>
      </c>
      <c r="I38" t="s">
        <v>101</v>
      </c>
      <c r="J38" t="s">
        <v>5</v>
      </c>
      <c r="K38" t="s">
        <v>72</v>
      </c>
      <c r="L38" t="s">
        <v>26</v>
      </c>
      <c r="M38" t="s">
        <v>23</v>
      </c>
      <c r="N38" t="s">
        <v>110</v>
      </c>
      <c r="O38" s="16">
        <v>200000000</v>
      </c>
      <c r="P38">
        <v>199</v>
      </c>
      <c r="Q38">
        <v>0.25</v>
      </c>
      <c r="R38" s="16">
        <v>196737437</v>
      </c>
      <c r="S38" t="s">
        <v>111</v>
      </c>
      <c r="T38" t="s">
        <v>112</v>
      </c>
    </row>
    <row r="39" spans="1:20" x14ac:dyDescent="0.25">
      <c r="A39" t="s">
        <v>53</v>
      </c>
      <c r="B39">
        <v>35</v>
      </c>
      <c r="D39">
        <v>66</v>
      </c>
      <c r="E39">
        <v>3</v>
      </c>
      <c r="F39" t="s">
        <v>125</v>
      </c>
      <c r="G39">
        <v>71866</v>
      </c>
      <c r="H39" t="s">
        <v>131</v>
      </c>
      <c r="I39" t="s">
        <v>67</v>
      </c>
      <c r="J39" t="s">
        <v>5</v>
      </c>
      <c r="K39" t="s">
        <v>133</v>
      </c>
      <c r="M39" t="s">
        <v>24</v>
      </c>
      <c r="N39" t="s">
        <v>132</v>
      </c>
      <c r="O39" s="16">
        <v>100000</v>
      </c>
      <c r="P39">
        <v>3</v>
      </c>
      <c r="Q39">
        <v>1.1000000000000001</v>
      </c>
      <c r="R39" s="16">
        <v>99990.83</v>
      </c>
      <c r="S39" t="s">
        <v>134</v>
      </c>
      <c r="T39" t="s">
        <v>135</v>
      </c>
    </row>
    <row r="40" spans="1:20" x14ac:dyDescent="0.25">
      <c r="A40" t="s">
        <v>53</v>
      </c>
      <c r="B40">
        <v>35</v>
      </c>
      <c r="D40">
        <v>66</v>
      </c>
      <c r="E40">
        <v>3</v>
      </c>
      <c r="F40" t="s">
        <v>125</v>
      </c>
      <c r="G40">
        <v>71867</v>
      </c>
      <c r="H40" t="s">
        <v>131</v>
      </c>
      <c r="I40" t="s">
        <v>67</v>
      </c>
      <c r="J40" t="s">
        <v>5</v>
      </c>
      <c r="K40" t="s">
        <v>133</v>
      </c>
      <c r="M40" t="s">
        <v>24</v>
      </c>
      <c r="N40" t="s">
        <v>132</v>
      </c>
      <c r="O40" s="16">
        <v>100000</v>
      </c>
      <c r="P40">
        <v>3</v>
      </c>
      <c r="Q40">
        <v>1.1000000000000001</v>
      </c>
      <c r="R40" s="16">
        <v>99990.83</v>
      </c>
      <c r="S40" t="s">
        <v>134</v>
      </c>
      <c r="T40" t="s">
        <v>135</v>
      </c>
    </row>
    <row r="41" spans="1:20" x14ac:dyDescent="0.25">
      <c r="A41" t="s">
        <v>53</v>
      </c>
      <c r="B41">
        <v>35</v>
      </c>
      <c r="D41">
        <v>66</v>
      </c>
      <c r="E41">
        <v>4</v>
      </c>
      <c r="F41" t="s">
        <v>86</v>
      </c>
      <c r="G41">
        <v>71048</v>
      </c>
      <c r="H41" t="s">
        <v>70</v>
      </c>
      <c r="I41" t="s">
        <v>67</v>
      </c>
      <c r="J41" t="s">
        <v>5</v>
      </c>
      <c r="K41" t="s">
        <v>72</v>
      </c>
      <c r="M41" t="s">
        <v>73</v>
      </c>
      <c r="N41" t="s">
        <v>83</v>
      </c>
      <c r="O41" s="16">
        <v>60000000</v>
      </c>
      <c r="P41">
        <v>98</v>
      </c>
      <c r="Q41">
        <v>0.24</v>
      </c>
      <c r="R41" s="16">
        <v>59533259</v>
      </c>
      <c r="S41" t="s">
        <v>84</v>
      </c>
      <c r="T41" t="s">
        <v>90</v>
      </c>
    </row>
    <row r="42" spans="1:20" x14ac:dyDescent="0.25">
      <c r="A42" t="s">
        <v>53</v>
      </c>
      <c r="B42">
        <v>35</v>
      </c>
      <c r="D42">
        <v>66</v>
      </c>
      <c r="E42">
        <v>4</v>
      </c>
      <c r="F42" t="s">
        <v>86</v>
      </c>
      <c r="G42">
        <v>71109</v>
      </c>
      <c r="H42" t="s">
        <v>70</v>
      </c>
      <c r="I42" t="s">
        <v>67</v>
      </c>
      <c r="J42" t="s">
        <v>5</v>
      </c>
      <c r="K42" t="s">
        <v>72</v>
      </c>
      <c r="M42" t="s">
        <v>73</v>
      </c>
      <c r="N42" t="s">
        <v>77</v>
      </c>
      <c r="O42" s="16">
        <v>50000000</v>
      </c>
      <c r="P42">
        <v>168</v>
      </c>
      <c r="Q42">
        <v>0.25</v>
      </c>
      <c r="R42" s="16">
        <v>49309665</v>
      </c>
      <c r="S42" t="s">
        <v>78</v>
      </c>
      <c r="T42" t="s">
        <v>91</v>
      </c>
    </row>
    <row r="43" spans="1:20" x14ac:dyDescent="0.25">
      <c r="A43" t="s">
        <v>53</v>
      </c>
      <c r="B43">
        <v>35</v>
      </c>
      <c r="D43">
        <v>66</v>
      </c>
      <c r="E43">
        <v>4</v>
      </c>
      <c r="F43" t="s">
        <v>86</v>
      </c>
      <c r="G43">
        <v>71110</v>
      </c>
      <c r="H43" t="s">
        <v>70</v>
      </c>
      <c r="I43" t="s">
        <v>67</v>
      </c>
      <c r="J43" t="s">
        <v>5</v>
      </c>
      <c r="K43" t="s">
        <v>72</v>
      </c>
      <c r="M43" t="s">
        <v>73</v>
      </c>
      <c r="N43" t="s">
        <v>77</v>
      </c>
      <c r="O43" s="16">
        <v>50000000</v>
      </c>
      <c r="P43">
        <v>168</v>
      </c>
      <c r="Q43">
        <v>0.25</v>
      </c>
      <c r="R43" s="16">
        <v>49309665</v>
      </c>
      <c r="S43" t="s">
        <v>78</v>
      </c>
      <c r="T43" t="s">
        <v>91</v>
      </c>
    </row>
    <row r="44" spans="1:20" x14ac:dyDescent="0.25">
      <c r="A44" t="s">
        <v>53</v>
      </c>
      <c r="B44">
        <v>85</v>
      </c>
      <c r="D44">
        <v>66</v>
      </c>
      <c r="E44">
        <v>3</v>
      </c>
      <c r="F44" t="s">
        <v>113</v>
      </c>
      <c r="G44">
        <v>71252</v>
      </c>
      <c r="H44" t="s">
        <v>70</v>
      </c>
      <c r="I44" t="s">
        <v>67</v>
      </c>
      <c r="J44" t="s">
        <v>5</v>
      </c>
      <c r="K44" t="s">
        <v>72</v>
      </c>
      <c r="M44" t="s">
        <v>29</v>
      </c>
      <c r="N44" t="s">
        <v>118</v>
      </c>
      <c r="O44" s="16">
        <v>200000000</v>
      </c>
      <c r="P44">
        <v>34</v>
      </c>
      <c r="Q44">
        <v>0.23</v>
      </c>
      <c r="R44" s="16">
        <v>199480022</v>
      </c>
      <c r="S44" t="s">
        <v>119</v>
      </c>
      <c r="T44" t="s">
        <v>120</v>
      </c>
    </row>
    <row r="45" spans="1:20" x14ac:dyDescent="0.25">
      <c r="A45" t="s">
        <v>53</v>
      </c>
      <c r="B45">
        <v>66</v>
      </c>
      <c r="C45">
        <v>4</v>
      </c>
      <c r="D45">
        <v>20</v>
      </c>
      <c r="F45" t="s">
        <v>69</v>
      </c>
      <c r="G45">
        <v>70245</v>
      </c>
      <c r="H45" t="s">
        <v>70</v>
      </c>
      <c r="I45" t="s">
        <v>67</v>
      </c>
      <c r="J45" t="s">
        <v>5</v>
      </c>
      <c r="K45" t="s">
        <v>72</v>
      </c>
      <c r="L45" t="s">
        <v>73</v>
      </c>
      <c r="N45" t="s">
        <v>71</v>
      </c>
      <c r="O45" s="16">
        <v>50000000</v>
      </c>
      <c r="P45">
        <v>21</v>
      </c>
      <c r="Q45">
        <v>0.22</v>
      </c>
      <c r="R45" s="16">
        <v>49923118</v>
      </c>
      <c r="S45" t="s">
        <v>74</v>
      </c>
      <c r="T45" t="s">
        <v>75</v>
      </c>
    </row>
    <row r="46" spans="1:20" x14ac:dyDescent="0.25">
      <c r="A46" t="s">
        <v>53</v>
      </c>
      <c r="B46">
        <v>66</v>
      </c>
      <c r="C46">
        <v>4</v>
      </c>
      <c r="D46">
        <v>54</v>
      </c>
      <c r="F46" t="s">
        <v>54</v>
      </c>
      <c r="G46">
        <v>70483</v>
      </c>
      <c r="H46" t="s">
        <v>70</v>
      </c>
      <c r="I46" t="s">
        <v>67</v>
      </c>
      <c r="J46" t="s">
        <v>5</v>
      </c>
      <c r="K46" t="s">
        <v>72</v>
      </c>
      <c r="L46" t="s">
        <v>73</v>
      </c>
      <c r="N46" t="s">
        <v>71</v>
      </c>
      <c r="O46" s="16">
        <v>227383740</v>
      </c>
      <c r="P46">
        <v>18</v>
      </c>
      <c r="Q46">
        <v>0.22</v>
      </c>
      <c r="R46" s="16">
        <v>227083989</v>
      </c>
      <c r="S46" t="s">
        <v>74</v>
      </c>
      <c r="T46" t="s">
        <v>76</v>
      </c>
    </row>
    <row r="47" spans="1:20" x14ac:dyDescent="0.25">
      <c r="A47" t="s">
        <v>53</v>
      </c>
      <c r="B47">
        <v>43</v>
      </c>
      <c r="C47">
        <v>4</v>
      </c>
      <c r="D47">
        <v>58</v>
      </c>
      <c r="F47" t="s">
        <v>54</v>
      </c>
      <c r="G47">
        <v>70524</v>
      </c>
      <c r="H47" t="s">
        <v>70</v>
      </c>
      <c r="I47" t="s">
        <v>67</v>
      </c>
      <c r="J47" t="s">
        <v>5</v>
      </c>
      <c r="K47" t="s">
        <v>72</v>
      </c>
      <c r="L47" t="s">
        <v>26</v>
      </c>
      <c r="N47" t="s">
        <v>77</v>
      </c>
      <c r="O47" s="16">
        <v>100000000</v>
      </c>
      <c r="P47">
        <v>308</v>
      </c>
      <c r="Q47">
        <v>0.26</v>
      </c>
      <c r="R47" s="16">
        <v>97400068</v>
      </c>
      <c r="S47" t="s">
        <v>78</v>
      </c>
      <c r="T47" t="s">
        <v>79</v>
      </c>
    </row>
    <row r="48" spans="1:20" x14ac:dyDescent="0.25">
      <c r="A48" t="s">
        <v>53</v>
      </c>
      <c r="B48">
        <v>43</v>
      </c>
      <c r="C48">
        <v>4</v>
      </c>
      <c r="D48">
        <v>58</v>
      </c>
      <c r="F48" t="s">
        <v>54</v>
      </c>
      <c r="G48">
        <v>70525</v>
      </c>
      <c r="H48" t="s">
        <v>70</v>
      </c>
      <c r="I48" t="s">
        <v>67</v>
      </c>
      <c r="J48" t="s">
        <v>5</v>
      </c>
      <c r="K48" t="s">
        <v>72</v>
      </c>
      <c r="L48" t="s">
        <v>26</v>
      </c>
      <c r="N48" t="s">
        <v>77</v>
      </c>
      <c r="O48" s="16">
        <v>100000000</v>
      </c>
      <c r="P48">
        <v>308</v>
      </c>
      <c r="Q48">
        <v>0.26</v>
      </c>
      <c r="R48" s="16">
        <v>97400068</v>
      </c>
      <c r="S48" t="s">
        <v>78</v>
      </c>
      <c r="T48" t="s">
        <v>79</v>
      </c>
    </row>
    <row r="49" spans="1:20" x14ac:dyDescent="0.25">
      <c r="A49" t="s">
        <v>53</v>
      </c>
      <c r="B49">
        <v>43</v>
      </c>
      <c r="C49">
        <v>4</v>
      </c>
      <c r="D49">
        <v>86</v>
      </c>
      <c r="F49" t="s">
        <v>59</v>
      </c>
      <c r="G49">
        <v>70766</v>
      </c>
      <c r="H49" t="s">
        <v>70</v>
      </c>
      <c r="I49" t="s">
        <v>67</v>
      </c>
      <c r="J49" t="s">
        <v>5</v>
      </c>
      <c r="K49" t="s">
        <v>72</v>
      </c>
      <c r="L49" t="s">
        <v>26</v>
      </c>
      <c r="N49" t="s">
        <v>80</v>
      </c>
      <c r="O49" s="16">
        <v>50000000</v>
      </c>
      <c r="P49">
        <v>96</v>
      </c>
      <c r="Q49">
        <v>0.24</v>
      </c>
      <c r="R49" s="16">
        <v>49618927</v>
      </c>
      <c r="S49" t="s">
        <v>81</v>
      </c>
      <c r="T49" t="s">
        <v>82</v>
      </c>
    </row>
    <row r="50" spans="1:20" x14ac:dyDescent="0.25">
      <c r="A50" t="s">
        <v>53</v>
      </c>
      <c r="B50">
        <v>43</v>
      </c>
      <c r="C50">
        <v>4</v>
      </c>
      <c r="D50">
        <v>86</v>
      </c>
      <c r="F50" t="s">
        <v>59</v>
      </c>
      <c r="G50">
        <v>70767</v>
      </c>
      <c r="H50" t="s">
        <v>70</v>
      </c>
      <c r="I50" t="s">
        <v>67</v>
      </c>
      <c r="J50" t="s">
        <v>5</v>
      </c>
      <c r="K50" t="s">
        <v>72</v>
      </c>
      <c r="L50" t="s">
        <v>26</v>
      </c>
      <c r="N50" t="s">
        <v>80</v>
      </c>
      <c r="O50" s="16">
        <v>50000000</v>
      </c>
      <c r="P50">
        <v>96</v>
      </c>
      <c r="Q50">
        <v>0.24</v>
      </c>
      <c r="R50" s="16">
        <v>49618927</v>
      </c>
      <c r="S50" t="s">
        <v>81</v>
      </c>
      <c r="T50" t="s">
        <v>82</v>
      </c>
    </row>
    <row r="51" spans="1:20" x14ac:dyDescent="0.25">
      <c r="A51" t="s">
        <v>53</v>
      </c>
      <c r="B51">
        <v>43</v>
      </c>
      <c r="C51">
        <v>4</v>
      </c>
      <c r="D51">
        <v>86</v>
      </c>
      <c r="F51" t="s">
        <v>59</v>
      </c>
      <c r="G51">
        <v>70768</v>
      </c>
      <c r="H51" t="s">
        <v>70</v>
      </c>
      <c r="I51" t="s">
        <v>67</v>
      </c>
      <c r="J51" t="s">
        <v>5</v>
      </c>
      <c r="K51" t="s">
        <v>72</v>
      </c>
      <c r="L51" t="s">
        <v>26</v>
      </c>
      <c r="N51" t="s">
        <v>83</v>
      </c>
      <c r="O51" s="16">
        <v>50000000</v>
      </c>
      <c r="P51">
        <v>96</v>
      </c>
      <c r="Q51">
        <v>0.24</v>
      </c>
      <c r="R51" s="16">
        <v>49618927</v>
      </c>
      <c r="S51" t="s">
        <v>84</v>
      </c>
      <c r="T51" t="s">
        <v>85</v>
      </c>
    </row>
    <row r="52" spans="1:20" x14ac:dyDescent="0.25">
      <c r="A52" t="s">
        <v>53</v>
      </c>
      <c r="B52">
        <v>43</v>
      </c>
      <c r="C52">
        <v>4</v>
      </c>
      <c r="D52">
        <v>86</v>
      </c>
      <c r="F52" t="s">
        <v>59</v>
      </c>
      <c r="G52">
        <v>70769</v>
      </c>
      <c r="H52" t="s">
        <v>70</v>
      </c>
      <c r="I52" t="s">
        <v>67</v>
      </c>
      <c r="J52" t="s">
        <v>5</v>
      </c>
      <c r="K52" t="s">
        <v>72</v>
      </c>
      <c r="L52" t="s">
        <v>26</v>
      </c>
      <c r="N52" t="s">
        <v>83</v>
      </c>
      <c r="O52" s="16">
        <v>50000000</v>
      </c>
      <c r="P52">
        <v>96</v>
      </c>
      <c r="Q52">
        <v>0.24</v>
      </c>
      <c r="R52" s="16">
        <v>49618927</v>
      </c>
      <c r="S52" t="s">
        <v>84</v>
      </c>
      <c r="T52" t="s">
        <v>85</v>
      </c>
    </row>
    <row r="53" spans="1:20" x14ac:dyDescent="0.25">
      <c r="A53" t="s">
        <v>53</v>
      </c>
      <c r="B53">
        <v>43</v>
      </c>
      <c r="C53">
        <v>4</v>
      </c>
      <c r="D53">
        <v>86</v>
      </c>
      <c r="F53" t="s">
        <v>59</v>
      </c>
      <c r="G53">
        <v>70770</v>
      </c>
      <c r="H53" t="s">
        <v>70</v>
      </c>
      <c r="I53" t="s">
        <v>67</v>
      </c>
      <c r="J53" t="s">
        <v>5</v>
      </c>
      <c r="K53" t="s">
        <v>72</v>
      </c>
      <c r="L53" t="s">
        <v>26</v>
      </c>
      <c r="N53" t="s">
        <v>83</v>
      </c>
      <c r="O53" s="16">
        <v>50000000</v>
      </c>
      <c r="P53">
        <v>96</v>
      </c>
      <c r="Q53">
        <v>0.24</v>
      </c>
      <c r="R53" s="16">
        <v>49618927</v>
      </c>
      <c r="S53" t="s">
        <v>84</v>
      </c>
      <c r="T53" t="s">
        <v>85</v>
      </c>
    </row>
    <row r="54" spans="1:20" x14ac:dyDescent="0.25">
      <c r="A54" t="s">
        <v>53</v>
      </c>
      <c r="B54">
        <v>43</v>
      </c>
      <c r="C54">
        <v>4</v>
      </c>
      <c r="D54">
        <v>86</v>
      </c>
      <c r="F54" t="s">
        <v>59</v>
      </c>
      <c r="G54">
        <v>70771</v>
      </c>
      <c r="H54" t="s">
        <v>70</v>
      </c>
      <c r="I54" t="s">
        <v>67</v>
      </c>
      <c r="J54" t="s">
        <v>5</v>
      </c>
      <c r="K54" t="s">
        <v>72</v>
      </c>
      <c r="L54" t="s">
        <v>26</v>
      </c>
      <c r="N54" t="s">
        <v>83</v>
      </c>
      <c r="O54" s="16">
        <v>50000000</v>
      </c>
      <c r="P54">
        <v>96</v>
      </c>
      <c r="Q54">
        <v>0.24</v>
      </c>
      <c r="R54" s="16">
        <v>49618927</v>
      </c>
      <c r="S54" t="s">
        <v>84</v>
      </c>
      <c r="T54" t="s">
        <v>85</v>
      </c>
    </row>
    <row r="55" spans="1:20" x14ac:dyDescent="0.25">
      <c r="A55" t="s">
        <v>53</v>
      </c>
      <c r="B55">
        <v>43</v>
      </c>
      <c r="C55">
        <v>4</v>
      </c>
      <c r="D55">
        <v>86</v>
      </c>
      <c r="F55" t="s">
        <v>59</v>
      </c>
      <c r="G55">
        <v>70772</v>
      </c>
      <c r="H55" t="s">
        <v>70</v>
      </c>
      <c r="I55" t="s">
        <v>67</v>
      </c>
      <c r="J55" t="s">
        <v>5</v>
      </c>
      <c r="K55" t="s">
        <v>72</v>
      </c>
      <c r="L55" t="s">
        <v>26</v>
      </c>
      <c r="N55" t="s">
        <v>83</v>
      </c>
      <c r="O55" s="16">
        <v>50000000</v>
      </c>
      <c r="P55">
        <v>96</v>
      </c>
      <c r="Q55">
        <v>0.24</v>
      </c>
      <c r="R55" s="16">
        <v>49618927</v>
      </c>
      <c r="S55" t="s">
        <v>84</v>
      </c>
      <c r="T55" t="s">
        <v>85</v>
      </c>
    </row>
    <row r="56" spans="1:20" x14ac:dyDescent="0.25">
      <c r="A56" t="s">
        <v>53</v>
      </c>
      <c r="B56">
        <v>43</v>
      </c>
      <c r="C56">
        <v>4</v>
      </c>
      <c r="D56">
        <v>86</v>
      </c>
      <c r="F56" t="s">
        <v>59</v>
      </c>
      <c r="G56">
        <v>70773</v>
      </c>
      <c r="H56" t="s">
        <v>70</v>
      </c>
      <c r="I56" t="s">
        <v>67</v>
      </c>
      <c r="J56" t="s">
        <v>5</v>
      </c>
      <c r="K56" t="s">
        <v>72</v>
      </c>
      <c r="L56" t="s">
        <v>26</v>
      </c>
      <c r="N56" t="s">
        <v>83</v>
      </c>
      <c r="O56" s="16">
        <v>50000000</v>
      </c>
      <c r="P56">
        <v>96</v>
      </c>
      <c r="Q56">
        <v>0.24</v>
      </c>
      <c r="R56" s="16">
        <v>49618927</v>
      </c>
      <c r="S56" t="s">
        <v>84</v>
      </c>
      <c r="T56" t="s">
        <v>85</v>
      </c>
    </row>
    <row r="57" spans="1:20" x14ac:dyDescent="0.25">
      <c r="A57" t="s">
        <v>53</v>
      </c>
      <c r="B57">
        <v>43</v>
      </c>
      <c r="C57">
        <v>4</v>
      </c>
      <c r="D57">
        <v>86</v>
      </c>
      <c r="F57" t="s">
        <v>59</v>
      </c>
      <c r="G57">
        <v>70774</v>
      </c>
      <c r="H57" t="s">
        <v>70</v>
      </c>
      <c r="I57" t="s">
        <v>67</v>
      </c>
      <c r="J57" t="s">
        <v>5</v>
      </c>
      <c r="K57" t="s">
        <v>72</v>
      </c>
      <c r="L57" t="s">
        <v>26</v>
      </c>
      <c r="N57" t="s">
        <v>83</v>
      </c>
      <c r="O57" s="16">
        <v>50000000</v>
      </c>
      <c r="P57">
        <v>96</v>
      </c>
      <c r="Q57">
        <v>0.24</v>
      </c>
      <c r="R57" s="16">
        <v>49618927</v>
      </c>
      <c r="S57" t="s">
        <v>84</v>
      </c>
      <c r="T57" t="s">
        <v>85</v>
      </c>
    </row>
    <row r="58" spans="1:20" x14ac:dyDescent="0.25">
      <c r="A58" t="s">
        <v>53</v>
      </c>
      <c r="B58">
        <v>43</v>
      </c>
      <c r="C58">
        <v>4</v>
      </c>
      <c r="D58">
        <v>35</v>
      </c>
      <c r="F58" t="s">
        <v>86</v>
      </c>
      <c r="G58">
        <v>71000</v>
      </c>
      <c r="H58" t="s">
        <v>70</v>
      </c>
      <c r="I58" t="s">
        <v>67</v>
      </c>
      <c r="J58" t="s">
        <v>5</v>
      </c>
      <c r="K58" t="s">
        <v>72</v>
      </c>
      <c r="L58" t="s">
        <v>26</v>
      </c>
      <c r="N58" t="s">
        <v>142</v>
      </c>
      <c r="O58" s="16">
        <v>50000000</v>
      </c>
      <c r="P58">
        <v>47</v>
      </c>
      <c r="Q58">
        <v>0.24</v>
      </c>
      <c r="R58" s="16">
        <v>49812704</v>
      </c>
      <c r="S58" t="s">
        <v>143</v>
      </c>
      <c r="T58" t="s">
        <v>144</v>
      </c>
    </row>
    <row r="59" spans="1:20" x14ac:dyDescent="0.25">
      <c r="A59" t="s">
        <v>53</v>
      </c>
      <c r="B59">
        <v>43</v>
      </c>
      <c r="C59">
        <v>4</v>
      </c>
      <c r="D59">
        <v>35</v>
      </c>
      <c r="F59" t="s">
        <v>86</v>
      </c>
      <c r="G59">
        <v>71001</v>
      </c>
      <c r="H59" t="s">
        <v>70</v>
      </c>
      <c r="I59" t="s">
        <v>67</v>
      </c>
      <c r="J59" t="s">
        <v>5</v>
      </c>
      <c r="K59" t="s">
        <v>72</v>
      </c>
      <c r="L59" t="s">
        <v>26</v>
      </c>
      <c r="N59" t="s">
        <v>142</v>
      </c>
      <c r="O59" s="16">
        <v>50000000</v>
      </c>
      <c r="P59">
        <v>47</v>
      </c>
      <c r="Q59">
        <v>0.24</v>
      </c>
      <c r="R59" s="16">
        <v>49812704</v>
      </c>
      <c r="S59" t="s">
        <v>143</v>
      </c>
      <c r="T59" t="s">
        <v>144</v>
      </c>
    </row>
    <row r="60" spans="1:20" x14ac:dyDescent="0.25">
      <c r="A60" t="s">
        <v>53</v>
      </c>
      <c r="B60">
        <v>43</v>
      </c>
      <c r="C60">
        <v>4</v>
      </c>
      <c r="D60">
        <v>35</v>
      </c>
      <c r="F60" t="s">
        <v>86</v>
      </c>
      <c r="G60">
        <v>71002</v>
      </c>
      <c r="H60" t="s">
        <v>70</v>
      </c>
      <c r="I60" t="s">
        <v>67</v>
      </c>
      <c r="J60" t="s">
        <v>5</v>
      </c>
      <c r="K60" t="s">
        <v>72</v>
      </c>
      <c r="L60" t="s">
        <v>26</v>
      </c>
      <c r="N60" t="s">
        <v>142</v>
      </c>
      <c r="O60" s="16">
        <v>50000000</v>
      </c>
      <c r="P60">
        <v>47</v>
      </c>
      <c r="Q60">
        <v>0.24</v>
      </c>
      <c r="R60" s="16">
        <v>49812704</v>
      </c>
      <c r="S60" t="s">
        <v>143</v>
      </c>
      <c r="T60" t="s">
        <v>144</v>
      </c>
    </row>
    <row r="61" spans="1:20" x14ac:dyDescent="0.25">
      <c r="A61" t="s">
        <v>53</v>
      </c>
      <c r="B61">
        <v>43</v>
      </c>
      <c r="C61">
        <v>4</v>
      </c>
      <c r="D61">
        <v>58</v>
      </c>
      <c r="F61" t="s">
        <v>113</v>
      </c>
      <c r="G61">
        <v>71383</v>
      </c>
      <c r="H61" t="s">
        <v>70</v>
      </c>
      <c r="I61" t="s">
        <v>67</v>
      </c>
      <c r="J61" t="s">
        <v>5</v>
      </c>
      <c r="K61" t="s">
        <v>72</v>
      </c>
      <c r="L61" t="s">
        <v>26</v>
      </c>
      <c r="N61" t="s">
        <v>110</v>
      </c>
      <c r="O61" s="16">
        <v>100000000</v>
      </c>
      <c r="P61">
        <v>313</v>
      </c>
      <c r="Q61">
        <v>0.26</v>
      </c>
      <c r="R61" s="16">
        <v>97358976</v>
      </c>
      <c r="S61" t="s">
        <v>111</v>
      </c>
      <c r="T61" t="s">
        <v>116</v>
      </c>
    </row>
    <row r="62" spans="1:20" x14ac:dyDescent="0.25">
      <c r="A62" t="s">
        <v>53</v>
      </c>
      <c r="B62">
        <v>43</v>
      </c>
      <c r="C62">
        <v>4</v>
      </c>
      <c r="D62">
        <v>58</v>
      </c>
      <c r="F62" t="s">
        <v>113</v>
      </c>
      <c r="G62">
        <v>71384</v>
      </c>
      <c r="H62" t="s">
        <v>70</v>
      </c>
      <c r="I62" t="s">
        <v>67</v>
      </c>
      <c r="J62" t="s">
        <v>5</v>
      </c>
      <c r="K62" t="s">
        <v>72</v>
      </c>
      <c r="L62" t="s">
        <v>26</v>
      </c>
      <c r="N62" t="s">
        <v>110</v>
      </c>
      <c r="O62" s="16">
        <v>100000000</v>
      </c>
      <c r="P62">
        <v>313</v>
      </c>
      <c r="Q62">
        <v>0.26</v>
      </c>
      <c r="R62" s="16">
        <v>97358976</v>
      </c>
      <c r="S62" t="s">
        <v>111</v>
      </c>
      <c r="T62" t="s">
        <v>116</v>
      </c>
    </row>
    <row r="63" spans="1:20" x14ac:dyDescent="0.25">
      <c r="A63" t="s">
        <v>53</v>
      </c>
      <c r="B63">
        <v>43</v>
      </c>
      <c r="C63">
        <v>4</v>
      </c>
      <c r="D63">
        <v>58</v>
      </c>
      <c r="F63" t="s">
        <v>113</v>
      </c>
      <c r="G63">
        <v>71385</v>
      </c>
      <c r="H63" t="s">
        <v>70</v>
      </c>
      <c r="I63" t="s">
        <v>67</v>
      </c>
      <c r="J63" t="s">
        <v>5</v>
      </c>
      <c r="K63" t="s">
        <v>72</v>
      </c>
      <c r="L63" t="s">
        <v>26</v>
      </c>
      <c r="N63" t="s">
        <v>110</v>
      </c>
      <c r="O63" s="16">
        <v>100000000</v>
      </c>
      <c r="P63">
        <v>313</v>
      </c>
      <c r="Q63">
        <v>0.26</v>
      </c>
      <c r="R63" s="16">
        <v>97358976</v>
      </c>
      <c r="S63" t="s">
        <v>111</v>
      </c>
      <c r="T63" t="s">
        <v>116</v>
      </c>
    </row>
    <row r="64" spans="1:20" x14ac:dyDescent="0.25">
      <c r="A64" t="s">
        <v>53</v>
      </c>
      <c r="B64">
        <v>43</v>
      </c>
      <c r="C64">
        <v>4</v>
      </c>
      <c r="D64">
        <v>58</v>
      </c>
      <c r="F64" t="s">
        <v>113</v>
      </c>
      <c r="G64">
        <v>71386</v>
      </c>
      <c r="H64" t="s">
        <v>70</v>
      </c>
      <c r="I64" t="s">
        <v>67</v>
      </c>
      <c r="J64" t="s">
        <v>5</v>
      </c>
      <c r="K64" t="s">
        <v>72</v>
      </c>
      <c r="L64" t="s">
        <v>26</v>
      </c>
      <c r="N64" t="s">
        <v>110</v>
      </c>
      <c r="O64" s="16">
        <v>100000000</v>
      </c>
      <c r="P64">
        <v>313</v>
      </c>
      <c r="Q64">
        <v>0.26</v>
      </c>
      <c r="R64" s="16">
        <v>97358976</v>
      </c>
      <c r="S64" t="s">
        <v>111</v>
      </c>
      <c r="T64" t="s">
        <v>116</v>
      </c>
    </row>
    <row r="65" spans="1:20" x14ac:dyDescent="0.25">
      <c r="A65" t="s">
        <v>53</v>
      </c>
      <c r="B65">
        <v>43</v>
      </c>
      <c r="C65">
        <v>4</v>
      </c>
      <c r="D65">
        <v>58</v>
      </c>
      <c r="F65" t="s">
        <v>113</v>
      </c>
      <c r="G65">
        <v>71387</v>
      </c>
      <c r="H65" t="s">
        <v>70</v>
      </c>
      <c r="I65" t="s">
        <v>67</v>
      </c>
      <c r="J65" t="s">
        <v>5</v>
      </c>
      <c r="K65" t="s">
        <v>72</v>
      </c>
      <c r="L65" t="s">
        <v>26</v>
      </c>
      <c r="N65" t="s">
        <v>110</v>
      </c>
      <c r="O65" s="16">
        <v>100000000</v>
      </c>
      <c r="P65">
        <v>313</v>
      </c>
      <c r="Q65">
        <v>0.26</v>
      </c>
      <c r="R65" s="16">
        <v>97358976</v>
      </c>
      <c r="S65" t="s">
        <v>111</v>
      </c>
      <c r="T65" t="s">
        <v>116</v>
      </c>
    </row>
    <row r="66" spans="1:20" x14ac:dyDescent="0.25">
      <c r="A66" t="s">
        <v>53</v>
      </c>
      <c r="B66">
        <v>43</v>
      </c>
      <c r="C66">
        <v>4</v>
      </c>
      <c r="D66">
        <v>58</v>
      </c>
      <c r="F66" t="s">
        <v>113</v>
      </c>
      <c r="G66">
        <v>71388</v>
      </c>
      <c r="H66" t="s">
        <v>70</v>
      </c>
      <c r="I66" t="s">
        <v>67</v>
      </c>
      <c r="J66" t="s">
        <v>5</v>
      </c>
      <c r="K66" t="s">
        <v>72</v>
      </c>
      <c r="L66" t="s">
        <v>26</v>
      </c>
      <c r="N66" t="s">
        <v>110</v>
      </c>
      <c r="O66" s="16">
        <v>100000000</v>
      </c>
      <c r="P66">
        <v>313</v>
      </c>
      <c r="Q66">
        <v>0.26</v>
      </c>
      <c r="R66" s="16">
        <v>97358976</v>
      </c>
      <c r="S66" t="s">
        <v>111</v>
      </c>
      <c r="T66" t="s">
        <v>116</v>
      </c>
    </row>
    <row r="67" spans="1:20" x14ac:dyDescent="0.25">
      <c r="A67" t="s">
        <v>53</v>
      </c>
      <c r="B67">
        <v>43</v>
      </c>
      <c r="C67">
        <v>4</v>
      </c>
      <c r="D67">
        <v>58</v>
      </c>
      <c r="F67" t="s">
        <v>113</v>
      </c>
      <c r="G67">
        <v>71389</v>
      </c>
      <c r="H67" t="s">
        <v>70</v>
      </c>
      <c r="I67" t="s">
        <v>67</v>
      </c>
      <c r="J67" t="s">
        <v>5</v>
      </c>
      <c r="K67" t="s">
        <v>72</v>
      </c>
      <c r="L67" t="s">
        <v>26</v>
      </c>
      <c r="N67" t="s">
        <v>110</v>
      </c>
      <c r="O67" s="16">
        <v>100000000</v>
      </c>
      <c r="P67">
        <v>313</v>
      </c>
      <c r="Q67">
        <v>0.26</v>
      </c>
      <c r="R67" s="16">
        <v>97358976</v>
      </c>
      <c r="S67" t="s">
        <v>111</v>
      </c>
      <c r="T67" t="s">
        <v>116</v>
      </c>
    </row>
    <row r="68" spans="1:20" x14ac:dyDescent="0.25">
      <c r="A68" t="s">
        <v>53</v>
      </c>
      <c r="B68">
        <v>43</v>
      </c>
      <c r="C68">
        <v>4</v>
      </c>
      <c r="D68">
        <v>58</v>
      </c>
      <c r="F68" t="s">
        <v>113</v>
      </c>
      <c r="G68">
        <v>71390</v>
      </c>
      <c r="H68" t="s">
        <v>70</v>
      </c>
      <c r="I68" t="s">
        <v>67</v>
      </c>
      <c r="J68" t="s">
        <v>5</v>
      </c>
      <c r="K68" t="s">
        <v>72</v>
      </c>
      <c r="L68" t="s">
        <v>26</v>
      </c>
      <c r="N68" t="s">
        <v>110</v>
      </c>
      <c r="O68" s="16">
        <v>100000000</v>
      </c>
      <c r="P68">
        <v>313</v>
      </c>
      <c r="Q68">
        <v>0.26</v>
      </c>
      <c r="R68" s="16">
        <v>97358976</v>
      </c>
      <c r="S68" t="s">
        <v>111</v>
      </c>
      <c r="T68" t="s">
        <v>116</v>
      </c>
    </row>
    <row r="69" spans="1:20" x14ac:dyDescent="0.25">
      <c r="A69" t="s">
        <v>53</v>
      </c>
      <c r="B69">
        <v>43</v>
      </c>
      <c r="C69">
        <v>4</v>
      </c>
      <c r="D69">
        <v>58</v>
      </c>
      <c r="F69" t="s">
        <v>113</v>
      </c>
      <c r="G69">
        <v>71391</v>
      </c>
      <c r="H69" t="s">
        <v>70</v>
      </c>
      <c r="I69" t="s">
        <v>67</v>
      </c>
      <c r="J69" t="s">
        <v>5</v>
      </c>
      <c r="K69" t="s">
        <v>72</v>
      </c>
      <c r="L69" t="s">
        <v>26</v>
      </c>
      <c r="N69" t="s">
        <v>110</v>
      </c>
      <c r="O69" s="16">
        <v>100000000</v>
      </c>
      <c r="P69">
        <v>313</v>
      </c>
      <c r="Q69">
        <v>0.26</v>
      </c>
      <c r="R69" s="16">
        <v>97358976</v>
      </c>
      <c r="S69" t="s">
        <v>111</v>
      </c>
      <c r="T69" t="s">
        <v>116</v>
      </c>
    </row>
    <row r="70" spans="1:20" x14ac:dyDescent="0.25">
      <c r="A70" t="s">
        <v>53</v>
      </c>
      <c r="B70">
        <v>43</v>
      </c>
      <c r="C70">
        <v>4</v>
      </c>
      <c r="D70">
        <v>58</v>
      </c>
      <c r="F70" t="s">
        <v>113</v>
      </c>
      <c r="G70">
        <v>71392</v>
      </c>
      <c r="H70" t="s">
        <v>70</v>
      </c>
      <c r="I70" t="s">
        <v>67</v>
      </c>
      <c r="J70" t="s">
        <v>5</v>
      </c>
      <c r="K70" t="s">
        <v>72</v>
      </c>
      <c r="L70" t="s">
        <v>26</v>
      </c>
      <c r="N70" t="s">
        <v>110</v>
      </c>
      <c r="O70" s="16">
        <v>100000000</v>
      </c>
      <c r="P70">
        <v>313</v>
      </c>
      <c r="Q70">
        <v>0.26</v>
      </c>
      <c r="R70" s="16">
        <v>97358976</v>
      </c>
      <c r="S70" t="s">
        <v>111</v>
      </c>
      <c r="T70" t="s">
        <v>116</v>
      </c>
    </row>
    <row r="71" spans="1:20" x14ac:dyDescent="0.25">
      <c r="A71" t="s">
        <v>53</v>
      </c>
      <c r="B71">
        <v>66</v>
      </c>
      <c r="C71">
        <v>4</v>
      </c>
      <c r="D71">
        <v>35</v>
      </c>
      <c r="F71" t="s">
        <v>125</v>
      </c>
      <c r="G71">
        <v>71469</v>
      </c>
      <c r="H71" t="s">
        <v>70</v>
      </c>
      <c r="I71" t="s">
        <v>67</v>
      </c>
      <c r="J71" t="s">
        <v>5</v>
      </c>
      <c r="K71" t="s">
        <v>72</v>
      </c>
      <c r="L71" t="s">
        <v>73</v>
      </c>
      <c r="N71" t="s">
        <v>118</v>
      </c>
      <c r="O71" s="16">
        <v>50000000</v>
      </c>
      <c r="P71">
        <v>3</v>
      </c>
      <c r="Q71">
        <v>0.21</v>
      </c>
      <c r="R71" s="16">
        <v>49989502</v>
      </c>
      <c r="S71" t="s">
        <v>119</v>
      </c>
      <c r="T71" t="s">
        <v>126</v>
      </c>
    </row>
    <row r="72" spans="1:20" x14ac:dyDescent="0.25">
      <c r="A72" t="s">
        <v>53</v>
      </c>
      <c r="B72">
        <v>66</v>
      </c>
      <c r="C72">
        <v>4</v>
      </c>
      <c r="D72">
        <v>35</v>
      </c>
      <c r="F72" t="s">
        <v>125</v>
      </c>
      <c r="G72">
        <v>71470</v>
      </c>
      <c r="H72" t="s">
        <v>70</v>
      </c>
      <c r="I72" t="s">
        <v>67</v>
      </c>
      <c r="J72" t="s">
        <v>5</v>
      </c>
      <c r="K72" t="s">
        <v>72</v>
      </c>
      <c r="L72" t="s">
        <v>73</v>
      </c>
      <c r="N72" t="s">
        <v>118</v>
      </c>
      <c r="O72" s="16">
        <v>50000000</v>
      </c>
      <c r="P72">
        <v>3</v>
      </c>
      <c r="Q72">
        <v>0.21</v>
      </c>
      <c r="R72" s="16">
        <v>49989502</v>
      </c>
      <c r="S72" t="s">
        <v>119</v>
      </c>
      <c r="T72" t="s">
        <v>126</v>
      </c>
    </row>
    <row r="73" spans="1:20" x14ac:dyDescent="0.25">
      <c r="A73" t="s">
        <v>53</v>
      </c>
      <c r="B73">
        <v>66</v>
      </c>
      <c r="C73">
        <v>4</v>
      </c>
      <c r="D73">
        <v>43</v>
      </c>
      <c r="F73" t="s">
        <v>125</v>
      </c>
      <c r="G73">
        <v>71471</v>
      </c>
      <c r="H73" t="s">
        <v>70</v>
      </c>
      <c r="I73" t="s">
        <v>67</v>
      </c>
      <c r="J73" t="s">
        <v>5</v>
      </c>
      <c r="K73" t="s">
        <v>72</v>
      </c>
      <c r="L73" t="s">
        <v>73</v>
      </c>
      <c r="N73" t="s">
        <v>118</v>
      </c>
      <c r="O73" s="16">
        <v>50000000</v>
      </c>
      <c r="P73">
        <v>3</v>
      </c>
      <c r="Q73">
        <v>0.21</v>
      </c>
      <c r="R73" s="16">
        <v>49989502</v>
      </c>
      <c r="S73" t="s">
        <v>119</v>
      </c>
      <c r="T73" t="s">
        <v>126</v>
      </c>
    </row>
    <row r="74" spans="1:20" x14ac:dyDescent="0.25">
      <c r="A74" t="s">
        <v>53</v>
      </c>
      <c r="B74">
        <v>66</v>
      </c>
      <c r="C74">
        <v>4</v>
      </c>
      <c r="D74">
        <v>43</v>
      </c>
      <c r="F74" t="s">
        <v>125</v>
      </c>
      <c r="G74">
        <v>71472</v>
      </c>
      <c r="H74" t="s">
        <v>70</v>
      </c>
      <c r="I74" t="s">
        <v>67</v>
      </c>
      <c r="J74" t="s">
        <v>5</v>
      </c>
      <c r="K74" t="s">
        <v>72</v>
      </c>
      <c r="L74" t="s">
        <v>73</v>
      </c>
      <c r="N74" t="s">
        <v>118</v>
      </c>
      <c r="O74" s="16">
        <v>50000000</v>
      </c>
      <c r="P74">
        <v>3</v>
      </c>
      <c r="Q74">
        <v>0.21</v>
      </c>
      <c r="R74" s="16">
        <v>49989502</v>
      </c>
      <c r="S74" t="s">
        <v>119</v>
      </c>
      <c r="T74" t="s">
        <v>126</v>
      </c>
    </row>
    <row r="75" spans="1:20" x14ac:dyDescent="0.25">
      <c r="A75" t="s">
        <v>53</v>
      </c>
      <c r="B75">
        <v>66</v>
      </c>
      <c r="C75">
        <v>4</v>
      </c>
      <c r="D75">
        <v>58</v>
      </c>
      <c r="F75" t="s">
        <v>125</v>
      </c>
      <c r="G75">
        <v>71627</v>
      </c>
      <c r="H75" t="s">
        <v>70</v>
      </c>
      <c r="I75" t="s">
        <v>67</v>
      </c>
      <c r="J75" t="s">
        <v>5</v>
      </c>
      <c r="K75" t="s">
        <v>72</v>
      </c>
      <c r="L75" t="s">
        <v>73</v>
      </c>
      <c r="N75" t="s">
        <v>71</v>
      </c>
      <c r="O75" s="16">
        <v>50000000</v>
      </c>
      <c r="P75">
        <v>21</v>
      </c>
      <c r="Q75">
        <v>0.22</v>
      </c>
      <c r="R75" s="16">
        <v>49923118</v>
      </c>
      <c r="S75" t="s">
        <v>74</v>
      </c>
      <c r="T75" t="s">
        <v>75</v>
      </c>
    </row>
    <row r="76" spans="1:20" x14ac:dyDescent="0.25">
      <c r="A76" t="s">
        <v>53</v>
      </c>
      <c r="B76">
        <v>66</v>
      </c>
      <c r="C76">
        <v>4</v>
      </c>
      <c r="D76">
        <v>58</v>
      </c>
      <c r="F76" t="s">
        <v>125</v>
      </c>
      <c r="G76">
        <v>71628</v>
      </c>
      <c r="H76" t="s">
        <v>70</v>
      </c>
      <c r="I76" t="s">
        <v>67</v>
      </c>
      <c r="J76" t="s">
        <v>5</v>
      </c>
      <c r="K76" t="s">
        <v>72</v>
      </c>
      <c r="L76" t="s">
        <v>73</v>
      </c>
      <c r="N76" t="s">
        <v>71</v>
      </c>
      <c r="O76" s="16">
        <v>50000000</v>
      </c>
      <c r="P76">
        <v>21</v>
      </c>
      <c r="Q76">
        <v>0.22</v>
      </c>
      <c r="R76" s="16">
        <v>49923118</v>
      </c>
      <c r="S76" t="s">
        <v>74</v>
      </c>
      <c r="T76" t="s">
        <v>75</v>
      </c>
    </row>
    <row r="77" spans="1:20" x14ac:dyDescent="0.25">
      <c r="A77" t="s">
        <v>53</v>
      </c>
      <c r="B77">
        <v>66</v>
      </c>
      <c r="C77">
        <v>4</v>
      </c>
      <c r="D77">
        <v>58</v>
      </c>
      <c r="F77" t="s">
        <v>125</v>
      </c>
      <c r="G77">
        <v>71629</v>
      </c>
      <c r="H77" t="s">
        <v>70</v>
      </c>
      <c r="I77" t="s">
        <v>67</v>
      </c>
      <c r="J77" t="s">
        <v>5</v>
      </c>
      <c r="K77" t="s">
        <v>72</v>
      </c>
      <c r="L77" t="s">
        <v>73</v>
      </c>
      <c r="N77" t="s">
        <v>71</v>
      </c>
      <c r="O77" s="16">
        <v>50000000</v>
      </c>
      <c r="P77">
        <v>21</v>
      </c>
      <c r="Q77">
        <v>0.22</v>
      </c>
      <c r="R77" s="16">
        <v>49923118</v>
      </c>
      <c r="S77" t="s">
        <v>74</v>
      </c>
      <c r="T77" t="s">
        <v>75</v>
      </c>
    </row>
    <row r="78" spans="1:20" x14ac:dyDescent="0.25">
      <c r="A78" t="s">
        <v>53</v>
      </c>
      <c r="B78">
        <v>43</v>
      </c>
      <c r="C78">
        <v>4</v>
      </c>
      <c r="D78">
        <v>58</v>
      </c>
      <c r="F78" t="s">
        <v>125</v>
      </c>
      <c r="G78">
        <v>71802</v>
      </c>
      <c r="H78" t="s">
        <v>70</v>
      </c>
      <c r="I78" t="s">
        <v>67</v>
      </c>
      <c r="J78" t="s">
        <v>5</v>
      </c>
      <c r="K78" t="s">
        <v>72</v>
      </c>
      <c r="L78" t="s">
        <v>26</v>
      </c>
      <c r="N78" t="s">
        <v>103</v>
      </c>
      <c r="O78" s="16">
        <v>100000000</v>
      </c>
      <c r="P78">
        <v>285</v>
      </c>
      <c r="Q78">
        <v>0.28000000000000003</v>
      </c>
      <c r="R78" s="16">
        <v>97408923</v>
      </c>
      <c r="S78" t="s">
        <v>104</v>
      </c>
      <c r="T78" t="s">
        <v>141</v>
      </c>
    </row>
    <row r="79" spans="1:20" x14ac:dyDescent="0.25">
      <c r="A79" t="s">
        <v>53</v>
      </c>
      <c r="B79">
        <v>43</v>
      </c>
      <c r="C79">
        <v>4</v>
      </c>
      <c r="D79">
        <v>58</v>
      </c>
      <c r="F79" t="s">
        <v>125</v>
      </c>
      <c r="G79">
        <v>71803</v>
      </c>
      <c r="H79" t="s">
        <v>70</v>
      </c>
      <c r="I79" t="s">
        <v>67</v>
      </c>
      <c r="J79" t="s">
        <v>5</v>
      </c>
      <c r="K79" t="s">
        <v>72</v>
      </c>
      <c r="L79" t="s">
        <v>26</v>
      </c>
      <c r="N79" t="s">
        <v>103</v>
      </c>
      <c r="O79" s="16">
        <v>100000000</v>
      </c>
      <c r="P79">
        <v>285</v>
      </c>
      <c r="Q79">
        <v>0.28000000000000003</v>
      </c>
      <c r="R79" s="16">
        <v>97408923</v>
      </c>
      <c r="S79" t="s">
        <v>104</v>
      </c>
      <c r="T79" t="s">
        <v>141</v>
      </c>
    </row>
    <row r="80" spans="1:20" x14ac:dyDescent="0.25">
      <c r="A80" t="s">
        <v>53</v>
      </c>
      <c r="B80">
        <v>43</v>
      </c>
      <c r="C80">
        <v>4</v>
      </c>
      <c r="D80">
        <v>58</v>
      </c>
      <c r="F80" t="s">
        <v>125</v>
      </c>
      <c r="G80">
        <v>71804</v>
      </c>
      <c r="H80" t="s">
        <v>70</v>
      </c>
      <c r="I80" t="s">
        <v>67</v>
      </c>
      <c r="J80" t="s">
        <v>5</v>
      </c>
      <c r="K80" t="s">
        <v>72</v>
      </c>
      <c r="L80" t="s">
        <v>26</v>
      </c>
      <c r="N80" t="s">
        <v>103</v>
      </c>
      <c r="O80" s="16">
        <v>100000000</v>
      </c>
      <c r="P80">
        <v>285</v>
      </c>
      <c r="Q80">
        <v>0.28000000000000003</v>
      </c>
      <c r="R80" s="16">
        <v>97408923</v>
      </c>
      <c r="S80" t="s">
        <v>104</v>
      </c>
      <c r="T80" t="s">
        <v>141</v>
      </c>
    </row>
    <row r="81" spans="1:20" x14ac:dyDescent="0.25">
      <c r="A81" t="s">
        <v>53</v>
      </c>
      <c r="B81">
        <v>43</v>
      </c>
      <c r="C81">
        <v>4</v>
      </c>
      <c r="D81">
        <v>58</v>
      </c>
      <c r="F81" t="s">
        <v>125</v>
      </c>
      <c r="G81">
        <v>71805</v>
      </c>
      <c r="H81" t="s">
        <v>70</v>
      </c>
      <c r="I81" t="s">
        <v>67</v>
      </c>
      <c r="J81" t="s">
        <v>5</v>
      </c>
      <c r="K81" t="s">
        <v>72</v>
      </c>
      <c r="L81" t="s">
        <v>26</v>
      </c>
      <c r="N81" t="s">
        <v>103</v>
      </c>
      <c r="O81" s="16">
        <v>100000000</v>
      </c>
      <c r="P81">
        <v>285</v>
      </c>
      <c r="Q81">
        <v>0.28000000000000003</v>
      </c>
      <c r="R81" s="16">
        <v>97408923</v>
      </c>
      <c r="S81" t="s">
        <v>104</v>
      </c>
      <c r="T81" t="s">
        <v>141</v>
      </c>
    </row>
    <row r="82" spans="1:20" x14ac:dyDescent="0.25">
      <c r="A82" t="s">
        <v>53</v>
      </c>
      <c r="B82">
        <v>43</v>
      </c>
      <c r="C82">
        <v>4</v>
      </c>
      <c r="D82">
        <v>58</v>
      </c>
      <c r="F82" t="s">
        <v>125</v>
      </c>
      <c r="G82">
        <v>71806</v>
      </c>
      <c r="H82" t="s">
        <v>70</v>
      </c>
      <c r="I82" t="s">
        <v>67</v>
      </c>
      <c r="J82" t="s">
        <v>5</v>
      </c>
      <c r="K82" t="s">
        <v>72</v>
      </c>
      <c r="L82" t="s">
        <v>26</v>
      </c>
      <c r="N82" t="s">
        <v>103</v>
      </c>
      <c r="O82" s="16">
        <v>100000000</v>
      </c>
      <c r="P82">
        <v>285</v>
      </c>
      <c r="Q82">
        <v>0.28000000000000003</v>
      </c>
      <c r="R82" s="16">
        <v>97408923</v>
      </c>
      <c r="S82" t="s">
        <v>104</v>
      </c>
      <c r="T82" t="s">
        <v>141</v>
      </c>
    </row>
    <row r="83" spans="1:20" x14ac:dyDescent="0.25">
      <c r="A83" t="s">
        <v>53</v>
      </c>
      <c r="B83">
        <v>43</v>
      </c>
      <c r="C83">
        <v>4</v>
      </c>
      <c r="D83">
        <v>58</v>
      </c>
      <c r="F83" t="s">
        <v>125</v>
      </c>
      <c r="G83">
        <v>71807</v>
      </c>
      <c r="H83" t="s">
        <v>70</v>
      </c>
      <c r="I83" t="s">
        <v>67</v>
      </c>
      <c r="J83" t="s">
        <v>5</v>
      </c>
      <c r="K83" t="s">
        <v>72</v>
      </c>
      <c r="L83" t="s">
        <v>26</v>
      </c>
      <c r="N83" t="s">
        <v>103</v>
      </c>
      <c r="O83" s="16">
        <v>100000000</v>
      </c>
      <c r="P83">
        <v>285</v>
      </c>
      <c r="Q83">
        <v>0.28000000000000003</v>
      </c>
      <c r="R83" s="16">
        <v>97408923</v>
      </c>
      <c r="S83" t="s">
        <v>104</v>
      </c>
      <c r="T83" t="s">
        <v>141</v>
      </c>
    </row>
    <row r="84" spans="1:20" x14ac:dyDescent="0.25">
      <c r="A84" t="s">
        <v>53</v>
      </c>
      <c r="B84">
        <v>43</v>
      </c>
      <c r="C84">
        <v>4</v>
      </c>
      <c r="D84">
        <v>58</v>
      </c>
      <c r="F84" t="s">
        <v>125</v>
      </c>
      <c r="G84">
        <v>71808</v>
      </c>
      <c r="H84" t="s">
        <v>70</v>
      </c>
      <c r="I84" t="s">
        <v>67</v>
      </c>
      <c r="J84" t="s">
        <v>5</v>
      </c>
      <c r="K84" t="s">
        <v>72</v>
      </c>
      <c r="L84" t="s">
        <v>26</v>
      </c>
      <c r="N84" t="s">
        <v>77</v>
      </c>
      <c r="O84" s="16">
        <v>100000000</v>
      </c>
      <c r="P84">
        <v>308</v>
      </c>
      <c r="Q84">
        <v>0.26</v>
      </c>
      <c r="R84" s="16">
        <v>97400068</v>
      </c>
      <c r="S84" t="s">
        <v>78</v>
      </c>
      <c r="T84" t="s">
        <v>79</v>
      </c>
    </row>
    <row r="85" spans="1:20" x14ac:dyDescent="0.25">
      <c r="A85" t="s">
        <v>53</v>
      </c>
      <c r="B85">
        <v>43</v>
      </c>
      <c r="C85">
        <v>4</v>
      </c>
      <c r="D85">
        <v>58</v>
      </c>
      <c r="F85" t="s">
        <v>125</v>
      </c>
      <c r="G85">
        <v>71809</v>
      </c>
      <c r="H85" t="s">
        <v>70</v>
      </c>
      <c r="I85" t="s">
        <v>67</v>
      </c>
      <c r="J85" t="s">
        <v>5</v>
      </c>
      <c r="K85" t="s">
        <v>72</v>
      </c>
      <c r="L85" t="s">
        <v>26</v>
      </c>
      <c r="N85" t="s">
        <v>77</v>
      </c>
      <c r="O85" s="16">
        <v>100000000</v>
      </c>
      <c r="P85">
        <v>308</v>
      </c>
      <c r="Q85">
        <v>0.26</v>
      </c>
      <c r="R85" s="16">
        <v>97400068</v>
      </c>
      <c r="S85" t="s">
        <v>78</v>
      </c>
      <c r="T85" t="s">
        <v>79</v>
      </c>
    </row>
    <row r="86" spans="1:20" x14ac:dyDescent="0.25">
      <c r="A86" t="s">
        <v>53</v>
      </c>
      <c r="B86">
        <v>43</v>
      </c>
      <c r="C86">
        <v>4</v>
      </c>
      <c r="D86">
        <v>58</v>
      </c>
      <c r="F86" t="s">
        <v>125</v>
      </c>
      <c r="G86">
        <v>71810</v>
      </c>
      <c r="H86" t="s">
        <v>70</v>
      </c>
      <c r="I86" t="s">
        <v>67</v>
      </c>
      <c r="J86" t="s">
        <v>5</v>
      </c>
      <c r="K86" t="s">
        <v>72</v>
      </c>
      <c r="L86" t="s">
        <v>26</v>
      </c>
      <c r="N86" t="s">
        <v>77</v>
      </c>
      <c r="O86" s="16">
        <v>100000000</v>
      </c>
      <c r="P86">
        <v>308</v>
      </c>
      <c r="Q86">
        <v>0.26</v>
      </c>
      <c r="R86" s="16">
        <v>97400068</v>
      </c>
      <c r="S86" t="s">
        <v>78</v>
      </c>
      <c r="T86" t="s">
        <v>79</v>
      </c>
    </row>
    <row r="87" spans="1:20" x14ac:dyDescent="0.25">
      <c r="A87" s="46" t="s">
        <v>53</v>
      </c>
      <c r="B87" s="46">
        <v>43</v>
      </c>
      <c r="C87" s="46">
        <v>4</v>
      </c>
      <c r="D87" s="46">
        <v>58</v>
      </c>
      <c r="E87" s="46"/>
      <c r="F87" s="46" t="s">
        <v>125</v>
      </c>
      <c r="G87" s="46">
        <v>71811</v>
      </c>
      <c r="H87" s="46" t="s">
        <v>70</v>
      </c>
      <c r="I87" s="46" t="s">
        <v>67</v>
      </c>
      <c r="J87" s="46" t="s">
        <v>5</v>
      </c>
      <c r="K87" s="46" t="s">
        <v>72</v>
      </c>
      <c r="L87" s="46" t="s">
        <v>26</v>
      </c>
      <c r="M87" s="46"/>
      <c r="N87" s="46" t="s">
        <v>77</v>
      </c>
      <c r="O87" s="16">
        <v>100000000</v>
      </c>
      <c r="P87" s="46">
        <v>308</v>
      </c>
      <c r="Q87" s="46">
        <v>0.26</v>
      </c>
      <c r="R87" s="16">
        <v>97400068</v>
      </c>
      <c r="S87" s="46" t="s">
        <v>78</v>
      </c>
      <c r="T87" s="46" t="s">
        <v>79</v>
      </c>
    </row>
    <row r="88" spans="1:20" x14ac:dyDescent="0.25">
      <c r="A88" s="46" t="s">
        <v>53</v>
      </c>
      <c r="B88" s="46">
        <v>43</v>
      </c>
      <c r="C88" s="46">
        <v>4</v>
      </c>
      <c r="D88" s="46">
        <v>58</v>
      </c>
      <c r="E88" s="46"/>
      <c r="F88" s="46" t="s">
        <v>125</v>
      </c>
      <c r="G88" s="46">
        <v>71812</v>
      </c>
      <c r="H88" s="46" t="s">
        <v>70</v>
      </c>
      <c r="I88" s="46" t="s">
        <v>67</v>
      </c>
      <c r="J88" s="46" t="s">
        <v>5</v>
      </c>
      <c r="K88" s="46" t="s">
        <v>72</v>
      </c>
      <c r="L88" s="46" t="s">
        <v>26</v>
      </c>
      <c r="M88" s="46"/>
      <c r="N88" s="46" t="s">
        <v>77</v>
      </c>
      <c r="O88" s="16">
        <v>100000000</v>
      </c>
      <c r="P88" s="46">
        <v>308</v>
      </c>
      <c r="Q88" s="46">
        <v>0.26</v>
      </c>
      <c r="R88" s="16">
        <v>97400068</v>
      </c>
      <c r="S88" s="46" t="s">
        <v>78</v>
      </c>
      <c r="T88" s="46" t="s">
        <v>79</v>
      </c>
    </row>
    <row r="89" spans="1:20" x14ac:dyDescent="0.25">
      <c r="A89" s="46" t="s">
        <v>53</v>
      </c>
      <c r="B89" s="46">
        <v>43</v>
      </c>
      <c r="C89" s="46">
        <v>4</v>
      </c>
      <c r="D89" s="46">
        <v>54</v>
      </c>
      <c r="E89" s="46"/>
      <c r="F89" s="46" t="s">
        <v>125</v>
      </c>
      <c r="G89" s="46">
        <v>71813</v>
      </c>
      <c r="H89" s="46" t="s">
        <v>70</v>
      </c>
      <c r="I89" s="46" t="s">
        <v>67</v>
      </c>
      <c r="J89" s="46" t="s">
        <v>5</v>
      </c>
      <c r="K89" s="46" t="s">
        <v>72</v>
      </c>
      <c r="L89" s="46" t="s">
        <v>26</v>
      </c>
      <c r="M89" s="46"/>
      <c r="N89" s="46" t="s">
        <v>77</v>
      </c>
      <c r="O89" s="16">
        <v>100000000</v>
      </c>
      <c r="P89" s="46">
        <v>308</v>
      </c>
      <c r="Q89" s="46">
        <v>0.26</v>
      </c>
      <c r="R89" s="16">
        <v>97400068</v>
      </c>
      <c r="S89" s="46" t="s">
        <v>78</v>
      </c>
      <c r="T89" s="46" t="s">
        <v>79</v>
      </c>
    </row>
    <row r="90" spans="1:20" x14ac:dyDescent="0.25">
      <c r="A90" s="46" t="s">
        <v>53</v>
      </c>
      <c r="B90" s="46">
        <v>43</v>
      </c>
      <c r="C90" s="46">
        <v>4</v>
      </c>
      <c r="D90" s="46">
        <v>58</v>
      </c>
      <c r="E90" s="46"/>
      <c r="F90" s="46" t="s">
        <v>125</v>
      </c>
      <c r="G90" s="46">
        <v>71814</v>
      </c>
      <c r="H90" s="46" t="s">
        <v>70</v>
      </c>
      <c r="I90" s="46" t="s">
        <v>67</v>
      </c>
      <c r="J90" s="46" t="s">
        <v>5</v>
      </c>
      <c r="K90" s="46" t="s">
        <v>72</v>
      </c>
      <c r="L90" s="46" t="s">
        <v>26</v>
      </c>
      <c r="M90" s="46"/>
      <c r="N90" s="46" t="s">
        <v>77</v>
      </c>
      <c r="O90" s="16">
        <v>100000000</v>
      </c>
      <c r="P90" s="46">
        <v>308</v>
      </c>
      <c r="Q90" s="46">
        <v>0.26</v>
      </c>
      <c r="R90" s="16">
        <v>97400068</v>
      </c>
      <c r="S90" s="46" t="s">
        <v>78</v>
      </c>
      <c r="T90" s="46" t="s">
        <v>79</v>
      </c>
    </row>
    <row r="91" spans="1:20" x14ac:dyDescent="0.25">
      <c r="A91" t="s">
        <v>53</v>
      </c>
      <c r="B91">
        <v>43</v>
      </c>
      <c r="C91">
        <v>4</v>
      </c>
      <c r="D91">
        <v>58</v>
      </c>
      <c r="F91" t="s">
        <v>125</v>
      </c>
      <c r="G91">
        <v>71815</v>
      </c>
      <c r="H91" t="s">
        <v>70</v>
      </c>
      <c r="I91" t="s">
        <v>67</v>
      </c>
      <c r="J91" t="s">
        <v>5</v>
      </c>
      <c r="K91" t="s">
        <v>72</v>
      </c>
      <c r="L91" t="s">
        <v>26</v>
      </c>
      <c r="N91" t="s">
        <v>77</v>
      </c>
      <c r="O91" s="16">
        <v>100000000</v>
      </c>
      <c r="P91">
        <v>308</v>
      </c>
      <c r="Q91">
        <v>0.26</v>
      </c>
      <c r="R91" s="16">
        <v>97400068</v>
      </c>
      <c r="S91" t="s">
        <v>78</v>
      </c>
      <c r="T91" t="s">
        <v>79</v>
      </c>
    </row>
    <row r="92" spans="1:20" x14ac:dyDescent="0.25">
      <c r="A92" s="46" t="s">
        <v>53</v>
      </c>
      <c r="B92" s="46">
        <v>43</v>
      </c>
      <c r="C92" s="46">
        <v>4</v>
      </c>
      <c r="D92" s="46">
        <v>58</v>
      </c>
      <c r="E92" s="46"/>
      <c r="F92" s="46" t="s">
        <v>125</v>
      </c>
      <c r="G92" s="46">
        <v>71816</v>
      </c>
      <c r="H92" s="46" t="s">
        <v>70</v>
      </c>
      <c r="I92" s="46" t="s">
        <v>67</v>
      </c>
      <c r="J92" s="46" t="s">
        <v>5</v>
      </c>
      <c r="K92" s="46" t="s">
        <v>72</v>
      </c>
      <c r="L92" s="46" t="s">
        <v>26</v>
      </c>
      <c r="M92" s="46"/>
      <c r="N92" s="46" t="s">
        <v>77</v>
      </c>
      <c r="O92" s="16">
        <v>100000000</v>
      </c>
      <c r="P92" s="46">
        <v>308</v>
      </c>
      <c r="Q92" s="46">
        <v>0.26</v>
      </c>
      <c r="R92" s="16">
        <v>97400068</v>
      </c>
      <c r="S92" s="46" t="s">
        <v>78</v>
      </c>
      <c r="T92" s="46" t="s">
        <v>79</v>
      </c>
    </row>
    <row r="93" spans="1:20" x14ac:dyDescent="0.25">
      <c r="A93" s="46" t="s">
        <v>53</v>
      </c>
      <c r="B93" s="46">
        <v>43</v>
      </c>
      <c r="C93" s="46">
        <v>4</v>
      </c>
      <c r="D93" s="46">
        <v>58</v>
      </c>
      <c r="E93" s="46"/>
      <c r="F93" s="46" t="s">
        <v>125</v>
      </c>
      <c r="G93" s="46">
        <v>71817</v>
      </c>
      <c r="H93" s="46" t="s">
        <v>70</v>
      </c>
      <c r="I93" s="46" t="s">
        <v>67</v>
      </c>
      <c r="J93" s="46" t="s">
        <v>5</v>
      </c>
      <c r="K93" s="46" t="s">
        <v>72</v>
      </c>
      <c r="L93" s="46" t="s">
        <v>26</v>
      </c>
      <c r="M93" s="46"/>
      <c r="N93" s="46" t="s">
        <v>77</v>
      </c>
      <c r="O93" s="16">
        <v>100000000</v>
      </c>
      <c r="P93" s="46">
        <v>308</v>
      </c>
      <c r="Q93" s="46">
        <v>0.26</v>
      </c>
      <c r="R93" s="16">
        <v>97400068</v>
      </c>
      <c r="S93" s="46" t="s">
        <v>78</v>
      </c>
      <c r="T93" s="46" t="s">
        <v>79</v>
      </c>
    </row>
    <row r="94" spans="1:20" x14ac:dyDescent="0.25">
      <c r="A94" s="46" t="s">
        <v>53</v>
      </c>
      <c r="B94" s="46">
        <v>43</v>
      </c>
      <c r="C94" s="46">
        <v>4</v>
      </c>
      <c r="D94" s="46">
        <v>58</v>
      </c>
      <c r="E94" s="46"/>
      <c r="F94" s="46" t="s">
        <v>125</v>
      </c>
      <c r="G94" s="46">
        <v>71818</v>
      </c>
      <c r="H94" s="46" t="s">
        <v>70</v>
      </c>
      <c r="I94" s="46" t="s">
        <v>67</v>
      </c>
      <c r="J94" s="46" t="s">
        <v>5</v>
      </c>
      <c r="K94" s="46" t="s">
        <v>72</v>
      </c>
      <c r="L94" s="46" t="s">
        <v>26</v>
      </c>
      <c r="M94" s="46"/>
      <c r="N94" s="46" t="s">
        <v>77</v>
      </c>
      <c r="O94" s="16">
        <v>100000000</v>
      </c>
      <c r="P94" s="46">
        <v>308</v>
      </c>
      <c r="Q94" s="46">
        <v>0.26</v>
      </c>
      <c r="R94" s="16">
        <v>97400068</v>
      </c>
      <c r="S94" s="46" t="s">
        <v>78</v>
      </c>
      <c r="T94" s="46" t="s">
        <v>79</v>
      </c>
    </row>
    <row r="95" spans="1:20" x14ac:dyDescent="0.25">
      <c r="A95" s="46" t="s">
        <v>53</v>
      </c>
      <c r="B95" s="46">
        <v>43</v>
      </c>
      <c r="C95" s="46">
        <v>4</v>
      </c>
      <c r="D95" s="46">
        <v>58</v>
      </c>
      <c r="E95" s="46"/>
      <c r="F95" s="46" t="s">
        <v>125</v>
      </c>
      <c r="G95" s="46">
        <v>71819</v>
      </c>
      <c r="H95" s="46" t="s">
        <v>70</v>
      </c>
      <c r="I95" s="46" t="s">
        <v>67</v>
      </c>
      <c r="J95" s="46" t="s">
        <v>5</v>
      </c>
      <c r="K95" s="46" t="s">
        <v>72</v>
      </c>
      <c r="L95" s="46" t="s">
        <v>26</v>
      </c>
      <c r="M95" s="46"/>
      <c r="N95" s="46" t="s">
        <v>77</v>
      </c>
      <c r="O95" s="16">
        <v>100000000</v>
      </c>
      <c r="P95" s="46">
        <v>308</v>
      </c>
      <c r="Q95" s="46">
        <v>0.26</v>
      </c>
      <c r="R95" s="16">
        <v>97400068</v>
      </c>
      <c r="S95" s="46" t="s">
        <v>78</v>
      </c>
      <c r="T95" s="46" t="s">
        <v>79</v>
      </c>
    </row>
    <row r="96" spans="1:20" x14ac:dyDescent="0.25">
      <c r="A96" s="46" t="s">
        <v>53</v>
      </c>
      <c r="B96" s="46">
        <v>43</v>
      </c>
      <c r="C96" s="46">
        <v>4</v>
      </c>
      <c r="D96" s="46">
        <v>58</v>
      </c>
      <c r="E96" s="46"/>
      <c r="F96" s="46" t="s">
        <v>125</v>
      </c>
      <c r="G96" s="46">
        <v>71820</v>
      </c>
      <c r="H96" s="46" t="s">
        <v>70</v>
      </c>
      <c r="I96" s="46" t="s">
        <v>67</v>
      </c>
      <c r="J96" s="46" t="s">
        <v>5</v>
      </c>
      <c r="K96" s="46" t="s">
        <v>72</v>
      </c>
      <c r="L96" s="46" t="s">
        <v>26</v>
      </c>
      <c r="M96" s="46"/>
      <c r="N96" s="46" t="s">
        <v>118</v>
      </c>
      <c r="O96" s="16">
        <v>100000000</v>
      </c>
      <c r="P96" s="46">
        <v>339</v>
      </c>
      <c r="Q96" s="46">
        <v>0.26</v>
      </c>
      <c r="R96" s="16">
        <v>97145855</v>
      </c>
      <c r="S96" s="46" t="s">
        <v>119</v>
      </c>
      <c r="T96" s="46" t="s">
        <v>127</v>
      </c>
    </row>
    <row r="97" spans="1:20" x14ac:dyDescent="0.25">
      <c r="A97" s="46" t="s">
        <v>53</v>
      </c>
      <c r="B97" s="46">
        <v>43</v>
      </c>
      <c r="C97" s="46">
        <v>4</v>
      </c>
      <c r="D97" s="46">
        <v>58</v>
      </c>
      <c r="E97" s="46"/>
      <c r="F97" s="46" t="s">
        <v>125</v>
      </c>
      <c r="G97" s="46">
        <v>71821</v>
      </c>
      <c r="H97" s="46" t="s">
        <v>70</v>
      </c>
      <c r="I97" s="46" t="s">
        <v>67</v>
      </c>
      <c r="J97" s="46" t="s">
        <v>5</v>
      </c>
      <c r="K97" s="46" t="s">
        <v>72</v>
      </c>
      <c r="L97" s="46" t="s">
        <v>26</v>
      </c>
      <c r="M97" s="46"/>
      <c r="N97" s="46" t="s">
        <v>118</v>
      </c>
      <c r="O97" s="16">
        <v>100000000</v>
      </c>
      <c r="P97" s="46">
        <v>339</v>
      </c>
      <c r="Q97" s="46">
        <v>0.26</v>
      </c>
      <c r="R97" s="16">
        <v>97145855</v>
      </c>
      <c r="S97" s="46" t="s">
        <v>119</v>
      </c>
      <c r="T97" s="46" t="s">
        <v>127</v>
      </c>
    </row>
    <row r="98" spans="1:20" x14ac:dyDescent="0.25">
      <c r="A98" s="46" t="s">
        <v>53</v>
      </c>
      <c r="B98" s="46">
        <v>43</v>
      </c>
      <c r="C98" s="46">
        <v>4</v>
      </c>
      <c r="D98" s="46">
        <v>58</v>
      </c>
      <c r="E98" s="46"/>
      <c r="F98" s="46" t="s">
        <v>125</v>
      </c>
      <c r="G98" s="46">
        <v>71822</v>
      </c>
      <c r="H98" s="46" t="s">
        <v>70</v>
      </c>
      <c r="I98" s="46" t="s">
        <v>67</v>
      </c>
      <c r="J98" s="46" t="s">
        <v>5</v>
      </c>
      <c r="K98" s="46" t="s">
        <v>72</v>
      </c>
      <c r="L98" s="46" t="s">
        <v>26</v>
      </c>
      <c r="M98" s="46"/>
      <c r="N98" s="46" t="s">
        <v>118</v>
      </c>
      <c r="O98" s="16">
        <v>100000000</v>
      </c>
      <c r="P98" s="46">
        <v>339</v>
      </c>
      <c r="Q98" s="46">
        <v>0.26</v>
      </c>
      <c r="R98" s="16">
        <v>97145855</v>
      </c>
      <c r="S98" s="46" t="s">
        <v>119</v>
      </c>
      <c r="T98" s="46" t="s">
        <v>127</v>
      </c>
    </row>
    <row r="99" spans="1:20" x14ac:dyDescent="0.25">
      <c r="A99" s="46" t="s">
        <v>53</v>
      </c>
      <c r="B99" s="46">
        <v>43</v>
      </c>
      <c r="C99" s="46">
        <v>4</v>
      </c>
      <c r="D99" s="46">
        <v>58</v>
      </c>
      <c r="E99" s="46"/>
      <c r="F99" s="46" t="s">
        <v>125</v>
      </c>
      <c r="G99" s="46">
        <v>71823</v>
      </c>
      <c r="H99" s="46" t="s">
        <v>70</v>
      </c>
      <c r="I99" s="46" t="s">
        <v>67</v>
      </c>
      <c r="J99" s="46" t="s">
        <v>5</v>
      </c>
      <c r="K99" s="46" t="s">
        <v>72</v>
      </c>
      <c r="L99" s="46" t="s">
        <v>26</v>
      </c>
      <c r="M99" s="46"/>
      <c r="N99" s="46" t="s">
        <v>118</v>
      </c>
      <c r="O99" s="16">
        <v>100000000</v>
      </c>
      <c r="P99" s="46">
        <v>339</v>
      </c>
      <c r="Q99" s="46">
        <v>0.26</v>
      </c>
      <c r="R99" s="16">
        <v>97145855</v>
      </c>
      <c r="S99" s="46" t="s">
        <v>119</v>
      </c>
      <c r="T99" s="46" t="s">
        <v>127</v>
      </c>
    </row>
    <row r="100" spans="1:20" x14ac:dyDescent="0.25">
      <c r="A100" s="46" t="s">
        <v>53</v>
      </c>
      <c r="B100" s="46">
        <v>43</v>
      </c>
      <c r="C100" s="46">
        <v>4</v>
      </c>
      <c r="D100" s="46">
        <v>58</v>
      </c>
      <c r="E100" s="46"/>
      <c r="F100" s="46" t="s">
        <v>125</v>
      </c>
      <c r="G100" s="46">
        <v>71824</v>
      </c>
      <c r="H100" s="46" t="s">
        <v>70</v>
      </c>
      <c r="I100" s="46" t="s">
        <v>67</v>
      </c>
      <c r="J100" s="46" t="s">
        <v>5</v>
      </c>
      <c r="K100" s="46" t="s">
        <v>72</v>
      </c>
      <c r="L100" s="46" t="s">
        <v>26</v>
      </c>
      <c r="M100" s="46"/>
      <c r="N100" s="46" t="s">
        <v>118</v>
      </c>
      <c r="O100" s="16">
        <v>100000000</v>
      </c>
      <c r="P100" s="46">
        <v>339</v>
      </c>
      <c r="Q100" s="46">
        <v>0.26</v>
      </c>
      <c r="R100" s="16">
        <v>97145855</v>
      </c>
      <c r="S100" s="46" t="s">
        <v>119</v>
      </c>
      <c r="T100" s="46" t="s">
        <v>127</v>
      </c>
    </row>
  </sheetData>
  <conditionalFormatting sqref="A87:T90 A92:T96 A98:T99">
    <cfRule type="cellIs" dxfId="33" priority="1" operator="greaterThan">
      <formula>100000000</formula>
    </cfRule>
    <cfRule type="cellIs" dxfId="32" priority="2" operator="between">
      <formula>100000000</formula>
      <formula>0</formula>
    </cfRule>
    <cfRule type="cellIs" dxfId="31" priority="3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34"/>
  <sheetViews>
    <sheetView workbookViewId="0">
      <selection activeCell="A2" sqref="A2:A34"/>
    </sheetView>
  </sheetViews>
  <sheetFormatPr baseColWidth="10" defaultRowHeight="12" x14ac:dyDescent="0.2"/>
  <cols>
    <col min="1" max="1" width="9" style="3" customWidth="1"/>
    <col min="2" max="16384" width="11.42578125" style="3"/>
  </cols>
  <sheetData>
    <row r="1" spans="1:1" x14ac:dyDescent="0.2">
      <c r="A1" s="1" t="s">
        <v>22</v>
      </c>
    </row>
    <row r="2" spans="1:1" x14ac:dyDescent="0.2">
      <c r="A2" s="2">
        <v>41275</v>
      </c>
    </row>
    <row r="3" spans="1:1" x14ac:dyDescent="0.2">
      <c r="A3" s="2">
        <v>41362</v>
      </c>
    </row>
    <row r="4" spans="1:1" x14ac:dyDescent="0.2">
      <c r="A4" s="2">
        <v>41363</v>
      </c>
    </row>
    <row r="5" spans="1:1" x14ac:dyDescent="0.2">
      <c r="A5" s="2">
        <v>41395</v>
      </c>
    </row>
    <row r="6" spans="1:1" x14ac:dyDescent="0.2">
      <c r="A6" s="2">
        <v>41415</v>
      </c>
    </row>
    <row r="7" spans="1:1" x14ac:dyDescent="0.2">
      <c r="A7" s="2">
        <v>41454</v>
      </c>
    </row>
    <row r="8" spans="1:1" x14ac:dyDescent="0.2">
      <c r="A8" s="2">
        <v>41471</v>
      </c>
    </row>
    <row r="9" spans="1:1" x14ac:dyDescent="0.2">
      <c r="A9" s="2">
        <v>41501</v>
      </c>
    </row>
    <row r="10" spans="1:1" x14ac:dyDescent="0.2">
      <c r="A10" s="2">
        <v>41535</v>
      </c>
    </row>
    <row r="11" spans="1:1" x14ac:dyDescent="0.2">
      <c r="A11" s="2">
        <v>41536</v>
      </c>
    </row>
    <row r="12" spans="1:1" x14ac:dyDescent="0.2">
      <c r="A12" s="2">
        <v>41537</v>
      </c>
    </row>
    <row r="13" spans="1:1" x14ac:dyDescent="0.2">
      <c r="A13" s="2">
        <v>41559</v>
      </c>
    </row>
    <row r="14" spans="1:1" x14ac:dyDescent="0.2">
      <c r="A14" s="2">
        <v>41578</v>
      </c>
    </row>
    <row r="15" spans="1:1" x14ac:dyDescent="0.2">
      <c r="A15" s="2">
        <v>41579</v>
      </c>
    </row>
    <row r="16" spans="1:1" x14ac:dyDescent="0.2">
      <c r="A16" s="2">
        <v>41616</v>
      </c>
    </row>
    <row r="17" spans="1:1" x14ac:dyDescent="0.2">
      <c r="A17" s="2">
        <v>41633</v>
      </c>
    </row>
    <row r="18" spans="1:1" x14ac:dyDescent="0.2">
      <c r="A18" s="2">
        <v>41639</v>
      </c>
    </row>
    <row r="19" spans="1:1" x14ac:dyDescent="0.2">
      <c r="A19" s="2">
        <v>41640</v>
      </c>
    </row>
    <row r="20" spans="1:1" x14ac:dyDescent="0.2">
      <c r="A20" s="2">
        <v>41747</v>
      </c>
    </row>
    <row r="21" spans="1:1" x14ac:dyDescent="0.2">
      <c r="A21" s="2">
        <v>41748</v>
      </c>
    </row>
    <row r="22" spans="1:1" x14ac:dyDescent="0.2">
      <c r="A22" s="2">
        <v>41760</v>
      </c>
    </row>
    <row r="23" spans="1:1" x14ac:dyDescent="0.2">
      <c r="A23" s="2">
        <v>41780</v>
      </c>
    </row>
    <row r="24" spans="1:1" x14ac:dyDescent="0.2">
      <c r="A24" s="2">
        <v>41819</v>
      </c>
    </row>
    <row r="25" spans="1:1" x14ac:dyDescent="0.2">
      <c r="A25" s="2">
        <v>41836</v>
      </c>
    </row>
    <row r="26" spans="1:1" x14ac:dyDescent="0.2">
      <c r="A26" s="2">
        <v>41866</v>
      </c>
    </row>
    <row r="27" spans="1:1" x14ac:dyDescent="0.2">
      <c r="A27" s="2">
        <v>41900</v>
      </c>
    </row>
    <row r="28" spans="1:1" x14ac:dyDescent="0.2">
      <c r="A28" s="2">
        <v>41901</v>
      </c>
    </row>
    <row r="29" spans="1:1" x14ac:dyDescent="0.2">
      <c r="A29" s="2">
        <v>41924</v>
      </c>
    </row>
    <row r="30" spans="1:1" x14ac:dyDescent="0.2">
      <c r="A30" s="2">
        <v>41943</v>
      </c>
    </row>
    <row r="31" spans="1:1" x14ac:dyDescent="0.2">
      <c r="A31" s="2">
        <v>41944</v>
      </c>
    </row>
    <row r="32" spans="1:1" x14ac:dyDescent="0.2">
      <c r="A32" s="2">
        <v>41981</v>
      </c>
    </row>
    <row r="33" spans="1:1" x14ac:dyDescent="0.2">
      <c r="A33" s="2">
        <v>41998</v>
      </c>
    </row>
    <row r="34" spans="1:1" x14ac:dyDescent="0.2">
      <c r="A34" s="2">
        <v>42004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ResumenFondos</vt:lpstr>
      <vt:lpstr>SubidosIRF</vt:lpstr>
      <vt:lpstr>SubidosIIF</vt:lpstr>
      <vt:lpstr>Feriados</vt:lpstr>
      <vt:lpstr>FeriadosBCS</vt:lpstr>
    </vt:vector>
  </TitlesOfParts>
  <Company>Banco Itaú Chile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CJAG7136</dc:creator>
  <cp:lastModifiedBy>Alvaro Darquea Figueroa</cp:lastModifiedBy>
  <cp:lastPrinted>2016-11-16T14:36:12Z</cp:lastPrinted>
  <dcterms:created xsi:type="dcterms:W3CDTF">2012-03-27T21:22:26Z</dcterms:created>
  <dcterms:modified xsi:type="dcterms:W3CDTF">2017-07-03T13:45:21Z</dcterms:modified>
</cp:coreProperties>
</file>
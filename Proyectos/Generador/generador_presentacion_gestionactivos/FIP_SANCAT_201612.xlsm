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harts/chart19.xml" ContentType="application/vnd.openxmlformats-officedocument.drawingml.chart+xml"/>
  <Override PartName="/xl/theme/themeOverride3.xml" ContentType="application/vnd.openxmlformats-officedocument.themeOverride+xml"/>
  <Override PartName="/xl/charts/chart20.xml" ContentType="application/vnd.openxmlformats-officedocument.drawingml.chart+xml"/>
  <Override PartName="/xl/theme/themeOverride4.xml" ContentType="application/vnd.openxmlformats-officedocument.themeOverride+xml"/>
  <Override PartName="/xl/charts/chart21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suarezb\Desktop\mesagi\Proyectos\Generador\generador_presentacion_gestionactivos\"/>
    </mc:Choice>
  </mc:AlternateContent>
  <bookViews>
    <workbookView xWindow="930" yWindow="0" windowWidth="20490" windowHeight="7530" tabRatio="794" firstSheet="15" activeTab="18"/>
  </bookViews>
  <sheets>
    <sheet name="Control" sheetId="1" r:id="rId1"/>
    <sheet name="SEGUIMIENTO" sheetId="4" r:id="rId2"/>
    <sheet name="Evolucion" sheetId="18" r:id="rId3"/>
    <sheet name="Movimientos" sheetId="17" r:id="rId4"/>
    <sheet name="DataEvolucion" sheetId="19" r:id="rId5"/>
    <sheet name="Datos" sheetId="2" r:id="rId6"/>
    <sheet name="Agrupar Informacion Cartera" sheetId="16" r:id="rId7"/>
    <sheet name="CarteraCompleta" sheetId="3" r:id="rId8"/>
    <sheet name="Cartera-Neutral" sheetId="7" r:id="rId9"/>
    <sheet name="CarteraRFL" sheetId="8" r:id="rId10"/>
    <sheet name="CarteraRVL" sheetId="9" r:id="rId11"/>
    <sheet name="CarteraRFI" sheetId="10" r:id="rId12"/>
    <sheet name="CarteraRVI" sheetId="11" r:id="rId13"/>
    <sheet name="ResumenCartera" sheetId="12" r:id="rId14"/>
    <sheet name="ResumenCarteraLabel" sheetId="13" r:id="rId15"/>
    <sheet name="ResumenCarteraRF" sheetId="14" r:id="rId16"/>
    <sheet name="ResumenCarteraRFLabel" sheetId="15" r:id="rId17"/>
    <sheet name="CarteraCompletaNoRecursiva" sheetId="21" r:id="rId18"/>
    <sheet name="MalClasificados" sheetId="20" r:id="rId19"/>
  </sheets>
  <definedNames>
    <definedName name="_xlnm._FilterDatabase" localSheetId="7" hidden="1">CarteraCompleta!$A$1:$AA$51</definedName>
    <definedName name="_xlnm._FilterDatabase" localSheetId="17" hidden="1">CarteraCompletaNoRecursiva!$A$1:$AA$2</definedName>
  </definedNames>
  <calcPr calcId="171027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8" i="4" l="1"/>
  <c r="B99" i="4"/>
  <c r="B100" i="4"/>
  <c r="B101" i="4"/>
  <c r="B102" i="4"/>
  <c r="B103" i="4"/>
  <c r="B104" i="4"/>
  <c r="B105" i="4"/>
  <c r="B106" i="4"/>
  <c r="B107" i="4"/>
  <c r="B108" i="4"/>
  <c r="C98" i="4"/>
  <c r="C99" i="4"/>
  <c r="C100" i="4"/>
  <c r="C101" i="4"/>
  <c r="C102" i="4"/>
  <c r="C103" i="4"/>
  <c r="C104" i="4"/>
  <c r="C105" i="4"/>
  <c r="C106" i="4"/>
  <c r="C107" i="4"/>
  <c r="C108" i="4"/>
  <c r="D98" i="4"/>
  <c r="D99" i="4"/>
  <c r="D100" i="4"/>
  <c r="D101" i="4"/>
  <c r="D102" i="4"/>
  <c r="D103" i="4"/>
  <c r="D104" i="4"/>
  <c r="D105" i="4"/>
  <c r="D106" i="4"/>
  <c r="D107" i="4"/>
  <c r="D108" i="4"/>
  <c r="C97" i="4"/>
  <c r="D97" i="4"/>
  <c r="B97" i="4"/>
  <c r="B83" i="4"/>
  <c r="B84" i="4" l="1"/>
  <c r="C84" i="4"/>
  <c r="D84" i="4"/>
  <c r="E84" i="4"/>
  <c r="B85" i="4"/>
  <c r="C85" i="4"/>
  <c r="D85" i="4"/>
  <c r="E85" i="4"/>
  <c r="B86" i="4"/>
  <c r="C86" i="4"/>
  <c r="D86" i="4"/>
  <c r="E86" i="4"/>
  <c r="B87" i="4"/>
  <c r="C87" i="4"/>
  <c r="D87" i="4"/>
  <c r="E87" i="4"/>
  <c r="B88" i="4"/>
  <c r="C88" i="4"/>
  <c r="D88" i="4"/>
  <c r="E88" i="4"/>
  <c r="B89" i="4"/>
  <c r="C89" i="4"/>
  <c r="D89" i="4"/>
  <c r="E89" i="4"/>
  <c r="B90" i="4"/>
  <c r="C90" i="4"/>
  <c r="D90" i="4"/>
  <c r="E90" i="4"/>
  <c r="B91" i="4"/>
  <c r="C91" i="4"/>
  <c r="D91" i="4"/>
  <c r="E91" i="4"/>
  <c r="B92" i="4"/>
  <c r="C92" i="4"/>
  <c r="D92" i="4"/>
  <c r="E92" i="4"/>
  <c r="B93" i="4"/>
  <c r="C93" i="4"/>
  <c r="D93" i="4"/>
  <c r="E93" i="4"/>
  <c r="B94" i="4"/>
  <c r="C94" i="4"/>
  <c r="D94" i="4"/>
  <c r="E94" i="4"/>
  <c r="C83" i="4"/>
  <c r="E83" i="4"/>
  <c r="D83" i="4"/>
  <c r="B67" i="4" l="1"/>
  <c r="B68" i="4"/>
  <c r="B18" i="4" l="1"/>
  <c r="E68" i="4" l="1"/>
  <c r="E69" i="4"/>
  <c r="E70" i="4"/>
  <c r="E71" i="4"/>
  <c r="E72" i="4"/>
  <c r="E73" i="4"/>
  <c r="E74" i="4"/>
  <c r="E75" i="4"/>
  <c r="E76" i="4"/>
  <c r="E77" i="4"/>
  <c r="E78" i="4"/>
  <c r="E79" i="4"/>
  <c r="E80" i="4"/>
  <c r="B69" i="4"/>
  <c r="B70" i="4"/>
  <c r="B71" i="4"/>
  <c r="B72" i="4"/>
  <c r="B73" i="4"/>
  <c r="B74" i="4"/>
  <c r="B75" i="4"/>
  <c r="B76" i="4"/>
  <c r="B77" i="4"/>
  <c r="B78" i="4"/>
  <c r="B79" i="4"/>
  <c r="B80" i="4"/>
  <c r="E67" i="4"/>
  <c r="E54" i="4"/>
  <c r="E55" i="4"/>
  <c r="E56" i="4"/>
  <c r="E57" i="4"/>
  <c r="E58" i="4"/>
  <c r="E59" i="4"/>
  <c r="E60" i="4"/>
  <c r="E61" i="4"/>
  <c r="E62" i="4"/>
  <c r="E63" i="4"/>
  <c r="B54" i="4"/>
  <c r="B55" i="4"/>
  <c r="B56" i="4"/>
  <c r="B57" i="4"/>
  <c r="B58" i="4"/>
  <c r="B59" i="4"/>
  <c r="B60" i="4"/>
  <c r="B61" i="4"/>
  <c r="B62" i="4"/>
  <c r="B63" i="4"/>
  <c r="E53" i="4"/>
  <c r="B53" i="4"/>
  <c r="B43" i="4"/>
  <c r="E44" i="4" l="1"/>
  <c r="E45" i="4"/>
  <c r="E46" i="4"/>
  <c r="E47" i="4"/>
  <c r="E48" i="4"/>
  <c r="E49" i="4"/>
  <c r="E50" i="4"/>
  <c r="E43" i="4"/>
  <c r="B44" i="4"/>
  <c r="B45" i="4"/>
  <c r="B46" i="4"/>
  <c r="B47" i="4"/>
  <c r="B48" i="4"/>
  <c r="B49" i="4"/>
  <c r="B50" i="4"/>
  <c r="E31" i="4" l="1"/>
  <c r="D31" i="4"/>
  <c r="C31" i="4"/>
  <c r="E30" i="4"/>
  <c r="D30" i="4"/>
  <c r="C30" i="4"/>
  <c r="E29" i="4"/>
  <c r="D29" i="4"/>
  <c r="C29" i="4"/>
  <c r="E25" i="4" l="1"/>
  <c r="D25" i="4"/>
  <c r="M41" i="4" l="1"/>
  <c r="L41" i="4"/>
  <c r="S56" i="4" l="1"/>
  <c r="S69" i="4" s="1"/>
  <c r="R56" i="4"/>
  <c r="R69" i="4" s="1"/>
  <c r="Q56" i="4"/>
  <c r="Q69" i="4" s="1"/>
  <c r="P56" i="4"/>
  <c r="P69" i="4" s="1"/>
  <c r="O56" i="4"/>
  <c r="O69" i="4" s="1"/>
  <c r="N56" i="4"/>
  <c r="N69" i="4" s="1"/>
  <c r="M56" i="4"/>
  <c r="M69" i="4" s="1"/>
  <c r="L56" i="4"/>
  <c r="L69" i="4" s="1"/>
  <c r="K56" i="4"/>
  <c r="K69" i="4" s="1"/>
  <c r="J56" i="4"/>
  <c r="J69" i="4" s="1"/>
  <c r="I56" i="4"/>
  <c r="I69" i="4" s="1"/>
  <c r="H56" i="4"/>
  <c r="G56" i="4"/>
  <c r="G69" i="4" s="1"/>
  <c r="S55" i="4"/>
  <c r="S68" i="4" s="1"/>
  <c r="R55" i="4"/>
  <c r="R68" i="4" s="1"/>
  <c r="Q55" i="4"/>
  <c r="Q68" i="4" s="1"/>
  <c r="P55" i="4"/>
  <c r="P68" i="4" s="1"/>
  <c r="O55" i="4"/>
  <c r="O68" i="4" s="1"/>
  <c r="N55" i="4"/>
  <c r="N68" i="4" s="1"/>
  <c r="M55" i="4"/>
  <c r="M68" i="4" s="1"/>
  <c r="L55" i="4"/>
  <c r="L68" i="4" s="1"/>
  <c r="K55" i="4"/>
  <c r="K68" i="4" s="1"/>
  <c r="J55" i="4"/>
  <c r="I55" i="4"/>
  <c r="I68" i="4" s="1"/>
  <c r="H55" i="4"/>
  <c r="V55" i="4" s="1"/>
  <c r="G55" i="4"/>
  <c r="G68" i="4" s="1"/>
  <c r="S54" i="4"/>
  <c r="S65" i="4" s="1"/>
  <c r="R54" i="4"/>
  <c r="R65" i="4" s="1"/>
  <c r="Q54" i="4"/>
  <c r="Q65" i="4" s="1"/>
  <c r="P54" i="4"/>
  <c r="P65" i="4" s="1"/>
  <c r="O54" i="4"/>
  <c r="O65" i="4" s="1"/>
  <c r="N54" i="4"/>
  <c r="N65" i="4" s="1"/>
  <c r="M54" i="4"/>
  <c r="M65" i="4" s="1"/>
  <c r="L54" i="4"/>
  <c r="L65" i="4" s="1"/>
  <c r="K54" i="4"/>
  <c r="K65" i="4" s="1"/>
  <c r="J54" i="4"/>
  <c r="J65" i="4" s="1"/>
  <c r="I54" i="4"/>
  <c r="I65" i="4" s="1"/>
  <c r="H54" i="4"/>
  <c r="G54" i="4"/>
  <c r="G65" i="4" s="1"/>
  <c r="S53" i="4"/>
  <c r="S64" i="4" s="1"/>
  <c r="R53" i="4"/>
  <c r="R64" i="4" s="1"/>
  <c r="Q53" i="4"/>
  <c r="Q64" i="4" s="1"/>
  <c r="P53" i="4"/>
  <c r="P64" i="4" s="1"/>
  <c r="O53" i="4"/>
  <c r="O64" i="4" s="1"/>
  <c r="N53" i="4"/>
  <c r="N64" i="4" s="1"/>
  <c r="M53" i="4"/>
  <c r="M64" i="4" s="1"/>
  <c r="L53" i="4"/>
  <c r="L64" i="4" s="1"/>
  <c r="K53" i="4"/>
  <c r="K64" i="4" s="1"/>
  <c r="J53" i="4"/>
  <c r="J64" i="4" s="1"/>
  <c r="I53" i="4"/>
  <c r="I64" i="4" s="1"/>
  <c r="H53" i="4"/>
  <c r="G53" i="4"/>
  <c r="G64" i="4" s="1"/>
  <c r="S52" i="4"/>
  <c r="S61" i="4" s="1"/>
  <c r="R52" i="4"/>
  <c r="R61" i="4" s="1"/>
  <c r="Q52" i="4"/>
  <c r="Q61" i="4" s="1"/>
  <c r="P52" i="4"/>
  <c r="P61" i="4" s="1"/>
  <c r="O52" i="4"/>
  <c r="O61" i="4" s="1"/>
  <c r="N52" i="4"/>
  <c r="N61" i="4" s="1"/>
  <c r="M52" i="4"/>
  <c r="M61" i="4" s="1"/>
  <c r="L52" i="4"/>
  <c r="L61" i="4" s="1"/>
  <c r="K52" i="4"/>
  <c r="K61" i="4" s="1"/>
  <c r="J52" i="4"/>
  <c r="J61" i="4" s="1"/>
  <c r="I52" i="4"/>
  <c r="I61" i="4" s="1"/>
  <c r="H52" i="4"/>
  <c r="G52" i="4"/>
  <c r="G61" i="4" s="1"/>
  <c r="S51" i="4"/>
  <c r="S60" i="4" s="1"/>
  <c r="R51" i="4"/>
  <c r="R60" i="4" s="1"/>
  <c r="Q51" i="4"/>
  <c r="Q60" i="4" s="1"/>
  <c r="P51" i="4"/>
  <c r="P60" i="4" s="1"/>
  <c r="O51" i="4"/>
  <c r="O60" i="4" s="1"/>
  <c r="N51" i="4"/>
  <c r="N60" i="4" s="1"/>
  <c r="M51" i="4"/>
  <c r="M60" i="4" s="1"/>
  <c r="L51" i="4"/>
  <c r="L60" i="4" s="1"/>
  <c r="K51" i="4"/>
  <c r="K60" i="4" s="1"/>
  <c r="J51" i="4"/>
  <c r="I51" i="4"/>
  <c r="I60" i="4" s="1"/>
  <c r="H51" i="4"/>
  <c r="G51" i="4"/>
  <c r="G60" i="4" s="1"/>
  <c r="E40" i="4"/>
  <c r="E38" i="4"/>
  <c r="E34" i="4"/>
  <c r="E35" i="4" s="1"/>
  <c r="E24" i="4"/>
  <c r="D24" i="4"/>
  <c r="E23" i="4"/>
  <c r="D23" i="4"/>
  <c r="E22" i="4"/>
  <c r="D22" i="4"/>
  <c r="E21" i="4"/>
  <c r="D21" i="4"/>
  <c r="E20" i="4"/>
  <c r="D20" i="4"/>
  <c r="E19" i="4"/>
  <c r="D19" i="4"/>
  <c r="E18" i="4" a="1"/>
  <c r="E18" i="4" s="1"/>
  <c r="N15" i="4" s="1"/>
  <c r="D18" i="4" a="1"/>
  <c r="D18" i="4" s="1"/>
  <c r="M15" i="4" s="1"/>
  <c r="E17" i="4" a="1"/>
  <c r="E17" i="4" s="1"/>
  <c r="D17" i="4" a="1"/>
  <c r="D17" i="4" s="1"/>
  <c r="N16" i="4" a="1"/>
  <c r="N16" i="4" s="1"/>
  <c r="M16" i="4" a="1"/>
  <c r="M16" i="4" s="1"/>
  <c r="E16" i="4"/>
  <c r="T22" i="4" s="1"/>
  <c r="D16" i="4"/>
  <c r="S22" i="4" s="1"/>
  <c r="E15" i="4"/>
  <c r="D15" i="4"/>
  <c r="B15" i="4"/>
  <c r="V52" i="4" l="1"/>
  <c r="V61" i="4" s="1"/>
  <c r="V54" i="4"/>
  <c r="V65" i="4" s="1"/>
  <c r="V51" i="4"/>
  <c r="V60" i="4" s="1"/>
  <c r="V56" i="4"/>
  <c r="V69" i="4" s="1"/>
  <c r="V53" i="4"/>
  <c r="V64" i="4" s="1"/>
  <c r="T51" i="4" a="1"/>
  <c r="T51" i="4" s="1"/>
  <c r="T60" i="4" s="1"/>
  <c r="H60" i="4"/>
  <c r="T55" i="4" a="1"/>
  <c r="T55" i="4" s="1"/>
  <c r="T68" i="4" s="1"/>
  <c r="V68" i="4"/>
  <c r="H68" i="4"/>
  <c r="U52" i="4" a="1"/>
  <c r="U52" i="4" s="1"/>
  <c r="U61" i="4" s="1"/>
  <c r="H61" i="4"/>
  <c r="U56" i="4" a="1"/>
  <c r="U56" i="4" s="1"/>
  <c r="U69" i="4" s="1"/>
  <c r="H69" i="4"/>
  <c r="U51" i="4" a="1"/>
  <c r="U51" i="4" s="1"/>
  <c r="U60" i="4" s="1"/>
  <c r="J60" i="4"/>
  <c r="U55" i="4" a="1"/>
  <c r="U55" i="4" s="1"/>
  <c r="U68" i="4" s="1"/>
  <c r="J68" i="4"/>
  <c r="T54" i="4" a="1"/>
  <c r="T54" i="4" s="1"/>
  <c r="T65" i="4" s="1"/>
  <c r="H65" i="4"/>
  <c r="U53" i="4" a="1"/>
  <c r="U53" i="4" s="1"/>
  <c r="U64" i="4" s="1"/>
  <c r="H64" i="4"/>
  <c r="T52" i="4" a="1"/>
  <c r="T52" i="4" s="1"/>
  <c r="T61" i="4" s="1"/>
  <c r="U54" i="4" a="1"/>
  <c r="U54" i="4" s="1"/>
  <c r="U65" i="4" s="1"/>
  <c r="T56" i="4" a="1"/>
  <c r="T56" i="4" s="1"/>
  <c r="T69" i="4" s="1"/>
  <c r="T53" i="4" a="1"/>
  <c r="T53" i="4" s="1"/>
  <c r="T64" i="4" s="1"/>
</calcChain>
</file>

<file path=xl/sharedStrings.xml><?xml version="1.0" encoding="utf-8"?>
<sst xmlns="http://schemas.openxmlformats.org/spreadsheetml/2006/main" count="9189" uniqueCount="540">
  <si>
    <t>Cliente/fondo</t>
  </si>
  <si>
    <t>Fecha Inicio</t>
  </si>
  <si>
    <t>Fecha Fin</t>
  </si>
  <si>
    <t>Serie</t>
  </si>
  <si>
    <t>Serie Histórica</t>
  </si>
  <si>
    <t>Retornos Mensuales</t>
  </si>
  <si>
    <t>Retornos Anuales</t>
  </si>
  <si>
    <t>Fecha</t>
  </si>
  <si>
    <t>Benchmark</t>
  </si>
  <si>
    <t>Mes</t>
  </si>
  <si>
    <t>Fondo/Cartera</t>
  </si>
  <si>
    <t>Año</t>
  </si>
  <si>
    <t>Estadísticas</t>
  </si>
  <si>
    <t>Alpha</t>
  </si>
  <si>
    <t>Beta</t>
  </si>
  <si>
    <t>T.E.</t>
  </si>
  <si>
    <t>Vol Cart</t>
  </si>
  <si>
    <t>Vol Benchmark</t>
  </si>
  <si>
    <t>Moneda</t>
  </si>
  <si>
    <t>Duration</t>
  </si>
  <si>
    <t>INDICADORES DE RENTABILIDAD</t>
  </si>
  <si>
    <t>Rentabilidad año a la fecha</t>
  </si>
  <si>
    <t>Rentabilidad anual compuesta</t>
  </si>
  <si>
    <t>Rentabilidad promedio mensual negativa</t>
  </si>
  <si>
    <t>Rentabilidad promedio mensual positiva</t>
  </si>
  <si>
    <t>Rentabilidad promedio mensual</t>
  </si>
  <si>
    <t>% de meses positivos</t>
  </si>
  <si>
    <t>% de meses negativos</t>
  </si>
  <si>
    <t>Mayor caída mensual de la cartera</t>
  </si>
  <si>
    <t>Desviación estándar anualizada</t>
  </si>
  <si>
    <t>PRINCIPALES INDICADORES</t>
  </si>
  <si>
    <t>12 meses</t>
  </si>
  <si>
    <t>24 meses</t>
  </si>
  <si>
    <t>Desde inicio</t>
  </si>
  <si>
    <t>Tracking Error</t>
  </si>
  <si>
    <t>Tipo de Papel</t>
  </si>
  <si>
    <t>%</t>
  </si>
  <si>
    <t>Corporativo</t>
  </si>
  <si>
    <t>No Corporativo</t>
  </si>
  <si>
    <t>Indicador</t>
  </si>
  <si>
    <t>Valor</t>
  </si>
  <si>
    <t>TIR Real</t>
  </si>
  <si>
    <t>Inflación supuesta 12 meses</t>
  </si>
  <si>
    <t>Cartera Actual</t>
  </si>
  <si>
    <t>RENTABILIDAD MES A MES ÚLTIMOS 3 AÑOS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</si>
  <si>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</si>
  <si>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</si>
  <si>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</si>
  <si>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</si>
  <si>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</si>
  <si>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</si>
  <si>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</si>
  <si>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</si>
  <si>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</si>
  <si>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</si>
  <si>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</si>
  <si>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</si>
  <si>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Total</t>
  </si>
  <si>
    <t>Total Anualizado</t>
  </si>
  <si>
    <t>Volatilidad</t>
  </si>
  <si>
    <t>Cartera Neutral</t>
  </si>
  <si>
    <t>Rentabilidad Cartera</t>
  </si>
  <si>
    <t>Rentabilidad Cartera Neutral</t>
  </si>
  <si>
    <t>Desde 2014</t>
  </si>
  <si>
    <t>COMPOSICIÓN DE LA CARTERA</t>
  </si>
  <si>
    <t>GRÁFICO EVOLUCIÓN VALOR CUOTA</t>
  </si>
  <si>
    <t>Cliente:</t>
  </si>
  <si>
    <t>Rut:</t>
  </si>
  <si>
    <t>Secuencia:</t>
  </si>
  <si>
    <t>Tipo de Cliente:</t>
  </si>
  <si>
    <t>Sub Categoría:</t>
  </si>
  <si>
    <t>Perfil de Riesgo</t>
  </si>
  <si>
    <t>Patrimonio:</t>
  </si>
  <si>
    <t>Vehiculos de Inversión:</t>
  </si>
  <si>
    <t>Restricciones:</t>
  </si>
  <si>
    <t>MOVIMIENTOS</t>
  </si>
  <si>
    <t>MOVIMIENTOS ÚLTIMO MES</t>
  </si>
  <si>
    <t>R2</t>
  </si>
  <si>
    <t>36 meses</t>
  </si>
  <si>
    <t>Inicio</t>
  </si>
  <si>
    <t>Rentabilidad YTD Cartera</t>
  </si>
  <si>
    <t>Rentabilidad YTD Cartera Neutral</t>
  </si>
  <si>
    <t>Volatilidad Cartera</t>
  </si>
  <si>
    <t>Volatilidad Cartera Neutral</t>
  </si>
  <si>
    <t>Emisor</t>
  </si>
  <si>
    <t>Clasificación Riesgo</t>
  </si>
  <si>
    <t>Fondo</t>
  </si>
  <si>
    <t>Tipo Movimiento</t>
  </si>
  <si>
    <t>Cantidad</t>
  </si>
  <si>
    <t>Monto</t>
  </si>
  <si>
    <t>I</t>
  </si>
  <si>
    <t>Clase de Activo</t>
  </si>
  <si>
    <t>Cartera</t>
  </si>
  <si>
    <t>Recursiva</t>
  </si>
  <si>
    <t>No Recursiva</t>
  </si>
  <si>
    <t>FIP_SANCAT</t>
  </si>
  <si>
    <t>NC</t>
  </si>
  <si>
    <t>Renta Fija Local</t>
  </si>
  <si>
    <t>Liquidez $</t>
  </si>
  <si>
    <t>UF</t>
  </si>
  <si>
    <t>$</t>
  </si>
  <si>
    <t>NULL</t>
  </si>
  <si>
    <t>Local</t>
  </si>
  <si>
    <t>Codigo_Ins</t>
  </si>
  <si>
    <t>Codigo_Emi</t>
  </si>
  <si>
    <t>Weight</t>
  </si>
  <si>
    <t>Tasa</t>
  </si>
  <si>
    <t>Riesgo</t>
  </si>
  <si>
    <t>Tipo_Instrumento</t>
  </si>
  <si>
    <t>Sector</t>
  </si>
  <si>
    <t>Nombre_Instrumento</t>
  </si>
  <si>
    <t>Nombre_Emisor</t>
  </si>
  <si>
    <t>Pais_Emisor</t>
  </si>
  <si>
    <t>Zona</t>
  </si>
  <si>
    <t>Precio</t>
  </si>
  <si>
    <t>Renta</t>
  </si>
  <si>
    <t>Clasificacion_Riesgo</t>
  </si>
  <si>
    <t>Porcentaje</t>
  </si>
  <si>
    <t>Corto_Largo</t>
  </si>
  <si>
    <t>Riesgo_Duracion_Moneda</t>
  </si>
  <si>
    <t>Riesgo_Duracion</t>
  </si>
  <si>
    <t>Duracion_Moneda</t>
  </si>
  <si>
    <t>TipoInstrumento_Moneda</t>
  </si>
  <si>
    <t>TipoInstrumento_Largo</t>
  </si>
  <si>
    <t>Asset_Class</t>
  </si>
  <si>
    <t>Subclase</t>
  </si>
  <si>
    <t>BAGUA-R</t>
  </si>
  <si>
    <t>AGUAS</t>
  </si>
  <si>
    <t>AA+</t>
  </si>
  <si>
    <t>Bono Corporativo</t>
  </si>
  <si>
    <t>Servicios Básicos</t>
  </si>
  <si>
    <t>Bono Aguas Andinas</t>
  </si>
  <si>
    <t>Aguas Andina S.A.</t>
  </si>
  <si>
    <t>CL</t>
  </si>
  <si>
    <t>Fija</t>
  </si>
  <si>
    <t>Bajo Riesgo</t>
  </si>
  <si>
    <t>Corto</t>
  </si>
  <si>
    <t>Bajo Riesgo Corto UF</t>
  </si>
  <si>
    <t>Bajo Riesgo Corto</t>
  </si>
  <si>
    <t>Corto UF</t>
  </si>
  <si>
    <t>Bono Corporativo UF</t>
  </si>
  <si>
    <t>Bono Corporativo Corto</t>
  </si>
  <si>
    <t>Bono Corporativo Bajo Riesgo Corto</t>
  </si>
  <si>
    <t>BANDI-C</t>
  </si>
  <si>
    <t>EMB ANDINA</t>
  </si>
  <si>
    <t>AA</t>
  </si>
  <si>
    <t>Industriales</t>
  </si>
  <si>
    <t>Bono Embotelladora Andina</t>
  </si>
  <si>
    <t>Embotelladora Andina S.A.</t>
  </si>
  <si>
    <t>BANOR-B2</t>
  </si>
  <si>
    <t>AUTONORTE</t>
  </si>
  <si>
    <t>Otros</t>
  </si>
  <si>
    <t>Autopista Norte</t>
  </si>
  <si>
    <t>Soc. Conc. Vespucio Norte Express S.A.</t>
  </si>
  <si>
    <t>BARAU-F</t>
  </si>
  <si>
    <t>ARAUCO</t>
  </si>
  <si>
    <t>AA-</t>
  </si>
  <si>
    <t>Materiales Básicos</t>
  </si>
  <si>
    <t>Bono Celulosa Arauco</t>
  </si>
  <si>
    <t>Celulosa Arauco y Constitución</t>
  </si>
  <si>
    <t>Largo</t>
  </si>
  <si>
    <t>Bajo Riesgo Largo UF</t>
  </si>
  <si>
    <t>Bajo Riesgo Largo</t>
  </si>
  <si>
    <t>Largo UF</t>
  </si>
  <si>
    <t>Bono Corporativo Largo</t>
  </si>
  <si>
    <t>Bono Corporativo Bajo Riesgo Largo</t>
  </si>
  <si>
    <t>BARAU-Q</t>
  </si>
  <si>
    <t>BAYS3-A</t>
  </si>
  <si>
    <t>AYSTRES</t>
  </si>
  <si>
    <t>Diversificados</t>
  </si>
  <si>
    <t>Bono Inversiones Ays Tres</t>
  </si>
  <si>
    <t>INVERSIONES AYS TRES</t>
  </si>
  <si>
    <t>BBANM-I</t>
  </si>
  <si>
    <t>BANMEDICA</t>
  </si>
  <si>
    <t>Salud</t>
  </si>
  <si>
    <t>Bono Banmedica</t>
  </si>
  <si>
    <t>Banmedica</t>
  </si>
  <si>
    <t>Bajo Riesgo Corto $</t>
  </si>
  <si>
    <t>Corto $</t>
  </si>
  <si>
    <t>Bono Corporativo $</t>
  </si>
  <si>
    <t>BBBVJ31011</t>
  </si>
  <si>
    <t>BBBVA</t>
  </si>
  <si>
    <t>Financieras</t>
  </si>
  <si>
    <t>Bono Banco BBVA</t>
  </si>
  <si>
    <t>Banco BBVA</t>
  </si>
  <si>
    <t>BBBVJ40413</t>
  </si>
  <si>
    <t>BBBVJ51113</t>
  </si>
  <si>
    <t>BBBVK40212</t>
  </si>
  <si>
    <t>BBBVM11011</t>
  </si>
  <si>
    <t>BBBVM21011</t>
  </si>
  <si>
    <t>BBBVM31113</t>
  </si>
  <si>
    <t>BBBVM41113</t>
  </si>
  <si>
    <t>BBBVP10713</t>
  </si>
  <si>
    <t>BBCIAB0708</t>
  </si>
  <si>
    <t>BBCREDITO</t>
  </si>
  <si>
    <t>Bono BCI</t>
  </si>
  <si>
    <t>BCI</t>
  </si>
  <si>
    <t>BBCIJ11014</t>
  </si>
  <si>
    <t>BBCIS-P30A</t>
  </si>
  <si>
    <t>BCI SECURI</t>
  </si>
  <si>
    <t>BCI Securitizadora</t>
  </si>
  <si>
    <t>BBIC480510</t>
  </si>
  <si>
    <t>BBICE</t>
  </si>
  <si>
    <t>Bono Bancario Bice 48</t>
  </si>
  <si>
    <t>BICE</t>
  </si>
  <si>
    <t>BBIC580314</t>
  </si>
  <si>
    <t>Bono Banco Bice</t>
  </si>
  <si>
    <t>BBNS-E0509</t>
  </si>
  <si>
    <t>BBSCOTIABA</t>
  </si>
  <si>
    <t>AAA</t>
  </si>
  <si>
    <t>Bono Scotiabank</t>
  </si>
  <si>
    <t>Scotiabank</t>
  </si>
  <si>
    <t>BBNS-L0511</t>
  </si>
  <si>
    <t>BBNS-N0712</t>
  </si>
  <si>
    <t>BBNS-R0613</t>
  </si>
  <si>
    <t>BBNS-T0214</t>
  </si>
  <si>
    <t>BBNS-U0414</t>
  </si>
  <si>
    <t>BBNS-V0514</t>
  </si>
  <si>
    <t>BBNS-Y0814</t>
  </si>
  <si>
    <t>BCENC-E</t>
  </si>
  <si>
    <t>CENCOSUD</t>
  </si>
  <si>
    <t>Consumo</t>
  </si>
  <si>
    <t>Bono Cencosud S.A.</t>
  </si>
  <si>
    <t>Cencosud S.A.</t>
  </si>
  <si>
    <t>BCFSA-A</t>
  </si>
  <si>
    <t>CONSOR FIN</t>
  </si>
  <si>
    <t>Bono Consorcio Financiero</t>
  </si>
  <si>
    <t>Consorcio Financiera</t>
  </si>
  <si>
    <t>BCGVI-A</t>
  </si>
  <si>
    <t>CG VIDA</t>
  </si>
  <si>
    <t>Bono Corpgroup Vida Chile</t>
  </si>
  <si>
    <t>Corpgroup Vida Chile</t>
  </si>
  <si>
    <t>BCHIAA0212</t>
  </si>
  <si>
    <t>BBCHILE</t>
  </si>
  <si>
    <t>Bono Banco Chile</t>
  </si>
  <si>
    <t>Banco de Chile</t>
  </si>
  <si>
    <t>BCHIAI0213</t>
  </si>
  <si>
    <t>BCHIUH0611</t>
  </si>
  <si>
    <t>BCHIUI0611</t>
  </si>
  <si>
    <t>BCHIUP1211</t>
  </si>
  <si>
    <t>BCHIUS0212</t>
  </si>
  <si>
    <t>BCNO-C0613</t>
  </si>
  <si>
    <t>BBCONSORC</t>
  </si>
  <si>
    <t>Bono Banco Consorcio</t>
  </si>
  <si>
    <t>Banco Consorcio</t>
  </si>
  <si>
    <t>BCNO-L1114</t>
  </si>
  <si>
    <t>BCOO-C0713</t>
  </si>
  <si>
    <t>COOPEUCH</t>
  </si>
  <si>
    <t>Bono Coopeuch</t>
  </si>
  <si>
    <t>BCOOB20609</t>
  </si>
  <si>
    <t>BCOOD20514</t>
  </si>
  <si>
    <t>BCORAF0710</t>
  </si>
  <si>
    <t>BBCORPBANC</t>
  </si>
  <si>
    <t>Bono Corpbanca</t>
  </si>
  <si>
    <t>Itau/Corpbanca</t>
  </si>
  <si>
    <t>BCORAI0710</t>
  </si>
  <si>
    <t>BCOSJ-A</t>
  </si>
  <si>
    <t>TECNOCONTR</t>
  </si>
  <si>
    <t>Construcción</t>
  </si>
  <si>
    <t>Bono Constructora San Jose</t>
  </si>
  <si>
    <t>San José Tecnocontrol</t>
  </si>
  <si>
    <t>BCTCH-Q</t>
  </si>
  <si>
    <t>TELEFONOS</t>
  </si>
  <si>
    <t>Comunicaciones</t>
  </si>
  <si>
    <t>Bono Ctc</t>
  </si>
  <si>
    <t>CTC S.A.</t>
  </si>
  <si>
    <t>BCTOR-F</t>
  </si>
  <si>
    <t>CONCHATORO</t>
  </si>
  <si>
    <t>Bono Concha Y Toro</t>
  </si>
  <si>
    <t>Concha y Toro</t>
  </si>
  <si>
    <t>BECOP-E</t>
  </si>
  <si>
    <t>COPEC</t>
  </si>
  <si>
    <t>Bono Copec</t>
  </si>
  <si>
    <t>Empresas Copec S.A.</t>
  </si>
  <si>
    <t>BENAE-A</t>
  </si>
  <si>
    <t>ENAEX</t>
  </si>
  <si>
    <t>Energía</t>
  </si>
  <si>
    <t>Bono Enaex S.A.</t>
  </si>
  <si>
    <t>BENAP-B</t>
  </si>
  <si>
    <t>ENAP</t>
  </si>
  <si>
    <t>Bonos Enap</t>
  </si>
  <si>
    <t>BENAP-D</t>
  </si>
  <si>
    <t>BENDE-M</t>
  </si>
  <si>
    <t>ENDESA</t>
  </si>
  <si>
    <t>Bono Endesa</t>
  </si>
  <si>
    <t>ENDESA S.A.</t>
  </si>
  <si>
    <t>BENGE-B</t>
  </si>
  <si>
    <t>ENLASA</t>
  </si>
  <si>
    <t>Bono Enlasa Generacion</t>
  </si>
  <si>
    <t>ENLASA S.A.</t>
  </si>
  <si>
    <t>BEST-D0807</t>
  </si>
  <si>
    <t>BBESTADO</t>
  </si>
  <si>
    <t>Bono Banco Estado</t>
  </si>
  <si>
    <t>Banco Estado</t>
  </si>
  <si>
    <t>BESTJ50109</t>
  </si>
  <si>
    <t>BESTJ70112</t>
  </si>
  <si>
    <t>BESTK30114</t>
  </si>
  <si>
    <t>BESTN10814</t>
  </si>
  <si>
    <t>BESTO30315</t>
  </si>
  <si>
    <t>BESVA-M</t>
  </si>
  <si>
    <t>ESVAL</t>
  </si>
  <si>
    <t>Bono Esval</t>
  </si>
  <si>
    <t>BFORU-AQ</t>
  </si>
  <si>
    <t>LEAS FORUM</t>
  </si>
  <si>
    <t>Bono Forum Servicios Financieros</t>
  </si>
  <si>
    <t>Forum Servicios Financieros S.A.</t>
  </si>
  <si>
    <t>BFORU-AR</t>
  </si>
  <si>
    <t>BFORU-AT</t>
  </si>
  <si>
    <t>BFORU-AX</t>
  </si>
  <si>
    <t>BITA-A0707</t>
  </si>
  <si>
    <t>BBITAU</t>
  </si>
  <si>
    <t>Bono Banco Itaucorp</t>
  </si>
  <si>
    <t>BITA-B1007</t>
  </si>
  <si>
    <t>BITA-N0612</t>
  </si>
  <si>
    <t>BITA-P0612</t>
  </si>
  <si>
    <t>BITA-U1212</t>
  </si>
  <si>
    <t>BITAAA0613</t>
  </si>
  <si>
    <t>BITAAI0415</t>
  </si>
  <si>
    <t>BMETR-I</t>
  </si>
  <si>
    <t>METRO</t>
  </si>
  <si>
    <t>Transporte</t>
  </si>
  <si>
    <t>Bono Metro</t>
  </si>
  <si>
    <t>Emp. de Transporte de Pasajeros Metro S.A.</t>
  </si>
  <si>
    <t>BPLZA-C</t>
  </si>
  <si>
    <t>PLAZA S.A.</t>
  </si>
  <si>
    <t>Bono Plaza S.A.</t>
  </si>
  <si>
    <t>Plaza S.A.</t>
  </si>
  <si>
    <t>BPLZA-I</t>
  </si>
  <si>
    <t>BPLZA-M</t>
  </si>
  <si>
    <t>BQUIN-F</t>
  </si>
  <si>
    <t>QUINENCO</t>
  </si>
  <si>
    <t>Bono Quinenco</t>
  </si>
  <si>
    <t>Quiñenco S.A.</t>
  </si>
  <si>
    <t>BQUIN-G</t>
  </si>
  <si>
    <t>BSAES-I</t>
  </si>
  <si>
    <t>SAESA</t>
  </si>
  <si>
    <t>Bono Saesa</t>
  </si>
  <si>
    <t>SAESA S.A.</t>
  </si>
  <si>
    <t>BSECB21112</t>
  </si>
  <si>
    <t>BBSECURITY</t>
  </si>
  <si>
    <t>Bono Banco Security</t>
  </si>
  <si>
    <t>Banco Security</t>
  </si>
  <si>
    <t>BSECB30614</t>
  </si>
  <si>
    <t>BSECK10108</t>
  </si>
  <si>
    <t>BSECK41013</t>
  </si>
  <si>
    <t>BSECM10109</t>
  </si>
  <si>
    <t>BSECN10109</t>
  </si>
  <si>
    <t>BSECR10611</t>
  </si>
  <si>
    <t>BSODI-H</t>
  </si>
  <si>
    <t>SODIMAC</t>
  </si>
  <si>
    <t>Bono Sodimac</t>
  </si>
  <si>
    <t>Sodimac</t>
  </si>
  <si>
    <t>BSONA-C</t>
  </si>
  <si>
    <t>SONACOL</t>
  </si>
  <si>
    <t>Bono Sociedad Nacional De Oleoductos</t>
  </si>
  <si>
    <t>Soc. Nac. Oleoductos</t>
  </si>
  <si>
    <t>BSOND-C</t>
  </si>
  <si>
    <t>SONDA</t>
  </si>
  <si>
    <t>Tecnología</t>
  </si>
  <si>
    <t>Bono Sonda</t>
  </si>
  <si>
    <t>Sonda S.A.</t>
  </si>
  <si>
    <t>BSTD-W1007</t>
  </si>
  <si>
    <t>BBSANT-CHI</t>
  </si>
  <si>
    <t>Bono Banco Santander</t>
  </si>
  <si>
    <t>Banco Santander</t>
  </si>
  <si>
    <t>BSTDE30111</t>
  </si>
  <si>
    <t>BSTDEA0913</t>
  </si>
  <si>
    <t>BSTDF20908</t>
  </si>
  <si>
    <t>BSTDP20115</t>
  </si>
  <si>
    <t>BSTDP60315</t>
  </si>
  <si>
    <t>BSTDP80315</t>
  </si>
  <si>
    <t>BSTDR10915</t>
  </si>
  <si>
    <t>BSTDSB0714</t>
  </si>
  <si>
    <t>BSTDSE0614</t>
  </si>
  <si>
    <t>BSTDY30208</t>
  </si>
  <si>
    <t>BTMOV-F</t>
  </si>
  <si>
    <t>MOVISTAR</t>
  </si>
  <si>
    <t>Bono Movistar</t>
  </si>
  <si>
    <t>Movistar</t>
  </si>
  <si>
    <t>BTMOV-K</t>
  </si>
  <si>
    <t>PAGARE NR</t>
  </si>
  <si>
    <t>BBVA</t>
  </si>
  <si>
    <t>N-1+</t>
  </si>
  <si>
    <t>Deposito</t>
  </si>
  <si>
    <t>Deposito Banco BBVA</t>
  </si>
  <si>
    <t>Alto Riesgo</t>
  </si>
  <si>
    <t>Alto Riesgo Corto $</t>
  </si>
  <si>
    <t>Alto Riesgo Corto</t>
  </si>
  <si>
    <t>Deposito $</t>
  </si>
  <si>
    <t>Deposito Corto</t>
  </si>
  <si>
    <t>CONSORCIO</t>
  </si>
  <si>
    <t>Deposito Banco Consorcio</t>
  </si>
  <si>
    <t>CHILE</t>
  </si>
  <si>
    <t>Deposito Banco Chile</t>
  </si>
  <si>
    <t>ESTADO</t>
  </si>
  <si>
    <t>Deposito Banco Estado</t>
  </si>
  <si>
    <t>FALABELLA</t>
  </si>
  <si>
    <t>Deposito Banco Falabella</t>
  </si>
  <si>
    <t>Banco Falabella</t>
  </si>
  <si>
    <t>INTERNACIO</t>
  </si>
  <si>
    <t>N-1</t>
  </si>
  <si>
    <t>Deposito Banco Internacio</t>
  </si>
  <si>
    <t>Banco Internacional</t>
  </si>
  <si>
    <t>RIPLEY</t>
  </si>
  <si>
    <t>Deposito Banco Ripley</t>
  </si>
  <si>
    <t>Banco Ripley</t>
  </si>
  <si>
    <t>SANTANDER</t>
  </si>
  <si>
    <t>Deposito Banco Santander</t>
  </si>
  <si>
    <t>SECURITY</t>
  </si>
  <si>
    <t>Deposito Banco Security</t>
  </si>
  <si>
    <t>Deposito Banco BCI</t>
  </si>
  <si>
    <t>Deposito Banco Bice</t>
  </si>
  <si>
    <t>Deposito Banco Coopeuch</t>
  </si>
  <si>
    <t>CORPBANCA</t>
  </si>
  <si>
    <t>Deposito Banco Corpbanca</t>
  </si>
  <si>
    <t>ITAU</t>
  </si>
  <si>
    <t>Deposito Banco Itau</t>
  </si>
  <si>
    <t>ITAUCORP</t>
  </si>
  <si>
    <t>Deposito Banco Itaucorp</t>
  </si>
  <si>
    <t>SCOTIABANK</t>
  </si>
  <si>
    <t>Deposito Banco Scotiabank</t>
  </si>
  <si>
    <t>PAGARE R</t>
  </si>
  <si>
    <t>Alto Riesgo Corto UF</t>
  </si>
  <si>
    <t>Deposito UF</t>
  </si>
  <si>
    <t>BARAU-E</t>
  </si>
  <si>
    <t xml:space="preserve"> UF</t>
  </si>
  <si>
    <t xml:space="preserve"> Corto</t>
  </si>
  <si>
    <t>BBIC460207</t>
  </si>
  <si>
    <t>BBIC471009</t>
  </si>
  <si>
    <t>BCENC-L</t>
  </si>
  <si>
    <t>BCMPC-A</t>
  </si>
  <si>
    <t>CMPC</t>
  </si>
  <si>
    <t>Empresas CMPC S.A.</t>
  </si>
  <si>
    <t>BFORU-AJ</t>
  </si>
  <si>
    <t>BSOND-A</t>
  </si>
  <si>
    <t>BSTDF60909</t>
  </si>
  <si>
    <t>BSTDF90110</t>
  </si>
  <si>
    <t>CF IM_LIQ</t>
  </si>
  <si>
    <t>I M TRUST</t>
  </si>
  <si>
    <t>N/A</t>
  </si>
  <si>
    <t>Cuota de Fondo</t>
  </si>
  <si>
    <t>CC Ffmm Liquidez</t>
  </si>
  <si>
    <t>Credicorp Capital</t>
  </si>
  <si>
    <t>Cuota de Fondo $</t>
  </si>
  <si>
    <t>Cuota de Fondo Corto</t>
  </si>
  <si>
    <t>CF IM_LIQI</t>
  </si>
  <si>
    <t>CFM8401B</t>
  </si>
  <si>
    <t>LIQUIDEZ</t>
  </si>
  <si>
    <t>Cuotas Liquidez</t>
  </si>
  <si>
    <t>Liquidez $ - 0.1%</t>
  </si>
  <si>
    <t>Renta Fija Local - 99.9%</t>
  </si>
  <si>
    <t>Bono Corporativo Bajo Riesgo Corto - 90.3%</t>
  </si>
  <si>
    <t>Bono Corporativo Bajo Riesgo Largo - 9.700000000000001%</t>
  </si>
  <si>
    <t>Tecnología - 0.5%</t>
  </si>
  <si>
    <t>Servicios Básicos - 2.8000000000000003%</t>
  </si>
  <si>
    <t>Transporte - 0.2%</t>
  </si>
  <si>
    <t>Energía - 6.2%</t>
  </si>
  <si>
    <t>Otros - 1.5%</t>
  </si>
  <si>
    <t>Financieras - 70.1%</t>
  </si>
  <si>
    <t>Comunicaciones - 1.7999999999999998%</t>
  </si>
  <si>
    <t>Industriales - 0.1%</t>
  </si>
  <si>
    <t>Materiales Básicos - 1.0999999999999999%</t>
  </si>
  <si>
    <t>Diversificados - 1.9%</t>
  </si>
  <si>
    <t>Construcción - 5.6000000000000005%</t>
  </si>
  <si>
    <t>Consumo - 7.3%</t>
  </si>
  <si>
    <t>Salud - 1.0%</t>
  </si>
  <si>
    <t>Soc. Nac. Oleoductos - 0.1%</t>
  </si>
  <si>
    <t>ENAEX - 0.1%</t>
  </si>
  <si>
    <t>San José Tecnocontrol - 5.6000000000000005%</t>
  </si>
  <si>
    <t>INVERSIONES AYS TRES - 0.3%</t>
  </si>
  <si>
    <t>Banco BBVA - 7.9%</t>
  </si>
  <si>
    <t>Emp. de Transporte de Pasajeros Metro S.A. - 0.2%</t>
  </si>
  <si>
    <t>ENAP - 5.8999999999999995%</t>
  </si>
  <si>
    <t>Sonda S.A. - 0.5%</t>
  </si>
  <si>
    <t>Quiñenco S.A. - 1.6%</t>
  </si>
  <si>
    <t>Embotelladora Andina S.A. - 0.1%</t>
  </si>
  <si>
    <t>Soc. Conc. Vespucio Norte Express S.A. - 1.5%</t>
  </si>
  <si>
    <t>ENDESA S.A. - 0.2%</t>
  </si>
  <si>
    <t>Corpgroup Vida Chile - 0.1%</t>
  </si>
  <si>
    <t>Banco de Chile - 7.3999999999999995%</t>
  </si>
  <si>
    <t>Consorcio Financiera - 0.8999999999999999%</t>
  </si>
  <si>
    <t>Banmedica - 1.0%</t>
  </si>
  <si>
    <t>ESVAL - 0.2%</t>
  </si>
  <si>
    <t>Itau/Corpbanca - 9.0%</t>
  </si>
  <si>
    <t>Sodimac - 0.1%</t>
  </si>
  <si>
    <t>Plaza S.A. - 3.3000000000000003%</t>
  </si>
  <si>
    <t>Forum Servicios Financieros S.A. - 5.2%</t>
  </si>
  <si>
    <t>Aguas Andina S.A. - 0.1%</t>
  </si>
  <si>
    <t>BCI Securitizadora - 0.6%</t>
  </si>
  <si>
    <t>ENLASA S.A. - 2.5%</t>
  </si>
  <si>
    <t>Concha y Toro - 0.1%</t>
  </si>
  <si>
    <t>Empresas Copec S.A. - 0.2%</t>
  </si>
  <si>
    <t>Movistar - 0.8%</t>
  </si>
  <si>
    <t>COOPEUCH - 2.1999999999999997%</t>
  </si>
  <si>
    <t>Credicorp Capital - 0.1%</t>
  </si>
  <si>
    <t>Banco Security - 4.3%</t>
  </si>
  <si>
    <t>Banco Estado - 6.6000000000000005%</t>
  </si>
  <si>
    <t>Cencosud S.A. - 3.9%</t>
  </si>
  <si>
    <t>BCI - 7.7%</t>
  </si>
  <si>
    <t>Banco Consorcio - 2.0%</t>
  </si>
  <si>
    <t>Scotiabank - 7.9%</t>
  </si>
  <si>
    <t>Celulosa Arauco y Constitución - 0.8999999999999999%</t>
  </si>
  <si>
    <t>CTC S.A. - 0.8999999999999999%</t>
  </si>
  <si>
    <t>Banco Santander - 5.4%</t>
  </si>
  <si>
    <t>SAESA S.A. - 0.1%</t>
  </si>
  <si>
    <t>BICE - 2.9000000000000004%</t>
  </si>
  <si>
    <t>Cuota de Fondo - 0.1%</t>
  </si>
  <si>
    <t>Bono Corporativo - 99.9%</t>
  </si>
  <si>
    <t>Bajo Riesgo Corto $ - 14.099999999999998%</t>
  </si>
  <si>
    <t>Bajo Riesgo Corto UF - 76.1%</t>
  </si>
  <si>
    <t>Alto Riesgo Corto $ - 0.1%</t>
  </si>
  <si>
    <t>Bajo Riesgo Largo UF - 9.700000000000001%</t>
  </si>
  <si>
    <t>Alto Riesgo Corto - 0.1%</t>
  </si>
  <si>
    <t>Bajo Riesgo Largo - 9.700000000000001%</t>
  </si>
  <si>
    <t>Bajo Riesgo Corto - 90.3%</t>
  </si>
  <si>
    <t>Corto $ - 14.2%</t>
  </si>
  <si>
    <t>Largo UF - 9.700000000000001%</t>
  </si>
  <si>
    <t>Corto UF - 76.1%</t>
  </si>
  <si>
    <t>Bono Corporativo Corto - 90.3%</t>
  </si>
  <si>
    <t>Cuota de Fondo Corto - 0.1%</t>
  </si>
  <si>
    <t>Bono Corporativo Largo - 9.700000000000001%</t>
  </si>
  <si>
    <t>Cuota de Fondo $ - 0.1%</t>
  </si>
  <si>
    <t>Bono Corporativo UF - 85.8%</t>
  </si>
  <si>
    <t>Bono Corporativo $ - 14.099999999999998%</t>
  </si>
  <si>
    <t>Largo - 9.700000000000001%</t>
  </si>
  <si>
    <t>Corto - 90.3%</t>
  </si>
  <si>
    <t>AA+ - 15.4%</t>
  </si>
  <si>
    <t>AA- - 16.3%</t>
  </si>
  <si>
    <t>AAA - 32.800000000000004%</t>
  </si>
  <si>
    <t>AA - 35.4%</t>
  </si>
  <si>
    <t>N/A - 0.1%</t>
  </si>
  <si>
    <t>Bajo Riesgo - 99.9%</t>
  </si>
  <si>
    <t>Alto Riesgo - 0.1%</t>
  </si>
  <si>
    <t>UF - 85.8%</t>
  </si>
  <si>
    <t>$ - 14.2%</t>
  </si>
  <si>
    <t>Fondo de Inversión Privado Sancata</t>
  </si>
  <si>
    <t>76105899 - 1</t>
  </si>
  <si>
    <t>Solo RFL</t>
  </si>
  <si>
    <t>Devengo</t>
  </si>
  <si>
    <t>Conservadora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</si>
</sst>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7" formatCode="&quot;$&quot;#,##0.00;\-&quot;$&quot;#,##0.00"/>
    <numFmt numFmtId="43" formatCode="_-* #,##0.00_-;\-* #,##0.00_-;_-* &quot;-&quot;??_-;_-@_-"/>
    <numFmt numFmtId="164" formatCode="&quot;$&quot;\ #,##0.00;\-&quot;$&quot;\ #,##0.00"/>
    <numFmt numFmtId="165" formatCode="_-&quot;$&quot;\ * #,##0.00_-;\-&quot;$&quot;\ * #,##0.00_-;_-&quot;$&quot;\ * &quot;-&quot;??_-;_-@_-"/>
    <numFmt numFmtId="166" formatCode="0.00000000"/>
    <numFmt numFmtId="167" formatCode="0.0000%"/>
    <numFmt numFmtId="168" formatCode="0.00000%"/>
    <numFmt numFmtId="169" formatCode="0.0000000%"/>
    <numFmt numFmtId="170" formatCode="0.0%"/>
    <numFmt numFmtId="171" formatCode="0.0"/>
    <numFmt numFmtId="172" formatCode="&quot;$&quot;\ #,##0.00"/>
    <numFmt numFmtId="173" formatCode="&quot;$&quot;\ #,##0.0"/>
    <numFmt numFmtId="174" formatCode="_-&quot;$&quot;\ * #,##0_-;\-&quot;$&quot;\ * #,##0_-;_-&quot;$&quot;\ * &quot;-&quot;??_-;_-@_-"/>
    <numFmt numFmtId="175" formatCode="dd/mm/yy;@"/>
    <numFmt numFmtId="176" formatCode="0.000"/>
    <numFmt numFmtId="177" formatCode="0.000%"/>
  </numFmts>
  <fonts count="12" x14ac:knownFonts="1">
    <font>
      <sz val="11"/>
      <color theme="1"/>
      <name val="Arial"/>
      <family val="2"/>
      <scheme val="minor"/>
    </font>
    <font>
      <u/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rgb="FF597B7C"/>
      <name val="Arial"/>
      <family val="2"/>
      <scheme val="minor"/>
    </font>
    <font>
      <sz val="8"/>
      <color rgb="FF597B7C"/>
      <name val="Arial"/>
      <family val="2"/>
      <scheme val="minor"/>
    </font>
    <font>
      <sz val="8"/>
      <color theme="0"/>
      <name val="Arial"/>
      <family val="2"/>
      <scheme val="minor"/>
    </font>
    <font>
      <sz val="20"/>
      <color theme="0"/>
      <name val="Arial"/>
      <family val="2"/>
      <scheme val="minor"/>
    </font>
    <font>
      <b/>
      <sz val="8"/>
      <color rgb="FF597B7C"/>
      <name val="Arial"/>
      <family val="2"/>
      <scheme val="minor"/>
    </font>
    <font>
      <b/>
      <sz val="11"/>
      <color theme="0"/>
      <name val="Arial"/>
      <family val="2"/>
      <scheme val="minor"/>
    </font>
    <font>
      <sz val="9.5"/>
      <color rgb="FF597B7C"/>
      <name val="Arial"/>
      <family val="2"/>
      <scheme val="minor"/>
    </font>
    <font>
      <sz val="9"/>
      <color rgb="FF597B7C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E7EDE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97B7C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rgb="FF597B7C"/>
      </bottom>
      <diagonal/>
    </border>
    <border>
      <left style="thin">
        <color rgb="FFFFFFFF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rgb="FFFFFFFF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FFFFFF"/>
      </right>
      <top style="thin">
        <color theme="0"/>
      </top>
      <bottom style="thin">
        <color theme="0"/>
      </bottom>
      <diagonal/>
    </border>
    <border>
      <left/>
      <right/>
      <top style="thick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/>
      <bottom style="dashed">
        <color rgb="FF597B7C"/>
      </bottom>
      <diagonal/>
    </border>
    <border>
      <left/>
      <right/>
      <top style="dashed">
        <color rgb="FF597B7C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rgb="FFFFFFFF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186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Font="1"/>
    <xf numFmtId="166" fontId="0" fillId="0" borderId="0" xfId="0" applyNumberFormat="1"/>
    <xf numFmtId="17" fontId="0" fillId="0" borderId="0" xfId="0" applyNumberFormat="1" applyFont="1"/>
    <xf numFmtId="14" fontId="0" fillId="0" borderId="0" xfId="0" applyNumberFormat="1" applyFont="1"/>
    <xf numFmtId="0" fontId="0" fillId="0" borderId="0" xfId="0" applyNumberFormat="1"/>
    <xf numFmtId="0" fontId="2" fillId="0" borderId="0" xfId="0" applyFont="1"/>
    <xf numFmtId="0" fontId="2" fillId="0" borderId="0" xfId="0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0" borderId="0" xfId="0" applyNumberFormat="1" applyFont="1" applyAlignment="1">
      <alignment horizontal="center"/>
    </xf>
    <xf numFmtId="164" fontId="0" fillId="0" borderId="0" xfId="0" applyNumberFormat="1"/>
    <xf numFmtId="17" fontId="0" fillId="0" borderId="0" xfId="0" applyNumberFormat="1"/>
    <xf numFmtId="0" fontId="0" fillId="0" borderId="0" xfId="0" applyNumberFormat="1" applyFont="1"/>
    <xf numFmtId="10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6" fillId="0" borderId="0" xfId="0" applyFont="1" applyFill="1" applyBorder="1" applyAlignment="1">
      <alignment horizontal="left" vertical="center" wrapText="1" readingOrder="1"/>
    </xf>
    <xf numFmtId="14" fontId="6" fillId="0" borderId="0" xfId="0" applyNumberFormat="1" applyFont="1" applyFill="1" applyBorder="1" applyAlignment="1">
      <alignment horizontal="left" vertical="center" wrapText="1" readingOrder="1"/>
    </xf>
    <xf numFmtId="0" fontId="5" fillId="3" borderId="0" xfId="0" applyFont="1" applyFill="1" applyBorder="1" applyAlignment="1">
      <alignment horizontal="center" vertical="center" wrapText="1" readingOrder="1"/>
    </xf>
    <xf numFmtId="170" fontId="5" fillId="4" borderId="4" xfId="0" applyNumberFormat="1" applyFont="1" applyFill="1" applyBorder="1" applyAlignment="1">
      <alignment horizontal="center" vertical="center" wrapText="1" readingOrder="1"/>
    </xf>
    <xf numFmtId="170" fontId="5" fillId="4" borderId="7" xfId="0" applyNumberFormat="1" applyFont="1" applyFill="1" applyBorder="1" applyAlignment="1">
      <alignment horizontal="center" vertical="center" wrapText="1" readingOrder="1"/>
    </xf>
    <xf numFmtId="0" fontId="0" fillId="0" borderId="0" xfId="0" applyFill="1" applyAlignment="1">
      <alignment wrapText="1"/>
    </xf>
    <xf numFmtId="170" fontId="5" fillId="4" borderId="8" xfId="0" applyNumberFormat="1" applyFont="1" applyFill="1" applyBorder="1" applyAlignment="1">
      <alignment horizontal="center" vertical="center" wrapText="1" readingOrder="1"/>
    </xf>
    <xf numFmtId="0" fontId="0" fillId="0" borderId="0" xfId="0" applyAlignment="1">
      <alignment wrapText="1"/>
    </xf>
    <xf numFmtId="14" fontId="5" fillId="3" borderId="0" xfId="0" applyNumberFormat="1" applyFont="1" applyFill="1" applyBorder="1" applyAlignment="1">
      <alignment horizontal="center" vertical="center" wrapText="1" readingOrder="1"/>
    </xf>
    <xf numFmtId="0" fontId="5" fillId="4" borderId="10" xfId="0" applyFont="1" applyFill="1" applyBorder="1" applyAlignment="1">
      <alignment horizontal="left" vertical="center" wrapText="1" readingOrder="1"/>
    </xf>
    <xf numFmtId="170" fontId="5" fillId="4" borderId="10" xfId="0" applyNumberFormat="1" applyFont="1" applyFill="1" applyBorder="1" applyAlignment="1">
      <alignment horizontal="center" vertical="center" wrapText="1" readingOrder="1"/>
    </xf>
    <xf numFmtId="2" fontId="5" fillId="4" borderId="10" xfId="0" applyNumberFormat="1" applyFont="1" applyFill="1" applyBorder="1" applyAlignment="1">
      <alignment horizontal="center" vertical="center" wrapText="1" readingOrder="1"/>
    </xf>
    <xf numFmtId="170" fontId="5" fillId="4" borderId="10" xfId="1" applyNumberFormat="1" applyFont="1" applyFill="1" applyBorder="1" applyAlignment="1">
      <alignment horizontal="center" vertical="center" wrapText="1" readingOrder="1"/>
    </xf>
    <xf numFmtId="0" fontId="5" fillId="4" borderId="11" xfId="0" applyFont="1" applyFill="1" applyBorder="1" applyAlignment="1">
      <alignment horizontal="left" vertical="center" wrapText="1" readingOrder="1"/>
    </xf>
    <xf numFmtId="170" fontId="5" fillId="4" borderId="11" xfId="0" applyNumberFormat="1" applyFont="1" applyFill="1" applyBorder="1" applyAlignment="1">
      <alignment horizontal="center" vertical="center" wrapText="1" readingOrder="1"/>
    </xf>
    <xf numFmtId="171" fontId="5" fillId="4" borderId="11" xfId="0" applyNumberFormat="1" applyFont="1" applyFill="1" applyBorder="1" applyAlignment="1">
      <alignment horizontal="center" vertical="center" wrapText="1" readingOrder="1"/>
    </xf>
    <xf numFmtId="170" fontId="5" fillId="4" borderId="11" xfId="1" applyNumberFormat="1" applyFont="1" applyFill="1" applyBorder="1" applyAlignment="1">
      <alignment horizontal="center" vertical="center" wrapText="1" readingOrder="1"/>
    </xf>
    <xf numFmtId="0" fontId="5" fillId="3" borderId="0" xfId="0" applyFont="1" applyFill="1" applyAlignment="1">
      <alignment horizontal="center"/>
    </xf>
    <xf numFmtId="9" fontId="5" fillId="4" borderId="4" xfId="0" applyNumberFormat="1" applyFont="1" applyFill="1" applyBorder="1" applyAlignment="1">
      <alignment horizontal="center" vertical="center" wrapText="1" readingOrder="1"/>
    </xf>
    <xf numFmtId="9" fontId="5" fillId="4" borderId="7" xfId="0" applyNumberFormat="1" applyFont="1" applyFill="1" applyBorder="1" applyAlignment="1">
      <alignment horizontal="center" vertical="center" wrapText="1" readingOrder="1"/>
    </xf>
    <xf numFmtId="0" fontId="4" fillId="3" borderId="0" xfId="0" applyFont="1" applyFill="1" applyBorder="1"/>
    <xf numFmtId="170" fontId="4" fillId="3" borderId="0" xfId="1" applyNumberFormat="1" applyFont="1" applyFill="1" applyBorder="1"/>
    <xf numFmtId="9" fontId="4" fillId="3" borderId="0" xfId="1" applyFont="1" applyFill="1" applyBorder="1"/>
    <xf numFmtId="0" fontId="4" fillId="4" borderId="0" xfId="0" applyFont="1" applyFill="1"/>
    <xf numFmtId="170" fontId="4" fillId="4" borderId="0" xfId="1" applyNumberFormat="1" applyFont="1" applyFill="1"/>
    <xf numFmtId="9" fontId="4" fillId="4" borderId="0" xfId="1" applyFont="1" applyFill="1"/>
    <xf numFmtId="0" fontId="4" fillId="3" borderId="0" xfId="0" applyFont="1" applyFill="1"/>
    <xf numFmtId="0" fontId="0" fillId="4" borderId="0" xfId="0" applyFill="1"/>
    <xf numFmtId="170" fontId="0" fillId="4" borderId="0" xfId="1" applyNumberFormat="1" applyFont="1" applyFill="1"/>
    <xf numFmtId="9" fontId="0" fillId="4" borderId="0" xfId="1" applyFont="1" applyFill="1"/>
    <xf numFmtId="170" fontId="0" fillId="0" borderId="0" xfId="1" applyNumberFormat="1" applyFont="1"/>
    <xf numFmtId="9" fontId="0" fillId="0" borderId="0" xfId="1" applyFont="1"/>
    <xf numFmtId="170" fontId="0" fillId="0" borderId="0" xfId="0" applyNumberFormat="1"/>
    <xf numFmtId="164" fontId="4" fillId="4" borderId="0" xfId="1" applyNumberFormat="1" applyFont="1" applyFill="1"/>
    <xf numFmtId="164" fontId="4" fillId="4" borderId="0" xfId="0" applyNumberFormat="1" applyFont="1" applyFill="1"/>
    <xf numFmtId="0" fontId="4" fillId="3" borderId="0" xfId="0" applyFont="1" applyFill="1" applyBorder="1" applyAlignment="1">
      <alignment horizontal="center" vertical="center" wrapText="1" readingOrder="1"/>
    </xf>
    <xf numFmtId="0" fontId="5" fillId="4" borderId="0" xfId="0" applyFont="1" applyFill="1" applyBorder="1" applyAlignment="1">
      <alignment horizontal="left" vertical="center" wrapText="1" readingOrder="1"/>
    </xf>
    <xf numFmtId="10" fontId="5" fillId="4" borderId="0" xfId="1" applyNumberFormat="1" applyFont="1" applyFill="1" applyBorder="1" applyAlignment="1">
      <alignment horizontal="center" vertical="center" wrapText="1" readingOrder="1"/>
    </xf>
    <xf numFmtId="0" fontId="5" fillId="4" borderId="12" xfId="0" applyFont="1" applyFill="1" applyBorder="1" applyAlignment="1">
      <alignment horizontal="left" vertical="center" wrapText="1" readingOrder="1"/>
    </xf>
    <xf numFmtId="10" fontId="5" fillId="4" borderId="12" xfId="1" applyNumberFormat="1" applyFont="1" applyFill="1" applyBorder="1" applyAlignment="1">
      <alignment horizontal="center" vertical="center" wrapText="1" readingOrder="1"/>
    </xf>
    <xf numFmtId="0" fontId="5" fillId="4" borderId="13" xfId="0" applyFont="1" applyFill="1" applyBorder="1" applyAlignment="1">
      <alignment horizontal="left" vertical="center" wrapText="1" readingOrder="1"/>
    </xf>
    <xf numFmtId="10" fontId="5" fillId="4" borderId="13" xfId="1" applyNumberFormat="1" applyFont="1" applyFill="1" applyBorder="1" applyAlignment="1">
      <alignment horizontal="center" vertical="center" wrapText="1" readingOrder="1"/>
    </xf>
    <xf numFmtId="0" fontId="5" fillId="4" borderId="0" xfId="0" applyFont="1" applyFill="1" applyAlignment="1">
      <alignment horizontal="left" vertical="center" wrapText="1" readingOrder="1"/>
    </xf>
    <xf numFmtId="10" fontId="5" fillId="4" borderId="0" xfId="1" applyNumberFormat="1" applyFont="1" applyFill="1" applyAlignment="1">
      <alignment horizontal="center" vertical="center" wrapText="1" readingOrder="1"/>
    </xf>
    <xf numFmtId="49" fontId="0" fillId="0" borderId="0" xfId="0" applyNumberFormat="1"/>
    <xf numFmtId="4" fontId="4" fillId="4" borderId="0" xfId="1" applyNumberFormat="1" applyFont="1" applyFill="1"/>
    <xf numFmtId="4" fontId="4" fillId="4" borderId="0" xfId="0" applyNumberFormat="1" applyFont="1" applyFill="1"/>
    <xf numFmtId="4" fontId="0" fillId="0" borderId="0" xfId="0" applyNumberFormat="1"/>
    <xf numFmtId="10" fontId="4" fillId="3" borderId="0" xfId="0" applyNumberFormat="1" applyFont="1" applyFill="1" applyBorder="1"/>
    <xf numFmtId="10" fontId="4" fillId="4" borderId="0" xfId="0" applyNumberFormat="1" applyFont="1" applyFill="1"/>
    <xf numFmtId="10" fontId="4" fillId="3" borderId="0" xfId="1" applyNumberFormat="1" applyFont="1" applyFill="1" applyBorder="1"/>
    <xf numFmtId="10" fontId="4" fillId="4" borderId="0" xfId="1" applyNumberFormat="1" applyFont="1" applyFill="1"/>
    <xf numFmtId="10" fontId="0" fillId="0" borderId="0" xfId="1" applyNumberFormat="1" applyFont="1"/>
    <xf numFmtId="9" fontId="0" fillId="0" borderId="0" xfId="0" applyNumberFormat="1"/>
    <xf numFmtId="0" fontId="7" fillId="0" borderId="0" xfId="0" applyFont="1" applyFill="1" applyBorder="1" applyAlignment="1">
      <alignment horizontal="center" vertical="center" wrapText="1" readingOrder="1"/>
    </xf>
    <xf numFmtId="0" fontId="8" fillId="3" borderId="0" xfId="0" applyFont="1" applyFill="1" applyBorder="1" applyAlignment="1">
      <alignment horizontal="left" vertical="center" wrapText="1" readingOrder="1"/>
    </xf>
    <xf numFmtId="0" fontId="8" fillId="3" borderId="14" xfId="0" applyFont="1" applyFill="1" applyBorder="1" applyAlignment="1">
      <alignment horizontal="left" vertical="center" wrapText="1" readingOrder="1"/>
    </xf>
    <xf numFmtId="0" fontId="8" fillId="4" borderId="0" xfId="0" applyFont="1" applyFill="1" applyBorder="1" applyAlignment="1">
      <alignment horizontal="left" vertical="center" wrapText="1" readingOrder="1"/>
    </xf>
    <xf numFmtId="0" fontId="8" fillId="4" borderId="14" xfId="0" applyFont="1" applyFill="1" applyBorder="1" applyAlignment="1">
      <alignment horizontal="left" vertical="center" wrapText="1" readingOrder="1"/>
    </xf>
    <xf numFmtId="164" fontId="8" fillId="4" borderId="14" xfId="0" applyNumberFormat="1" applyFont="1" applyFill="1" applyBorder="1" applyAlignment="1">
      <alignment horizontal="left" vertical="center" wrapText="1" readingOrder="1"/>
    </xf>
    <xf numFmtId="164" fontId="8" fillId="3" borderId="14" xfId="0" applyNumberFormat="1" applyFont="1" applyFill="1" applyBorder="1" applyAlignment="1">
      <alignment horizontal="left" vertical="center" wrapText="1" readingOrder="1"/>
    </xf>
    <xf numFmtId="14" fontId="5" fillId="4" borderId="10" xfId="0" applyNumberFormat="1" applyFont="1" applyFill="1" applyBorder="1" applyAlignment="1">
      <alignment horizontal="left" vertical="center" wrapText="1" readingOrder="1"/>
    </xf>
    <xf numFmtId="2" fontId="0" fillId="0" borderId="0" xfId="0" applyNumberFormat="1"/>
    <xf numFmtId="2" fontId="5" fillId="3" borderId="0" xfId="0" applyNumberFormat="1" applyFont="1" applyFill="1" applyBorder="1" applyAlignment="1">
      <alignment horizontal="center" vertical="center" wrapText="1" readingOrder="1"/>
    </xf>
    <xf numFmtId="172" fontId="0" fillId="0" borderId="0" xfId="0" applyNumberFormat="1"/>
    <xf numFmtId="172" fontId="5" fillId="3" borderId="0" xfId="0" applyNumberFormat="1" applyFont="1" applyFill="1" applyBorder="1" applyAlignment="1">
      <alignment horizontal="center" vertical="center" wrapText="1" readingOrder="1"/>
    </xf>
    <xf numFmtId="172" fontId="5" fillId="4" borderId="10" xfId="1" applyNumberFormat="1" applyFont="1" applyFill="1" applyBorder="1" applyAlignment="1">
      <alignment horizontal="center" vertical="center" wrapText="1" readingOrder="1"/>
    </xf>
    <xf numFmtId="172" fontId="5" fillId="4" borderId="10" xfId="0" applyNumberFormat="1" applyFont="1" applyFill="1" applyBorder="1" applyAlignment="1">
      <alignment horizontal="center" vertical="center" wrapText="1" readingOrder="1"/>
    </xf>
    <xf numFmtId="173" fontId="5" fillId="4" borderId="10" xfId="0" applyNumberFormat="1" applyFont="1" applyFill="1" applyBorder="1" applyAlignment="1">
      <alignment horizontal="center" vertical="center" wrapText="1" readingOrder="1"/>
    </xf>
    <xf numFmtId="0" fontId="4" fillId="4" borderId="1" xfId="0" applyFont="1" applyFill="1" applyBorder="1"/>
    <xf numFmtId="174" fontId="4" fillId="4" borderId="1" xfId="1" applyNumberFormat="1" applyFont="1" applyFill="1" applyBorder="1"/>
    <xf numFmtId="170" fontId="4" fillId="4" borderId="1" xfId="1" applyNumberFormat="1" applyFont="1" applyFill="1" applyBorder="1"/>
    <xf numFmtId="0" fontId="4" fillId="4" borderId="1" xfId="1" applyNumberFormat="1" applyFont="1" applyFill="1" applyBorder="1"/>
    <xf numFmtId="174" fontId="4" fillId="3" borderId="0" xfId="1" applyNumberFormat="1" applyFont="1" applyFill="1"/>
    <xf numFmtId="170" fontId="4" fillId="3" borderId="0" xfId="1" applyNumberFormat="1" applyFont="1" applyFill="1"/>
    <xf numFmtId="0" fontId="4" fillId="3" borderId="0" xfId="1" applyNumberFormat="1" applyFont="1" applyFill="1"/>
    <xf numFmtId="174" fontId="4" fillId="4" borderId="0" xfId="1" applyNumberFormat="1" applyFont="1" applyFill="1"/>
    <xf numFmtId="0" fontId="4" fillId="4" borderId="0" xfId="1" applyNumberFormat="1" applyFont="1" applyFill="1"/>
    <xf numFmtId="14" fontId="4" fillId="3" borderId="0" xfId="0" applyNumberFormat="1" applyFont="1" applyFill="1"/>
    <xf numFmtId="14" fontId="4" fillId="4" borderId="0" xfId="0" applyNumberFormat="1" applyFont="1" applyFill="1"/>
    <xf numFmtId="0" fontId="4" fillId="4" borderId="0" xfId="0" applyFont="1" applyFill="1" applyBorder="1" applyAlignment="1"/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71" fontId="10" fillId="3" borderId="0" xfId="0" applyNumberFormat="1" applyFont="1" applyFill="1" applyAlignment="1">
      <alignment horizontal="center" vertical="center"/>
    </xf>
    <xf numFmtId="174" fontId="10" fillId="3" borderId="0" xfId="2" applyNumberFormat="1" applyFont="1" applyFill="1" applyAlignment="1">
      <alignment horizontal="center" vertical="center"/>
    </xf>
    <xf numFmtId="170" fontId="10" fillId="3" borderId="0" xfId="1" applyNumberFormat="1" applyFont="1" applyFill="1" applyAlignment="1">
      <alignment horizontal="center" vertical="center"/>
    </xf>
    <xf numFmtId="0" fontId="11" fillId="4" borderId="0" xfId="0" applyFont="1" applyFill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horizontal="center" vertical="center"/>
    </xf>
    <xf numFmtId="171" fontId="11" fillId="4" borderId="0" xfId="0" applyNumberFormat="1" applyFont="1" applyFill="1" applyAlignment="1">
      <alignment horizontal="center" vertical="center"/>
    </xf>
    <xf numFmtId="174" fontId="11" fillId="4" borderId="0" xfId="2" applyNumberFormat="1" applyFont="1" applyFill="1" applyAlignment="1">
      <alignment horizontal="center" vertical="center"/>
    </xf>
    <xf numFmtId="170" fontId="11" fillId="4" borderId="0" xfId="1" applyNumberFormat="1" applyFont="1" applyFill="1" applyAlignment="1">
      <alignment horizontal="center" vertical="center"/>
    </xf>
    <xf numFmtId="164" fontId="4" fillId="3" borderId="0" xfId="0" applyNumberFormat="1" applyFont="1" applyFill="1"/>
    <xf numFmtId="10" fontId="1" fillId="0" borderId="0" xfId="0" applyNumberFormat="1" applyFont="1"/>
    <xf numFmtId="22" fontId="0" fillId="0" borderId="0" xfId="0" applyNumberFormat="1"/>
    <xf numFmtId="175" fontId="0" fillId="0" borderId="0" xfId="0" applyNumberFormat="1"/>
    <xf numFmtId="167" fontId="0" fillId="0" borderId="0" xfId="0" applyNumberFormat="1"/>
    <xf numFmtId="170" fontId="5" fillId="4" borderId="15" xfId="0" applyNumberFormat="1" applyFont="1" applyFill="1" applyBorder="1" applyAlignment="1">
      <alignment horizontal="center" vertical="center" wrapText="1" readingOrder="1"/>
    </xf>
    <xf numFmtId="171" fontId="5" fillId="4" borderId="7" xfId="0" applyNumberFormat="1" applyFont="1" applyFill="1" applyBorder="1" applyAlignment="1">
      <alignment horizontal="center" vertical="center" wrapText="1" readingOrder="1"/>
    </xf>
    <xf numFmtId="170" fontId="11" fillId="4" borderId="0" xfId="1" applyNumberFormat="1" applyFont="1" applyFill="1" applyAlignment="1">
      <alignment horizontal="center"/>
    </xf>
    <xf numFmtId="176" fontId="4" fillId="4" borderId="1" xfId="1" applyNumberFormat="1" applyFont="1" applyFill="1" applyBorder="1"/>
    <xf numFmtId="176" fontId="4" fillId="4" borderId="1" xfId="0" applyNumberFormat="1" applyFont="1" applyFill="1" applyBorder="1"/>
    <xf numFmtId="2" fontId="4" fillId="4" borderId="1" xfId="0" applyNumberFormat="1" applyFont="1" applyFill="1" applyBorder="1"/>
    <xf numFmtId="177" fontId="4" fillId="4" borderId="1" xfId="0" applyNumberFormat="1" applyFont="1" applyFill="1" applyBorder="1"/>
    <xf numFmtId="176" fontId="4" fillId="3" borderId="0" xfId="1" applyNumberFormat="1" applyFont="1" applyFill="1"/>
    <xf numFmtId="176" fontId="4" fillId="3" borderId="0" xfId="0" applyNumberFormat="1" applyFont="1" applyFill="1"/>
    <xf numFmtId="2" fontId="4" fillId="3" borderId="0" xfId="0" applyNumberFormat="1" applyFont="1" applyFill="1"/>
    <xf numFmtId="177" fontId="4" fillId="3" borderId="0" xfId="0" applyNumberFormat="1" applyFont="1" applyFill="1"/>
    <xf numFmtId="176" fontId="4" fillId="4" borderId="0" xfId="1" applyNumberFormat="1" applyFont="1" applyFill="1"/>
    <xf numFmtId="176" fontId="4" fillId="4" borderId="0" xfId="0" applyNumberFormat="1" applyFont="1" applyFill="1"/>
    <xf numFmtId="2" fontId="4" fillId="4" borderId="0" xfId="0" applyNumberFormat="1" applyFont="1" applyFill="1"/>
    <xf numFmtId="177" fontId="4" fillId="4" borderId="0" xfId="0" applyNumberFormat="1" applyFont="1" applyFill="1"/>
    <xf numFmtId="164" fontId="4" fillId="4" borderId="1" xfId="0" applyNumberFormat="1" applyFont="1" applyFill="1" applyBorder="1"/>
    <xf numFmtId="172" fontId="4" fillId="3" borderId="0" xfId="1" applyNumberFormat="1" applyFont="1" applyFill="1" applyBorder="1"/>
    <xf numFmtId="172" fontId="4" fillId="3" borderId="0" xfId="0" applyNumberFormat="1" applyFont="1" applyFill="1" applyBorder="1"/>
    <xf numFmtId="172" fontId="4" fillId="4" borderId="0" xfId="1" applyNumberFormat="1" applyFont="1" applyFill="1"/>
    <xf numFmtId="172" fontId="4" fillId="4" borderId="0" xfId="0" applyNumberFormat="1" applyFont="1" applyFill="1"/>
    <xf numFmtId="10" fontId="0" fillId="4" borderId="0" xfId="0" applyNumberFormat="1" applyFill="1"/>
    <xf numFmtId="172" fontId="0" fillId="4" borderId="0" xfId="1" applyNumberFormat="1" applyFont="1" applyFill="1"/>
    <xf numFmtId="172" fontId="0" fillId="4" borderId="0" xfId="0" applyNumberFormat="1" applyFill="1"/>
    <xf numFmtId="2" fontId="4" fillId="4" borderId="1" xfId="1" applyNumberFormat="1" applyFont="1" applyFill="1" applyBorder="1"/>
    <xf numFmtId="2" fontId="4" fillId="3" borderId="0" xfId="1" applyNumberFormat="1" applyFont="1" applyFill="1"/>
    <xf numFmtId="2" fontId="4" fillId="4" borderId="0" xfId="1" applyNumberFormat="1" applyFont="1" applyFill="1"/>
    <xf numFmtId="165" fontId="4" fillId="3" borderId="0" xfId="2" applyFont="1" applyFill="1" applyBorder="1"/>
    <xf numFmtId="165" fontId="4" fillId="4" borderId="0" xfId="2" applyFont="1" applyFill="1"/>
    <xf numFmtId="165" fontId="0" fillId="0" borderId="0" xfId="2" applyFont="1"/>
    <xf numFmtId="0" fontId="5" fillId="3" borderId="0" xfId="0" applyFont="1" applyFill="1" applyBorder="1" applyAlignment="1">
      <alignment vertical="center" wrapText="1" readingOrder="1"/>
    </xf>
    <xf numFmtId="0" fontId="5" fillId="4" borderId="7" xfId="0" applyFont="1" applyFill="1" applyBorder="1" applyAlignment="1">
      <alignment vertical="center" wrapText="1" readingOrder="1"/>
    </xf>
    <xf numFmtId="165" fontId="5" fillId="4" borderId="7" xfId="2" applyFont="1" applyFill="1" applyBorder="1" applyAlignment="1">
      <alignment vertical="center" wrapText="1" readingOrder="1"/>
    </xf>
    <xf numFmtId="170" fontId="5" fillId="4" borderId="7" xfId="1" applyNumberFormat="1" applyFont="1" applyFill="1" applyBorder="1" applyAlignment="1">
      <alignment vertical="center" wrapText="1" readingOrder="1"/>
    </xf>
    <xf numFmtId="43" fontId="4" fillId="4" borderId="0" xfId="3" applyFont="1" applyFill="1" applyBorder="1" applyAlignment="1"/>
    <xf numFmtId="43" fontId="10" fillId="3" borderId="0" xfId="3" applyFont="1" applyFill="1" applyAlignment="1">
      <alignment horizontal="center" vertical="center"/>
    </xf>
    <xf numFmtId="43" fontId="11" fillId="4" borderId="0" xfId="3" applyFont="1" applyFill="1" applyAlignment="1">
      <alignment horizontal="center" vertical="center"/>
    </xf>
    <xf numFmtId="43" fontId="0" fillId="0" borderId="0" xfId="3" applyFont="1"/>
    <xf numFmtId="165" fontId="4" fillId="4" borderId="0" xfId="2" applyFont="1" applyFill="1" applyBorder="1" applyAlignment="1"/>
    <xf numFmtId="165" fontId="10" fillId="3" borderId="0" xfId="2" applyFont="1" applyFill="1" applyAlignment="1">
      <alignment horizontal="center" vertical="center"/>
    </xf>
    <xf numFmtId="165" fontId="11" fillId="4" borderId="0" xfId="2" applyFont="1" applyFill="1" applyAlignment="1">
      <alignment horizontal="center" vertical="center"/>
    </xf>
    <xf numFmtId="9" fontId="4" fillId="4" borderId="0" xfId="1" applyFont="1" applyFill="1" applyBorder="1" applyAlignment="1"/>
    <xf numFmtId="9" fontId="10" fillId="3" borderId="0" xfId="1" applyFont="1" applyFill="1" applyAlignment="1">
      <alignment horizontal="center" vertical="center"/>
    </xf>
    <xf numFmtId="9" fontId="11" fillId="4" borderId="0" xfId="1" applyFont="1" applyFill="1" applyBorder="1" applyAlignment="1">
      <alignment vertical="center"/>
    </xf>
    <xf numFmtId="43" fontId="10" fillId="3" borderId="0" xfId="3" applyFont="1" applyFill="1" applyAlignment="1">
      <alignment horizontal="left" vertical="center"/>
    </xf>
    <xf numFmtId="43" fontId="11" fillId="4" borderId="0" xfId="3" applyFont="1" applyFill="1" applyAlignment="1">
      <alignment vertical="center"/>
    </xf>
    <xf numFmtId="165" fontId="11" fillId="4" borderId="0" xfId="2" applyFont="1" applyFill="1" applyBorder="1" applyAlignment="1">
      <alignment vertical="center"/>
    </xf>
    <xf numFmtId="9" fontId="11" fillId="4" borderId="0" xfId="1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 wrapText="1" readingOrder="1"/>
    </xf>
    <xf numFmtId="0" fontId="7" fillId="5" borderId="0" xfId="0" applyFont="1" applyFill="1" applyBorder="1" applyAlignment="1">
      <alignment horizontal="center" vertical="center" wrapText="1" readingOrder="1"/>
    </xf>
    <xf numFmtId="0" fontId="5" fillId="4" borderId="1" xfId="0" applyFont="1" applyFill="1" applyBorder="1" applyAlignment="1">
      <alignment horizontal="center" vertical="center" wrapText="1" readingOrder="1"/>
    </xf>
    <xf numFmtId="0" fontId="5" fillId="4" borderId="7" xfId="0" applyFont="1" applyFill="1" applyBorder="1" applyAlignment="1">
      <alignment horizontal="left" vertical="center" wrapText="1" indent="1" readingOrder="1"/>
    </xf>
    <xf numFmtId="0" fontId="5" fillId="3" borderId="0" xfId="0" applyFont="1" applyFill="1" applyBorder="1" applyAlignment="1">
      <alignment horizontal="left" vertical="center" wrapText="1" readingOrder="1"/>
    </xf>
    <xf numFmtId="0" fontId="5" fillId="4" borderId="9" xfId="0" applyFont="1" applyFill="1" applyBorder="1" applyAlignment="1">
      <alignment horizontal="left" vertical="center" wrapText="1" readingOrder="1"/>
    </xf>
    <xf numFmtId="14" fontId="5" fillId="4" borderId="9" xfId="0" applyNumberFormat="1" applyFont="1" applyFill="1" applyBorder="1" applyAlignment="1">
      <alignment horizontal="left" vertical="center" wrapText="1" readingOrder="1"/>
    </xf>
    <xf numFmtId="0" fontId="5" fillId="4" borderId="4" xfId="0" applyFont="1" applyFill="1" applyBorder="1" applyAlignment="1">
      <alignment horizontal="left" vertical="center" wrapText="1" indent="1" readingOrder="1"/>
    </xf>
    <xf numFmtId="0" fontId="5" fillId="4" borderId="5" xfId="0" applyFont="1" applyFill="1" applyBorder="1" applyAlignment="1">
      <alignment horizontal="left" vertical="center" wrapText="1" readingOrder="1"/>
    </xf>
    <xf numFmtId="0" fontId="5" fillId="4" borderId="6" xfId="0" applyFont="1" applyFill="1" applyBorder="1" applyAlignment="1">
      <alignment horizontal="left" vertical="center" wrapText="1" readingOrder="1"/>
    </xf>
    <xf numFmtId="0" fontId="5" fillId="4" borderId="2" xfId="0" applyFont="1" applyFill="1" applyBorder="1" applyAlignment="1">
      <alignment horizontal="left" vertical="center" wrapText="1" readingOrder="1"/>
    </xf>
    <xf numFmtId="0" fontId="5" fillId="4" borderId="3" xfId="0" applyFont="1" applyFill="1" applyBorder="1" applyAlignment="1">
      <alignment horizontal="left" vertical="center" wrapText="1" readingOrder="1"/>
    </xf>
    <xf numFmtId="0" fontId="5" fillId="3" borderId="16" xfId="0" applyFont="1" applyFill="1" applyBorder="1" applyAlignment="1">
      <alignment horizontal="left" vertical="center" wrapText="1" readingOrder="1"/>
    </xf>
    <xf numFmtId="9" fontId="5" fillId="4" borderId="17" xfId="1" applyFont="1" applyFill="1" applyBorder="1" applyAlignment="1">
      <alignment horizontal="center" vertical="center" wrapText="1" readingOrder="1"/>
    </xf>
    <xf numFmtId="9" fontId="5" fillId="4" borderId="6" xfId="1" applyFont="1" applyFill="1" applyBorder="1" applyAlignment="1">
      <alignment horizontal="center" vertical="center" wrapText="1" readingOrder="1"/>
    </xf>
    <xf numFmtId="0" fontId="5" fillId="4" borderId="17" xfId="0" applyFont="1" applyFill="1" applyBorder="1" applyAlignment="1">
      <alignment horizontal="center" vertical="center" wrapText="1" readingOrder="1"/>
    </xf>
    <xf numFmtId="0" fontId="5" fillId="4" borderId="6" xfId="0" applyFont="1" applyFill="1" applyBorder="1" applyAlignment="1">
      <alignment horizontal="center" vertical="center" wrapText="1" readingOrder="1"/>
    </xf>
    <xf numFmtId="0" fontId="9" fillId="2" borderId="0" xfId="0" applyFont="1" applyFill="1" applyAlignment="1">
      <alignment horizontal="center"/>
    </xf>
    <xf numFmtId="7" fontId="4" fillId="4" borderId="1" xfId="0" applyNumberFormat="1" applyFont="1" applyFill="1" applyBorder="1"/>
    <xf numFmtId="7" fontId="11" fillId="4" borderId="0" xfId="3" applyNumberFormat="1" applyFont="1" applyFill="1" applyAlignment="1">
      <alignment horizontal="center" vertical="center"/>
    </xf>
    <xf numFmtId="7" fontId="11" fillId="4" borderId="0" xfId="0" applyNumberFormat="1" applyFont="1" applyFill="1" applyAlignment="1">
      <alignment vertical="center"/>
    </xf>
    <xf numFmtId="7" fontId="11" fillId="4" borderId="0" xfId="3" applyNumberFormat="1" applyFont="1" applyFill="1" applyAlignment="1">
      <alignment vertical="center"/>
    </xf>
    <xf numFmtId="7" fontId="0" fillId="0" borderId="0" xfId="0" applyNumberFormat="1"/>
    <xf numFmtId="7" fontId="4" fillId="3" borderId="0" xfId="0" applyNumberFormat="1" applyFont="1" applyFill="1"/>
  </cellXfs>
  <cellStyles count="4">
    <cellStyle name="Millares" xfId="3" builtinId="3"/>
    <cellStyle name="Moneda" xfId="2" builtinId="4"/>
    <cellStyle name="Normal" xfId="0" builtinId="0"/>
    <cellStyle name="Porcentaje" xfId="1" builtinId="5"/>
  </cellStyles>
  <dxfs count="11">
    <dxf>
      <font>
        <color rgb="FF9C0006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ResumenCarteraLabel!$B$1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ResumenCarteraLabel!$A$2:$A$3</c:f>
              <c:strCache>
                <c:ptCount val="2"/>
                <c:pt idx="0">
                  <c:v>Liquidez $ - 0.1%</c:v>
                </c:pt>
                <c:pt idx="1">
                  <c:v>Renta Fija Local - 99.9%</c:v>
                </c:pt>
              </c:strCache>
            </c:strRef>
          </c:cat>
          <c:val>
            <c:numRef>
              <c:f>ResumenCarteraLabel!$B$2:$B$3</c:f>
              <c:numCache>
                <c:formatCode>0.0%</c:formatCode>
                <c:ptCount val="2"/>
                <c:pt idx="0">
                  <c:v>9.2838893989801786E-4</c:v>
                </c:pt>
                <c:pt idx="1">
                  <c:v>0.99907161106010145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9-4EB9-A546-C30D3185C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47818839216597331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ResumenCarteraLabel!$E$1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ResumenCarteraLabel!$D$2:$D$4</c:f>
              <c:strCache>
                <c:ptCount val="3"/>
                <c:pt idx="0">
                  <c:v>Bono Corporativo Bajo Riesgo Corto - 90.3%</c:v>
                </c:pt>
                <c:pt idx="1">
                  <c:v>Bono Corporativo Bajo Riesgo Largo - 9.700000000000001%</c:v>
                </c:pt>
                <c:pt idx="2">
                  <c:v>Liquidez $ - 0.1%</c:v>
                </c:pt>
              </c:strCache>
            </c:strRef>
          </c:cat>
          <c:val>
            <c:numRef>
              <c:f>ResumenCarteraLabel!$E$2:$E$4</c:f>
              <c:numCache>
                <c:formatCode>0.0%</c:formatCode>
                <c:ptCount val="3"/>
                <c:pt idx="0">
                  <c:v>0.90251274504395151</c:v>
                </c:pt>
                <c:pt idx="1">
                  <c:v>9.6558866016150185E-2</c:v>
                </c:pt>
                <c:pt idx="2">
                  <c:v>9.2838893989801786E-4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AA-4BA2-91D2-39981590E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ResumenCarteraLabel!$H$1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ResumenCarteraLabel!$G$2:$G$14</c:f>
              <c:strCache>
                <c:ptCount val="13"/>
                <c:pt idx="0">
                  <c:v>Tecnología - 0.5%</c:v>
                </c:pt>
                <c:pt idx="1">
                  <c:v>Servicios Básicos - 2.8000000000000003%</c:v>
                </c:pt>
                <c:pt idx="2">
                  <c:v>Transporte - 0.2%</c:v>
                </c:pt>
                <c:pt idx="3">
                  <c:v>Energía - 6.2%</c:v>
                </c:pt>
                <c:pt idx="4">
                  <c:v>Otros - 1.5%</c:v>
                </c:pt>
                <c:pt idx="5">
                  <c:v>Financieras - 70.1%</c:v>
                </c:pt>
                <c:pt idx="6">
                  <c:v>Comunicaciones - 1.7999999999999998%</c:v>
                </c:pt>
                <c:pt idx="7">
                  <c:v>Industriales - 0.1%</c:v>
                </c:pt>
                <c:pt idx="8">
                  <c:v>Materiales Básicos - 1.0999999999999999%</c:v>
                </c:pt>
                <c:pt idx="9">
                  <c:v>Diversificados - 1.9%</c:v>
                </c:pt>
                <c:pt idx="10">
                  <c:v>Construcción - 5.6000000000000005%</c:v>
                </c:pt>
                <c:pt idx="11">
                  <c:v>Consumo - 7.3%</c:v>
                </c:pt>
                <c:pt idx="12">
                  <c:v>Salud - 1.0%</c:v>
                </c:pt>
              </c:strCache>
            </c:strRef>
          </c:cat>
          <c:val>
            <c:numRef>
              <c:f>ResumenCarteraLabel!$H$2:$H$14</c:f>
              <c:numCache>
                <c:formatCode>"$"\ #,##0.00;\-"$"\ #,##0.00</c:formatCode>
                <c:ptCount val="13"/>
                <c:pt idx="0">
                  <c:v>4.5050469645493583E-3</c:v>
                </c:pt>
                <c:pt idx="1">
                  <c:v>2.8227918937130746E-2</c:v>
                </c:pt>
                <c:pt idx="2">
                  <c:v>1.5365643632321857E-3</c:v>
                </c:pt>
                <c:pt idx="3">
                  <c:v>6.2268718226322406E-2</c:v>
                </c:pt>
                <c:pt idx="4">
                  <c:v>1.4856787226969113E-2</c:v>
                </c:pt>
                <c:pt idx="5">
                  <c:v>0.70060531120969372</c:v>
                </c:pt>
                <c:pt idx="6" formatCode="General">
                  <c:v>1.7564023745245235E-2</c:v>
                </c:pt>
                <c:pt idx="7" formatCode="General">
                  <c:v>1.3634016183715356E-3</c:v>
                </c:pt>
                <c:pt idx="8" formatCode="General">
                  <c:v>1.1427525997958494E-2</c:v>
                </c:pt>
                <c:pt idx="9" formatCode="General">
                  <c:v>1.9151631116282153E-2</c:v>
                </c:pt>
                <c:pt idx="10" formatCode="General">
                  <c:v>5.5659202125084184E-2</c:v>
                </c:pt>
                <c:pt idx="11" formatCode="General">
                  <c:v>7.3188449867672548E-2</c:v>
                </c:pt>
                <c:pt idx="12" formatCode="General">
                  <c:v>9.6454186014881451E-3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49-45C8-8078-546F12588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1183030031938177"/>
          <c:h val="0.1992443132108486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ResumenCarteraLabel!$K$1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ResumenCarteraLabel!$J$2:$J$41</c:f>
              <c:strCache>
                <c:ptCount val="40"/>
                <c:pt idx="0">
                  <c:v>Soc. Nac. Oleoductos - 0.1%</c:v>
                </c:pt>
                <c:pt idx="1">
                  <c:v>ENAEX - 0.1%</c:v>
                </c:pt>
                <c:pt idx="2">
                  <c:v>San José Tecnocontrol - 5.6000000000000005%</c:v>
                </c:pt>
                <c:pt idx="3">
                  <c:v>INVERSIONES AYS TRES - 0.3%</c:v>
                </c:pt>
                <c:pt idx="4">
                  <c:v>Banco BBVA - 7.9%</c:v>
                </c:pt>
                <c:pt idx="5">
                  <c:v>Emp. de Transporte de Pasajeros Metro S.A. - 0.2%</c:v>
                </c:pt>
                <c:pt idx="6">
                  <c:v>ENAP - 5.8999999999999995%</c:v>
                </c:pt>
                <c:pt idx="7">
                  <c:v>Sonda S.A. - 0.5%</c:v>
                </c:pt>
                <c:pt idx="8">
                  <c:v>Quiñenco S.A. - 1.6%</c:v>
                </c:pt>
                <c:pt idx="9">
                  <c:v>Embotelladora Andina S.A. - 0.1%</c:v>
                </c:pt>
                <c:pt idx="10">
                  <c:v>Soc. Conc. Vespucio Norte Express S.A. - 1.5%</c:v>
                </c:pt>
                <c:pt idx="11">
                  <c:v>ENDESA S.A. - 0.2%</c:v>
                </c:pt>
                <c:pt idx="12">
                  <c:v>Corpgroup Vida Chile - 0.1%</c:v>
                </c:pt>
                <c:pt idx="13">
                  <c:v>Banco de Chile - 7.3999999999999995%</c:v>
                </c:pt>
                <c:pt idx="14">
                  <c:v>Consorcio Financiera - 0.8999999999999999%</c:v>
                </c:pt>
                <c:pt idx="15">
                  <c:v>Banmedica - 1.0%</c:v>
                </c:pt>
                <c:pt idx="16">
                  <c:v>ESVAL - 0.2%</c:v>
                </c:pt>
                <c:pt idx="17">
                  <c:v>Itau/Corpbanca - 9.0%</c:v>
                </c:pt>
                <c:pt idx="18">
                  <c:v>Sodimac - 0.1%</c:v>
                </c:pt>
                <c:pt idx="19">
                  <c:v>Plaza S.A. - 3.3000000000000003%</c:v>
                </c:pt>
                <c:pt idx="20">
                  <c:v>Forum Servicios Financieros S.A. - 5.2%</c:v>
                </c:pt>
                <c:pt idx="21">
                  <c:v>Aguas Andina S.A. - 0.1%</c:v>
                </c:pt>
                <c:pt idx="22">
                  <c:v>BCI Securitizadora - 0.6%</c:v>
                </c:pt>
                <c:pt idx="23">
                  <c:v>ENLASA S.A. - 2.5%</c:v>
                </c:pt>
                <c:pt idx="24">
                  <c:v>Concha y Toro - 0.1%</c:v>
                </c:pt>
                <c:pt idx="25">
                  <c:v>Empresas Copec S.A. - 0.2%</c:v>
                </c:pt>
                <c:pt idx="26">
                  <c:v>Movistar - 0.8%</c:v>
                </c:pt>
                <c:pt idx="27">
                  <c:v>COOPEUCH - 2.1999999999999997%</c:v>
                </c:pt>
                <c:pt idx="28">
                  <c:v>Credicorp Capital - 0.1%</c:v>
                </c:pt>
                <c:pt idx="29">
                  <c:v>Banco Security - 4.3%</c:v>
                </c:pt>
                <c:pt idx="30">
                  <c:v>Banco Estado - 6.6000000000000005%</c:v>
                </c:pt>
                <c:pt idx="31">
                  <c:v>Cencosud S.A. - 3.9%</c:v>
                </c:pt>
                <c:pt idx="32">
                  <c:v>BCI - 7.7%</c:v>
                </c:pt>
                <c:pt idx="33">
                  <c:v>Banco Consorcio - 2.0%</c:v>
                </c:pt>
                <c:pt idx="34">
                  <c:v>Scotiabank - 7.9%</c:v>
                </c:pt>
                <c:pt idx="35">
                  <c:v>Celulosa Arauco y Constitución - 0.8999999999999999%</c:v>
                </c:pt>
                <c:pt idx="36">
                  <c:v>CTC S.A. - 0.8999999999999999%</c:v>
                </c:pt>
                <c:pt idx="37">
                  <c:v>Banco Santander - 5.4%</c:v>
                </c:pt>
                <c:pt idx="38">
                  <c:v>SAESA S.A. - 0.1%</c:v>
                </c:pt>
                <c:pt idx="39">
                  <c:v>BICE - 2.9000000000000004%</c:v>
                </c:pt>
              </c:strCache>
            </c:strRef>
          </c:cat>
          <c:val>
            <c:numRef>
              <c:f>ResumenCarteraLabel!$K$2:$K$41</c:f>
              <c:numCache>
                <c:formatCode>"$"\ #,##0.00;\-"$"\ #,##0.00</c:formatCode>
                <c:ptCount val="40"/>
                <c:pt idx="0">
                  <c:v>1.4966324248254469E-3</c:v>
                </c:pt>
                <c:pt idx="1">
                  <c:v>6.8360108052349764E-4</c:v>
                </c:pt>
                <c:pt idx="2">
                  <c:v>5.5659202125084184E-2</c:v>
                </c:pt>
                <c:pt idx="3">
                  <c:v>3.1162249731933661E-3</c:v>
                </c:pt>
                <c:pt idx="4">
                  <c:v>7.8742514959827967E-2</c:v>
                </c:pt>
                <c:pt idx="5">
                  <c:v>1.5365643632321857E-3</c:v>
                </c:pt>
                <c:pt idx="6">
                  <c:v>5.8551484047224309E-2</c:v>
                </c:pt>
                <c:pt idx="7">
                  <c:v>4.5050469645493583E-3</c:v>
                </c:pt>
                <c:pt idx="8">
                  <c:v>1.6035406143088786E-2</c:v>
                </c:pt>
                <c:pt idx="9">
                  <c:v>1.3634016183715356E-3</c:v>
                </c:pt>
                <c:pt idx="10">
                  <c:v>1.4856787226969113E-2</c:v>
                </c:pt>
                <c:pt idx="11">
                  <c:v>1.5370006737491482E-3</c:v>
                </c:pt>
                <c:pt idx="12">
                  <c:v>1.341752587940152E-3</c:v>
                </c:pt>
                <c:pt idx="13">
                  <c:v>7.3786908515016542E-2</c:v>
                </c:pt>
                <c:pt idx="14">
                  <c:v>8.7361108223149644E-3</c:v>
                </c:pt>
                <c:pt idx="15">
                  <c:v>9.6454186014881451E-3</c:v>
                </c:pt>
                <c:pt idx="16">
                  <c:v>1.5740495104637064E-3</c:v>
                </c:pt>
                <c:pt idx="17">
                  <c:v>8.9841699858264623E-2</c:v>
                </c:pt>
                <c:pt idx="18">
                  <c:v>6.6391666616290649E-4</c:v>
                </c:pt>
                <c:pt idx="19">
                  <c:v>3.2799561133442616E-2</c:v>
                </c:pt>
                <c:pt idx="20">
                  <c:v>5.2476287106783724E-2</c:v>
                </c:pt>
                <c:pt idx="21">
                  <c:v>7.4375487472569987E-4</c:v>
                </c:pt>
                <c:pt idx="22">
                  <c:v>6.0405370418478615E-3</c:v>
                </c:pt>
                <c:pt idx="23">
                  <c:v>2.490657275463452E-2</c:v>
                </c:pt>
                <c:pt idx="24">
                  <c:v>8.9131732012374368E-4</c:v>
                </c:pt>
                <c:pt idx="25">
                  <c:v>2.0991178038678848E-3</c:v>
                </c:pt>
                <c:pt idx="26">
                  <c:v>8.2358814861704377E-3</c:v>
                </c:pt>
                <c:pt idx="27">
                  <c:v>2.1802689036574462E-2</c:v>
                </c:pt>
                <c:pt idx="28" formatCode="General">
                  <c:v>9.2838893989801786E-4</c:v>
                </c:pt>
                <c:pt idx="29" formatCode="General">
                  <c:v>4.251498083514213E-2</c:v>
                </c:pt>
                <c:pt idx="30" formatCode="General">
                  <c:v>6.6145134161529007E-2</c:v>
                </c:pt>
                <c:pt idx="31" formatCode="General">
                  <c:v>3.8833654747943293E-2</c:v>
                </c:pt>
                <c:pt idx="32" formatCode="General">
                  <c:v>7.7362395948049473E-2</c:v>
                </c:pt>
                <c:pt idx="33" formatCode="General">
                  <c:v>1.9779687743898825E-2</c:v>
                </c:pt>
                <c:pt idx="34" formatCode="General">
                  <c:v>7.8507161326707417E-2</c:v>
                </c:pt>
                <c:pt idx="35" formatCode="General">
                  <c:v>9.3284081940906097E-3</c:v>
                </c:pt>
                <c:pt idx="36" formatCode="General">
                  <c:v>9.3281422590747974E-3</c:v>
                </c:pt>
                <c:pt idx="37" formatCode="General">
                  <c:v>5.4094147495932492E-2</c:v>
                </c:pt>
                <c:pt idx="38" formatCode="General">
                  <c:v>1.0035417973068184E-3</c:v>
                </c:pt>
                <c:pt idx="39" formatCode="General">
                  <c:v>2.8504914829966237E-2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13-4B8B-A6FF-38CB1930D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ResumenCarteraLabel!$N$1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ResumenCarteraLabel!$M$2:$M$3</c:f>
              <c:strCache>
                <c:ptCount val="2"/>
                <c:pt idx="0">
                  <c:v>Cuota de Fondo - 0.1%</c:v>
                </c:pt>
                <c:pt idx="1">
                  <c:v>Bono Corporativo - 99.9%</c:v>
                </c:pt>
              </c:strCache>
            </c:strRef>
          </c:cat>
          <c:val>
            <c:numRef>
              <c:f>ResumenCarteraLabel!$N$2:$N$3</c:f>
              <c:numCache>
                <c:formatCode>"$"\ #,##0.00;\-"$"\ #,##0.00</c:formatCode>
                <c:ptCount val="2"/>
                <c:pt idx="0">
                  <c:v>9.2838893989801786E-4</c:v>
                </c:pt>
                <c:pt idx="1">
                  <c:v>0.99907161106010145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36-47B4-9503-5D0C34E10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871336522816303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ResumenCarteraRFLabel!$B$1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ResumenCarteraRFLabel!$A$2:$A$5</c:f>
              <c:strCache>
                <c:ptCount val="4"/>
                <c:pt idx="0">
                  <c:v>Bajo Riesgo Corto $ - 14.099999999999998%</c:v>
                </c:pt>
                <c:pt idx="1">
                  <c:v>Bajo Riesgo Corto UF - 76.1%</c:v>
                </c:pt>
                <c:pt idx="2">
                  <c:v>Alto Riesgo Corto $ - 0.1%</c:v>
                </c:pt>
                <c:pt idx="3">
                  <c:v>Bajo Riesgo Largo UF - 9.700000000000001%</c:v>
                </c:pt>
              </c:strCache>
            </c:strRef>
          </c:cat>
          <c:val>
            <c:numRef>
              <c:f>ResumenCarteraRFLabel!$B$2:$B$5</c:f>
              <c:numCache>
                <c:formatCode>#,##0.00</c:formatCode>
                <c:ptCount val="4"/>
                <c:pt idx="0">
                  <c:v>0.14141988273061815</c:v>
                </c:pt>
                <c:pt idx="1">
                  <c:v>0.76109286231333328</c:v>
                </c:pt>
                <c:pt idx="2" formatCode="0.0%">
                  <c:v>9.2838893989801786E-4</c:v>
                </c:pt>
                <c:pt idx="3" formatCode="0.0%">
                  <c:v>9.6558866016150185E-2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9B-4DD0-B1AE-2E9EC3E28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88812540634255577"/>
          <c:h val="0.2679738990959463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ResumenCarteraRFLabel!$E$1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ResumenCarteraRFLabel!$D$2:$D$4</c:f>
              <c:strCache>
                <c:ptCount val="3"/>
                <c:pt idx="0">
                  <c:v>Alto Riesgo Corto - 0.1%</c:v>
                </c:pt>
                <c:pt idx="1">
                  <c:v>Bajo Riesgo Largo - 9.700000000000001%</c:v>
                </c:pt>
                <c:pt idx="2">
                  <c:v>Bajo Riesgo Corto - 90.3%</c:v>
                </c:pt>
              </c:strCache>
            </c:strRef>
          </c:cat>
          <c:val>
            <c:numRef>
              <c:f>ResumenCarteraRFLabel!$E$2:$E$4</c:f>
              <c:numCache>
                <c:formatCode>0.0%</c:formatCode>
                <c:ptCount val="3"/>
                <c:pt idx="0">
                  <c:v>9.2838893989801786E-4</c:v>
                </c:pt>
                <c:pt idx="1">
                  <c:v>9.6558866016150185E-2</c:v>
                </c:pt>
                <c:pt idx="2">
                  <c:v>0.90251274504395151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BC-40DF-9850-1207391EF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935559614407170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ResumenCarteraRFLabel!$H$1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ResumenCarteraRFLabel!$G$2:$G$4</c:f>
              <c:strCache>
                <c:ptCount val="3"/>
                <c:pt idx="0">
                  <c:v>Corto $ - 14.2%</c:v>
                </c:pt>
                <c:pt idx="1">
                  <c:v>Largo UF - 9.700000000000001%</c:v>
                </c:pt>
                <c:pt idx="2">
                  <c:v>Corto UF - 76.1%</c:v>
                </c:pt>
              </c:strCache>
            </c:strRef>
          </c:cat>
          <c:val>
            <c:numRef>
              <c:f>ResumenCarteraRFLabel!$H$2:$H$4</c:f>
              <c:numCache>
                <c:formatCode>0.0%</c:formatCode>
                <c:ptCount val="3"/>
                <c:pt idx="0">
                  <c:v>0.14234827167051617</c:v>
                </c:pt>
                <c:pt idx="1">
                  <c:v>9.6558866016150185E-2</c:v>
                </c:pt>
                <c:pt idx="2">
                  <c:v>0.76109286231333328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18-4C61-9844-C51E1E01EE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5552062414216572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ResumenCarteraRFLabel!$K$1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ResumenCarteraRFLabel!$J$2:$J$4</c:f>
              <c:strCache>
                <c:ptCount val="3"/>
                <c:pt idx="0">
                  <c:v>Bono Corporativo Corto - 90.3%</c:v>
                </c:pt>
                <c:pt idx="1">
                  <c:v>Cuota de Fondo Corto - 0.1%</c:v>
                </c:pt>
                <c:pt idx="2">
                  <c:v>Bono Corporativo Largo - 9.700000000000001%</c:v>
                </c:pt>
              </c:strCache>
            </c:strRef>
          </c:cat>
          <c:val>
            <c:numRef>
              <c:f>ResumenCarteraRFLabel!$K$2:$K$4</c:f>
              <c:numCache>
                <c:formatCode>"$"\ #,##0.00;\-"$"\ #,##0.00</c:formatCode>
                <c:ptCount val="3"/>
                <c:pt idx="0">
                  <c:v>0.90251274504395151</c:v>
                </c:pt>
                <c:pt idx="1">
                  <c:v>9.2838893989801786E-4</c:v>
                </c:pt>
                <c:pt idx="2">
                  <c:v>9.6558866016150185E-2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7-42D2-9A27-849286710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ResumenCarteraRFLabel!$N$1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ResumenCarteraRFLabel!$M$2:$M$4</c:f>
              <c:strCache>
                <c:ptCount val="3"/>
                <c:pt idx="0">
                  <c:v>Cuota de Fondo $ - 0.1%</c:v>
                </c:pt>
                <c:pt idx="1">
                  <c:v>Bono Corporativo UF - 85.8%</c:v>
                </c:pt>
                <c:pt idx="2">
                  <c:v>Bono Corporativo $ - 14.099999999999998%</c:v>
                </c:pt>
              </c:strCache>
            </c:strRef>
          </c:cat>
          <c:val>
            <c:numRef>
              <c:f>ResumenCarteraRFLabel!$N$2:$N$4</c:f>
              <c:numCache>
                <c:formatCode>#,##0.00</c:formatCode>
                <c:ptCount val="3"/>
                <c:pt idx="0">
                  <c:v>9.2838893989801786E-4</c:v>
                </c:pt>
                <c:pt idx="1">
                  <c:v>0.85765172832948333</c:v>
                </c:pt>
                <c:pt idx="2">
                  <c:v>0.14141988273061815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C-474F-9445-0CCDC0B98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88170309903922561"/>
          <c:h val="0.2679738990959463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ResumenCarteraRFLabel!$Q$1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ResumenCarteraRFLabel!$P$2:$P$3</c:f>
              <c:strCache>
                <c:ptCount val="2"/>
                <c:pt idx="0">
                  <c:v>Largo - 9.700000000000001%</c:v>
                </c:pt>
                <c:pt idx="1">
                  <c:v>Corto - 90.3%</c:v>
                </c:pt>
              </c:strCache>
            </c:strRef>
          </c:cat>
          <c:val>
            <c:numRef>
              <c:f>ResumenCarteraRFLabel!$Q$2:$Q$3</c:f>
              <c:numCache>
                <c:formatCode>0.0%</c:formatCode>
                <c:ptCount val="2"/>
                <c:pt idx="0">
                  <c:v>9.6558866016150185E-2</c:v>
                </c:pt>
                <c:pt idx="1">
                  <c:v>0.90344113398384951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5-4E38-BC18-DBE6D64A5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54880085206988427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ResumenCarteraRFLabel!$T$1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ResumenCarteraRFLabel!$S$2:$S$6</c:f>
              <c:strCache>
                <c:ptCount val="5"/>
                <c:pt idx="0">
                  <c:v>AA+ - 15.4%</c:v>
                </c:pt>
                <c:pt idx="1">
                  <c:v>AA- - 16.3%</c:v>
                </c:pt>
                <c:pt idx="2">
                  <c:v>AAA - 32.800000000000004%</c:v>
                </c:pt>
                <c:pt idx="3">
                  <c:v>AA - 35.4%</c:v>
                </c:pt>
                <c:pt idx="4">
                  <c:v>N/A - 0.1%</c:v>
                </c:pt>
              </c:strCache>
            </c:strRef>
          </c:cat>
          <c:val>
            <c:numRef>
              <c:f>ResumenCarteraRFLabel!$T$2:$T$6</c:f>
              <c:numCache>
                <c:formatCode>0.0%</c:formatCode>
                <c:ptCount val="5"/>
                <c:pt idx="0">
                  <c:v>0.15405452825750762</c:v>
                </c:pt>
                <c:pt idx="1">
                  <c:v>0.16327801071165046</c:v>
                </c:pt>
                <c:pt idx="2">
                  <c:v>0.32819255362426958</c:v>
                </c:pt>
                <c:pt idx="3">
                  <c:v>0.35354651846667423</c:v>
                </c:pt>
                <c:pt idx="4">
                  <c:v>9.2838893989801786E-4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31-4B00-9C6D-FD05D50AB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65897363288304556"/>
          <c:h val="0.1992443132108486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ResumenCarteraRFLabel!$W$1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ResumenCarteraRFLabel!$V$2:$V$3</c:f>
              <c:strCache>
                <c:ptCount val="2"/>
                <c:pt idx="0">
                  <c:v>Cuota de Fondo - 0.1%</c:v>
                </c:pt>
                <c:pt idx="1">
                  <c:v>Bono Corporativo - 99.9%</c:v>
                </c:pt>
              </c:strCache>
            </c:strRef>
          </c:cat>
          <c:val>
            <c:numRef>
              <c:f>ResumenCarteraRFLabel!$W$2:$W$3</c:f>
              <c:numCache>
                <c:formatCode>"$"\ #,##0.00;\-"$"\ #,##0.00</c:formatCode>
                <c:ptCount val="2"/>
                <c:pt idx="0">
                  <c:v>9.2838893989801786E-4</c:v>
                </c:pt>
                <c:pt idx="1">
                  <c:v>0.99907161106010145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DB-464F-AC06-EE6AA548D5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8713365228163035"/>
          <c:h val="0.13051472732575095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ResumenCarteraRFLabel!$Z$1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ResumenCarteraRFLabel!$Y$2:$Y$3</c:f>
              <c:strCache>
                <c:ptCount val="2"/>
                <c:pt idx="0">
                  <c:v>Bajo Riesgo - 99.9%</c:v>
                </c:pt>
                <c:pt idx="1">
                  <c:v>Alto Riesgo - 0.1%</c:v>
                </c:pt>
              </c:strCache>
            </c:strRef>
          </c:cat>
          <c:val>
            <c:numRef>
              <c:f>ResumenCarteraRFLabel!$Z$2:$Z$3</c:f>
              <c:numCache>
                <c:formatCode>#,##0.00</c:formatCode>
                <c:ptCount val="2"/>
                <c:pt idx="0">
                  <c:v>0.99907161106010145</c:v>
                </c:pt>
                <c:pt idx="1">
                  <c:v>9.2838893989801786E-4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6-4A44-8648-44A9C2ADF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74262948782778304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ser>
          <c:idx val="0"/>
          <c:order val="0"/>
          <c:tx>
            <c:strRef>
              <c:f>ResumenCarteraRFLabel!$AC$1</c:f>
              <c:strCache>
                <c:ptCount val="1"/>
                <c:pt idx="0">
                  <c:v>%</c:v>
                </c:pt>
              </c:strCache>
            </c:strRef>
          </c:tx>
          <c:cat>
            <c:strRef>
              <c:f>ResumenCarteraRFLabel!$AB$2:$AB$3</c:f>
              <c:strCache>
                <c:ptCount val="2"/>
                <c:pt idx="0">
                  <c:v>UF - 85.8%</c:v>
                </c:pt>
                <c:pt idx="1">
                  <c:v>$ - 14.2%</c:v>
                </c:pt>
              </c:strCache>
            </c:strRef>
          </c:cat>
          <c:val>
            <c:numRef>
              <c:f>ResumenCarteraRFLabel!$AC$2:$AC$3</c:f>
              <c:numCache>
                <c:formatCode>0.0%</c:formatCode>
                <c:ptCount val="2"/>
                <c:pt idx="0">
                  <c:v>0.85765172832948333</c:v>
                </c:pt>
                <c:pt idx="1">
                  <c:v>0.14234827167051617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1-4104-BBB1-76CA4DADB8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43906102407311248"/>
          <c:h val="6.8729585885097699E-2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979880586150258"/>
          <c:y val="3.3225443792752191E-2"/>
          <c:w val="0.48351526278238288"/>
          <c:h val="0.65479179639868335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</c:plotArea>
    <c:legend>
      <c:legendPos val="b"/>
      <c:layout>
        <c:manualLayout>
          <c:xMode val="edge"/>
          <c:yMode val="edge"/>
          <c:x val="1.1728834878784339E-2"/>
          <c:y val="0.70327022331892031"/>
          <c:w val="0.98827116512121571"/>
          <c:h val="0.22909560305086041"/>
        </c:manualLayout>
      </c:layout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zero"/>
    <c:showDLblsOverMax val="0"/>
  </c:chart>
  <c:spPr>
    <a:noFill/>
    <a:ln>
      <a:noFill/>
    </a:ln>
  </c:sp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SEGUIMIENTO!$L$15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SEGUIMIENTO!$M$15:$N$15</c:f>
              <c:numCache>
                <c:formatCode>0.0%</c:formatCode>
                <c:ptCount val="2"/>
                <c:pt idx="0">
                  <c:v>0.17140410000000039</c:v>
                </c:pt>
                <c:pt idx="1">
                  <c:v>0.19735314606817878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C4-44EE-96A6-A9E9CE90EC3C}"/>
            </c:ext>
          </c:extLst>
        </c:ser>
        <c:ser>
          <c:idx val="1"/>
          <c:order val="1"/>
          <c:tx>
            <c:strRef>
              <c:f>SEGUIMIENTO!$L$16</c:f>
              <c:strCache>
                <c:ptCount val="1"/>
                <c:pt idx="0">
                  <c:v>Desde 2014</c:v>
                </c:pt>
              </c:strCache>
            </c:strRef>
          </c:tx>
          <c:spPr>
            <a:solidFill>
              <a:srgbClr val="E87D1E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SEGUIMIENTO!$M$16:$N$16</c:f>
              <c:numCache>
                <c:formatCode>0.0%</c:formatCode>
                <c:ptCount val="2"/>
                <c:pt idx="0">
                  <c:v>0.17140409999999995</c:v>
                </c:pt>
                <c:pt idx="1">
                  <c:v>0.19735314606817855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C4-44EE-96A6-A9E9CE90EC3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MX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3.7871043116169199E-2"/>
          <c:y val="2.5631669572034096E-2"/>
          <c:w val="0.88794054537435951"/>
          <c:h val="0.78294670812541611"/>
        </c:manualLayout>
      </c:layout>
      <c:lineChart>
        <c:grouping val="standard"/>
        <c:varyColors val="0"/>
        <c:ser>
          <c:idx val="0"/>
          <c:order val="0"/>
          <c:tx>
            <c:strRef>
              <c:f>Datos!$B$3</c:f>
              <c:strCache>
                <c:ptCount val="1"/>
                <c:pt idx="0">
                  <c:v>Fondo</c:v>
                </c:pt>
              </c:strCache>
            </c:strRef>
          </c:tx>
          <c:spPr>
            <a:ln w="19050">
              <a:solidFill>
                <a:srgbClr val="597B7C"/>
              </a:solidFill>
            </a:ln>
          </c:spPr>
          <c:marker>
            <c:symbol val="none"/>
          </c:marker>
          <c:cat>
            <c:numRef>
              <c:f>Datos!$A$4:$A$2000</c:f>
              <c:numCache>
                <c:formatCode>m/d/yyyy</c:formatCode>
                <c:ptCount val="1997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42730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42698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  <c:pt idx="67">
                  <c:v>42641</c:v>
                </c:pt>
                <c:pt idx="68">
                  <c:v>42640</c:v>
                </c:pt>
                <c:pt idx="69">
                  <c:v>42639</c:v>
                </c:pt>
                <c:pt idx="70">
                  <c:v>42636</c:v>
                </c:pt>
                <c:pt idx="71">
                  <c:v>42635</c:v>
                </c:pt>
                <c:pt idx="72">
                  <c:v>42634</c:v>
                </c:pt>
                <c:pt idx="73">
                  <c:v>42633</c:v>
                </c:pt>
                <c:pt idx="74">
                  <c:v>42632</c:v>
                </c:pt>
                <c:pt idx="75">
                  <c:v>42629</c:v>
                </c:pt>
                <c:pt idx="76">
                  <c:v>42628</c:v>
                </c:pt>
                <c:pt idx="77">
                  <c:v>42627</c:v>
                </c:pt>
                <c:pt idx="78">
                  <c:v>42626</c:v>
                </c:pt>
                <c:pt idx="79">
                  <c:v>42625</c:v>
                </c:pt>
                <c:pt idx="80">
                  <c:v>42622</c:v>
                </c:pt>
                <c:pt idx="81">
                  <c:v>42621</c:v>
                </c:pt>
                <c:pt idx="82">
                  <c:v>42620</c:v>
                </c:pt>
                <c:pt idx="83">
                  <c:v>42619</c:v>
                </c:pt>
                <c:pt idx="84">
                  <c:v>42618</c:v>
                </c:pt>
                <c:pt idx="85">
                  <c:v>42615</c:v>
                </c:pt>
                <c:pt idx="86">
                  <c:v>42614</c:v>
                </c:pt>
                <c:pt idx="87">
                  <c:v>42613</c:v>
                </c:pt>
                <c:pt idx="88">
                  <c:v>42612</c:v>
                </c:pt>
                <c:pt idx="89">
                  <c:v>42611</c:v>
                </c:pt>
                <c:pt idx="90">
                  <c:v>42608</c:v>
                </c:pt>
                <c:pt idx="91">
                  <c:v>42607</c:v>
                </c:pt>
                <c:pt idx="92">
                  <c:v>42606</c:v>
                </c:pt>
                <c:pt idx="93">
                  <c:v>42605</c:v>
                </c:pt>
                <c:pt idx="94">
                  <c:v>42604</c:v>
                </c:pt>
                <c:pt idx="95">
                  <c:v>42601</c:v>
                </c:pt>
                <c:pt idx="96">
                  <c:v>42600</c:v>
                </c:pt>
                <c:pt idx="97">
                  <c:v>42599</c:v>
                </c:pt>
                <c:pt idx="98">
                  <c:v>42598</c:v>
                </c:pt>
                <c:pt idx="99">
                  <c:v>42597</c:v>
                </c:pt>
                <c:pt idx="100">
                  <c:v>42594</c:v>
                </c:pt>
                <c:pt idx="101">
                  <c:v>42593</c:v>
                </c:pt>
                <c:pt idx="102">
                  <c:v>42592</c:v>
                </c:pt>
                <c:pt idx="103">
                  <c:v>42591</c:v>
                </c:pt>
                <c:pt idx="104">
                  <c:v>42590</c:v>
                </c:pt>
                <c:pt idx="105">
                  <c:v>42587</c:v>
                </c:pt>
                <c:pt idx="106">
                  <c:v>42586</c:v>
                </c:pt>
                <c:pt idx="107">
                  <c:v>42585</c:v>
                </c:pt>
                <c:pt idx="108">
                  <c:v>42584</c:v>
                </c:pt>
                <c:pt idx="109">
                  <c:v>42583</c:v>
                </c:pt>
                <c:pt idx="110">
                  <c:v>42580</c:v>
                </c:pt>
                <c:pt idx="111">
                  <c:v>42579</c:v>
                </c:pt>
                <c:pt idx="112">
                  <c:v>42578</c:v>
                </c:pt>
                <c:pt idx="113">
                  <c:v>42577</c:v>
                </c:pt>
                <c:pt idx="114">
                  <c:v>42576</c:v>
                </c:pt>
                <c:pt idx="115">
                  <c:v>42573</c:v>
                </c:pt>
                <c:pt idx="116">
                  <c:v>42572</c:v>
                </c:pt>
                <c:pt idx="117">
                  <c:v>42571</c:v>
                </c:pt>
                <c:pt idx="118">
                  <c:v>42570</c:v>
                </c:pt>
                <c:pt idx="119">
                  <c:v>42569</c:v>
                </c:pt>
                <c:pt idx="120">
                  <c:v>42566</c:v>
                </c:pt>
                <c:pt idx="121">
                  <c:v>42565</c:v>
                </c:pt>
                <c:pt idx="122">
                  <c:v>42564</c:v>
                </c:pt>
                <c:pt idx="123">
                  <c:v>42563</c:v>
                </c:pt>
                <c:pt idx="124">
                  <c:v>42562</c:v>
                </c:pt>
                <c:pt idx="125">
                  <c:v>42559</c:v>
                </c:pt>
                <c:pt idx="126">
                  <c:v>42558</c:v>
                </c:pt>
                <c:pt idx="127">
                  <c:v>42557</c:v>
                </c:pt>
                <c:pt idx="128">
                  <c:v>42556</c:v>
                </c:pt>
                <c:pt idx="129">
                  <c:v>42555</c:v>
                </c:pt>
                <c:pt idx="130">
                  <c:v>42552</c:v>
                </c:pt>
                <c:pt idx="131">
                  <c:v>42551</c:v>
                </c:pt>
                <c:pt idx="132">
                  <c:v>42550</c:v>
                </c:pt>
                <c:pt idx="133">
                  <c:v>42549</c:v>
                </c:pt>
                <c:pt idx="134">
                  <c:v>42548</c:v>
                </c:pt>
                <c:pt idx="135">
                  <c:v>42545</c:v>
                </c:pt>
                <c:pt idx="136">
                  <c:v>42544</c:v>
                </c:pt>
                <c:pt idx="137">
                  <c:v>42543</c:v>
                </c:pt>
                <c:pt idx="138">
                  <c:v>42542</c:v>
                </c:pt>
                <c:pt idx="139">
                  <c:v>42541</c:v>
                </c:pt>
                <c:pt idx="140">
                  <c:v>42538</c:v>
                </c:pt>
                <c:pt idx="141">
                  <c:v>42537</c:v>
                </c:pt>
                <c:pt idx="142">
                  <c:v>42536</c:v>
                </c:pt>
                <c:pt idx="143">
                  <c:v>42535</c:v>
                </c:pt>
                <c:pt idx="144">
                  <c:v>42534</c:v>
                </c:pt>
                <c:pt idx="145">
                  <c:v>42531</c:v>
                </c:pt>
                <c:pt idx="146">
                  <c:v>42530</c:v>
                </c:pt>
                <c:pt idx="147">
                  <c:v>42529</c:v>
                </c:pt>
                <c:pt idx="148">
                  <c:v>42528</c:v>
                </c:pt>
                <c:pt idx="149">
                  <c:v>42527</c:v>
                </c:pt>
                <c:pt idx="150">
                  <c:v>42524</c:v>
                </c:pt>
                <c:pt idx="151">
                  <c:v>42523</c:v>
                </c:pt>
                <c:pt idx="152">
                  <c:v>42522</c:v>
                </c:pt>
                <c:pt idx="153">
                  <c:v>42521</c:v>
                </c:pt>
                <c:pt idx="154">
                  <c:v>42520</c:v>
                </c:pt>
                <c:pt idx="155">
                  <c:v>42517</c:v>
                </c:pt>
                <c:pt idx="156">
                  <c:v>42516</c:v>
                </c:pt>
                <c:pt idx="157">
                  <c:v>42515</c:v>
                </c:pt>
                <c:pt idx="158">
                  <c:v>42514</c:v>
                </c:pt>
                <c:pt idx="159">
                  <c:v>42513</c:v>
                </c:pt>
                <c:pt idx="160">
                  <c:v>42510</c:v>
                </c:pt>
                <c:pt idx="161">
                  <c:v>42509</c:v>
                </c:pt>
                <c:pt idx="162">
                  <c:v>42508</c:v>
                </c:pt>
                <c:pt idx="163">
                  <c:v>42507</c:v>
                </c:pt>
                <c:pt idx="164">
                  <c:v>42506</c:v>
                </c:pt>
                <c:pt idx="165">
                  <c:v>42503</c:v>
                </c:pt>
                <c:pt idx="166">
                  <c:v>42502</c:v>
                </c:pt>
                <c:pt idx="167">
                  <c:v>42501</c:v>
                </c:pt>
                <c:pt idx="168">
                  <c:v>42500</c:v>
                </c:pt>
                <c:pt idx="169">
                  <c:v>42499</c:v>
                </c:pt>
                <c:pt idx="170">
                  <c:v>42496</c:v>
                </c:pt>
                <c:pt idx="171">
                  <c:v>42495</c:v>
                </c:pt>
                <c:pt idx="172">
                  <c:v>42494</c:v>
                </c:pt>
                <c:pt idx="173">
                  <c:v>42493</c:v>
                </c:pt>
                <c:pt idx="174">
                  <c:v>42492</c:v>
                </c:pt>
                <c:pt idx="175">
                  <c:v>42489</c:v>
                </c:pt>
                <c:pt idx="176">
                  <c:v>42488</c:v>
                </c:pt>
                <c:pt idx="177">
                  <c:v>42487</c:v>
                </c:pt>
                <c:pt idx="178">
                  <c:v>42486</c:v>
                </c:pt>
                <c:pt idx="179">
                  <c:v>42485</c:v>
                </c:pt>
                <c:pt idx="180">
                  <c:v>42482</c:v>
                </c:pt>
                <c:pt idx="181">
                  <c:v>42481</c:v>
                </c:pt>
                <c:pt idx="182">
                  <c:v>42480</c:v>
                </c:pt>
                <c:pt idx="183">
                  <c:v>42479</c:v>
                </c:pt>
                <c:pt idx="184">
                  <c:v>42478</c:v>
                </c:pt>
                <c:pt idx="185">
                  <c:v>42475</c:v>
                </c:pt>
                <c:pt idx="186">
                  <c:v>42474</c:v>
                </c:pt>
                <c:pt idx="187">
                  <c:v>42473</c:v>
                </c:pt>
                <c:pt idx="188">
                  <c:v>42472</c:v>
                </c:pt>
                <c:pt idx="189">
                  <c:v>42471</c:v>
                </c:pt>
                <c:pt idx="190">
                  <c:v>42468</c:v>
                </c:pt>
                <c:pt idx="191">
                  <c:v>42467</c:v>
                </c:pt>
                <c:pt idx="192">
                  <c:v>42466</c:v>
                </c:pt>
                <c:pt idx="193">
                  <c:v>42465</c:v>
                </c:pt>
                <c:pt idx="194">
                  <c:v>42464</c:v>
                </c:pt>
                <c:pt idx="195">
                  <c:v>42461</c:v>
                </c:pt>
                <c:pt idx="196">
                  <c:v>42460</c:v>
                </c:pt>
                <c:pt idx="197">
                  <c:v>42459</c:v>
                </c:pt>
                <c:pt idx="198">
                  <c:v>42458</c:v>
                </c:pt>
                <c:pt idx="199">
                  <c:v>42457</c:v>
                </c:pt>
                <c:pt idx="200">
                  <c:v>42454</c:v>
                </c:pt>
                <c:pt idx="201">
                  <c:v>42453</c:v>
                </c:pt>
                <c:pt idx="202">
                  <c:v>42452</c:v>
                </c:pt>
                <c:pt idx="203">
                  <c:v>42451</c:v>
                </c:pt>
                <c:pt idx="204">
                  <c:v>42450</c:v>
                </c:pt>
                <c:pt idx="205">
                  <c:v>42447</c:v>
                </c:pt>
                <c:pt idx="206">
                  <c:v>42446</c:v>
                </c:pt>
                <c:pt idx="207">
                  <c:v>42445</c:v>
                </c:pt>
                <c:pt idx="208">
                  <c:v>42444</c:v>
                </c:pt>
                <c:pt idx="209">
                  <c:v>42443</c:v>
                </c:pt>
                <c:pt idx="210">
                  <c:v>42440</c:v>
                </c:pt>
                <c:pt idx="211">
                  <c:v>42439</c:v>
                </c:pt>
                <c:pt idx="212">
                  <c:v>42438</c:v>
                </c:pt>
                <c:pt idx="213">
                  <c:v>42437</c:v>
                </c:pt>
                <c:pt idx="214">
                  <c:v>42436</c:v>
                </c:pt>
                <c:pt idx="215">
                  <c:v>42433</c:v>
                </c:pt>
                <c:pt idx="216">
                  <c:v>42432</c:v>
                </c:pt>
                <c:pt idx="217">
                  <c:v>42431</c:v>
                </c:pt>
                <c:pt idx="218">
                  <c:v>42430</c:v>
                </c:pt>
                <c:pt idx="219">
                  <c:v>42429</c:v>
                </c:pt>
                <c:pt idx="220">
                  <c:v>42426</c:v>
                </c:pt>
                <c:pt idx="221">
                  <c:v>42425</c:v>
                </c:pt>
                <c:pt idx="222">
                  <c:v>42424</c:v>
                </c:pt>
                <c:pt idx="223">
                  <c:v>42423</c:v>
                </c:pt>
                <c:pt idx="224">
                  <c:v>42422</c:v>
                </c:pt>
                <c:pt idx="225">
                  <c:v>42419</c:v>
                </c:pt>
                <c:pt idx="226">
                  <c:v>42418</c:v>
                </c:pt>
                <c:pt idx="227">
                  <c:v>42417</c:v>
                </c:pt>
                <c:pt idx="228">
                  <c:v>42416</c:v>
                </c:pt>
                <c:pt idx="229">
                  <c:v>42415</c:v>
                </c:pt>
                <c:pt idx="230">
                  <c:v>42412</c:v>
                </c:pt>
                <c:pt idx="231">
                  <c:v>42411</c:v>
                </c:pt>
                <c:pt idx="232">
                  <c:v>42410</c:v>
                </c:pt>
                <c:pt idx="233">
                  <c:v>42409</c:v>
                </c:pt>
                <c:pt idx="234">
                  <c:v>42408</c:v>
                </c:pt>
                <c:pt idx="235">
                  <c:v>42405</c:v>
                </c:pt>
                <c:pt idx="236">
                  <c:v>42404</c:v>
                </c:pt>
                <c:pt idx="237">
                  <c:v>42403</c:v>
                </c:pt>
                <c:pt idx="238">
                  <c:v>42402</c:v>
                </c:pt>
                <c:pt idx="239">
                  <c:v>42401</c:v>
                </c:pt>
                <c:pt idx="240">
                  <c:v>42398</c:v>
                </c:pt>
                <c:pt idx="241">
                  <c:v>42397</c:v>
                </c:pt>
                <c:pt idx="242">
                  <c:v>42396</c:v>
                </c:pt>
                <c:pt idx="243">
                  <c:v>42395</c:v>
                </c:pt>
                <c:pt idx="244">
                  <c:v>42394</c:v>
                </c:pt>
                <c:pt idx="245">
                  <c:v>42391</c:v>
                </c:pt>
                <c:pt idx="246">
                  <c:v>42390</c:v>
                </c:pt>
                <c:pt idx="247">
                  <c:v>42389</c:v>
                </c:pt>
                <c:pt idx="248">
                  <c:v>42388</c:v>
                </c:pt>
                <c:pt idx="249">
                  <c:v>42387</c:v>
                </c:pt>
                <c:pt idx="250">
                  <c:v>42384</c:v>
                </c:pt>
                <c:pt idx="251">
                  <c:v>42383</c:v>
                </c:pt>
                <c:pt idx="252">
                  <c:v>42382</c:v>
                </c:pt>
                <c:pt idx="253">
                  <c:v>42381</c:v>
                </c:pt>
                <c:pt idx="254">
                  <c:v>42380</c:v>
                </c:pt>
                <c:pt idx="255">
                  <c:v>42377</c:v>
                </c:pt>
                <c:pt idx="256">
                  <c:v>42376</c:v>
                </c:pt>
                <c:pt idx="257">
                  <c:v>42375</c:v>
                </c:pt>
                <c:pt idx="258">
                  <c:v>42374</c:v>
                </c:pt>
                <c:pt idx="259">
                  <c:v>42373</c:v>
                </c:pt>
                <c:pt idx="260">
                  <c:v>42370</c:v>
                </c:pt>
                <c:pt idx="261">
                  <c:v>42369</c:v>
                </c:pt>
                <c:pt idx="262">
                  <c:v>42368</c:v>
                </c:pt>
                <c:pt idx="263">
                  <c:v>42367</c:v>
                </c:pt>
                <c:pt idx="264">
                  <c:v>42366</c:v>
                </c:pt>
                <c:pt idx="265">
                  <c:v>42363</c:v>
                </c:pt>
                <c:pt idx="266">
                  <c:v>42362</c:v>
                </c:pt>
                <c:pt idx="267">
                  <c:v>42361</c:v>
                </c:pt>
                <c:pt idx="268">
                  <c:v>42360</c:v>
                </c:pt>
                <c:pt idx="269">
                  <c:v>42359</c:v>
                </c:pt>
                <c:pt idx="270">
                  <c:v>42356</c:v>
                </c:pt>
                <c:pt idx="271">
                  <c:v>42355</c:v>
                </c:pt>
                <c:pt idx="272">
                  <c:v>42354</c:v>
                </c:pt>
                <c:pt idx="273">
                  <c:v>42353</c:v>
                </c:pt>
                <c:pt idx="274">
                  <c:v>42352</c:v>
                </c:pt>
                <c:pt idx="275">
                  <c:v>42349</c:v>
                </c:pt>
                <c:pt idx="276">
                  <c:v>42348</c:v>
                </c:pt>
                <c:pt idx="277">
                  <c:v>42347</c:v>
                </c:pt>
                <c:pt idx="278">
                  <c:v>42346</c:v>
                </c:pt>
                <c:pt idx="279">
                  <c:v>42345</c:v>
                </c:pt>
                <c:pt idx="280">
                  <c:v>42342</c:v>
                </c:pt>
                <c:pt idx="281">
                  <c:v>42341</c:v>
                </c:pt>
                <c:pt idx="282">
                  <c:v>42340</c:v>
                </c:pt>
                <c:pt idx="283">
                  <c:v>42339</c:v>
                </c:pt>
                <c:pt idx="284">
                  <c:v>42338</c:v>
                </c:pt>
                <c:pt idx="285">
                  <c:v>42335</c:v>
                </c:pt>
                <c:pt idx="286">
                  <c:v>42334</c:v>
                </c:pt>
                <c:pt idx="287">
                  <c:v>42333</c:v>
                </c:pt>
                <c:pt idx="288">
                  <c:v>42332</c:v>
                </c:pt>
                <c:pt idx="289">
                  <c:v>42331</c:v>
                </c:pt>
                <c:pt idx="290">
                  <c:v>42328</c:v>
                </c:pt>
                <c:pt idx="291">
                  <c:v>42327</c:v>
                </c:pt>
                <c:pt idx="292">
                  <c:v>42326</c:v>
                </c:pt>
                <c:pt idx="293">
                  <c:v>42325</c:v>
                </c:pt>
                <c:pt idx="294">
                  <c:v>42324</c:v>
                </c:pt>
                <c:pt idx="295">
                  <c:v>42321</c:v>
                </c:pt>
                <c:pt idx="296">
                  <c:v>42320</c:v>
                </c:pt>
                <c:pt idx="297">
                  <c:v>42319</c:v>
                </c:pt>
                <c:pt idx="298">
                  <c:v>42318</c:v>
                </c:pt>
                <c:pt idx="299">
                  <c:v>42317</c:v>
                </c:pt>
                <c:pt idx="300">
                  <c:v>42314</c:v>
                </c:pt>
                <c:pt idx="301">
                  <c:v>42313</c:v>
                </c:pt>
                <c:pt idx="302">
                  <c:v>42312</c:v>
                </c:pt>
                <c:pt idx="303">
                  <c:v>42311</c:v>
                </c:pt>
                <c:pt idx="304">
                  <c:v>42310</c:v>
                </c:pt>
                <c:pt idx="305">
                  <c:v>42307</c:v>
                </c:pt>
                <c:pt idx="306">
                  <c:v>42306</c:v>
                </c:pt>
                <c:pt idx="307">
                  <c:v>42305</c:v>
                </c:pt>
                <c:pt idx="308">
                  <c:v>42304</c:v>
                </c:pt>
                <c:pt idx="309">
                  <c:v>42303</c:v>
                </c:pt>
                <c:pt idx="310">
                  <c:v>42300</c:v>
                </c:pt>
                <c:pt idx="311">
                  <c:v>42299</c:v>
                </c:pt>
                <c:pt idx="312">
                  <c:v>42298</c:v>
                </c:pt>
                <c:pt idx="313">
                  <c:v>42297</c:v>
                </c:pt>
                <c:pt idx="314">
                  <c:v>42296</c:v>
                </c:pt>
                <c:pt idx="315">
                  <c:v>42293</c:v>
                </c:pt>
                <c:pt idx="316">
                  <c:v>42292</c:v>
                </c:pt>
                <c:pt idx="317">
                  <c:v>42291</c:v>
                </c:pt>
                <c:pt idx="318">
                  <c:v>42290</c:v>
                </c:pt>
                <c:pt idx="319">
                  <c:v>42289</c:v>
                </c:pt>
                <c:pt idx="320">
                  <c:v>42286</c:v>
                </c:pt>
                <c:pt idx="321">
                  <c:v>42285</c:v>
                </c:pt>
                <c:pt idx="322">
                  <c:v>42284</c:v>
                </c:pt>
                <c:pt idx="323">
                  <c:v>42283</c:v>
                </c:pt>
                <c:pt idx="324">
                  <c:v>42282</c:v>
                </c:pt>
                <c:pt idx="325">
                  <c:v>42279</c:v>
                </c:pt>
                <c:pt idx="326">
                  <c:v>42278</c:v>
                </c:pt>
                <c:pt idx="327">
                  <c:v>42277</c:v>
                </c:pt>
                <c:pt idx="328">
                  <c:v>42276</c:v>
                </c:pt>
                <c:pt idx="329">
                  <c:v>42275</c:v>
                </c:pt>
                <c:pt idx="330">
                  <c:v>42272</c:v>
                </c:pt>
                <c:pt idx="331">
                  <c:v>42271</c:v>
                </c:pt>
                <c:pt idx="332">
                  <c:v>42270</c:v>
                </c:pt>
                <c:pt idx="333">
                  <c:v>42269</c:v>
                </c:pt>
                <c:pt idx="334">
                  <c:v>42268</c:v>
                </c:pt>
                <c:pt idx="335">
                  <c:v>42265</c:v>
                </c:pt>
                <c:pt idx="336">
                  <c:v>42264</c:v>
                </c:pt>
                <c:pt idx="337">
                  <c:v>42263</c:v>
                </c:pt>
                <c:pt idx="338">
                  <c:v>42262</c:v>
                </c:pt>
                <c:pt idx="339">
                  <c:v>42261</c:v>
                </c:pt>
                <c:pt idx="340">
                  <c:v>42258</c:v>
                </c:pt>
                <c:pt idx="341">
                  <c:v>42257</c:v>
                </c:pt>
                <c:pt idx="342">
                  <c:v>42256</c:v>
                </c:pt>
                <c:pt idx="343">
                  <c:v>42255</c:v>
                </c:pt>
                <c:pt idx="344">
                  <c:v>42254</c:v>
                </c:pt>
                <c:pt idx="345">
                  <c:v>42251</c:v>
                </c:pt>
                <c:pt idx="346">
                  <c:v>42250</c:v>
                </c:pt>
                <c:pt idx="347">
                  <c:v>42249</c:v>
                </c:pt>
                <c:pt idx="348">
                  <c:v>42248</c:v>
                </c:pt>
                <c:pt idx="349">
                  <c:v>42247</c:v>
                </c:pt>
                <c:pt idx="350">
                  <c:v>42244</c:v>
                </c:pt>
                <c:pt idx="351">
                  <c:v>42243</c:v>
                </c:pt>
                <c:pt idx="352">
                  <c:v>42242</c:v>
                </c:pt>
                <c:pt idx="353">
                  <c:v>42241</c:v>
                </c:pt>
                <c:pt idx="354">
                  <c:v>42240</c:v>
                </c:pt>
                <c:pt idx="355">
                  <c:v>42237</c:v>
                </c:pt>
                <c:pt idx="356">
                  <c:v>42236</c:v>
                </c:pt>
                <c:pt idx="357">
                  <c:v>42235</c:v>
                </c:pt>
                <c:pt idx="358">
                  <c:v>42234</c:v>
                </c:pt>
                <c:pt idx="359">
                  <c:v>42233</c:v>
                </c:pt>
                <c:pt idx="360">
                  <c:v>42230</c:v>
                </c:pt>
                <c:pt idx="361">
                  <c:v>42229</c:v>
                </c:pt>
                <c:pt idx="362">
                  <c:v>42228</c:v>
                </c:pt>
                <c:pt idx="363">
                  <c:v>42227</c:v>
                </c:pt>
                <c:pt idx="364">
                  <c:v>42226</c:v>
                </c:pt>
                <c:pt idx="365">
                  <c:v>42223</c:v>
                </c:pt>
                <c:pt idx="366">
                  <c:v>42222</c:v>
                </c:pt>
                <c:pt idx="367">
                  <c:v>42221</c:v>
                </c:pt>
                <c:pt idx="368">
                  <c:v>42220</c:v>
                </c:pt>
                <c:pt idx="369">
                  <c:v>42219</c:v>
                </c:pt>
                <c:pt idx="370">
                  <c:v>42216</c:v>
                </c:pt>
                <c:pt idx="371">
                  <c:v>42215</c:v>
                </c:pt>
                <c:pt idx="372">
                  <c:v>42214</c:v>
                </c:pt>
                <c:pt idx="373">
                  <c:v>42213</c:v>
                </c:pt>
                <c:pt idx="374">
                  <c:v>42212</c:v>
                </c:pt>
                <c:pt idx="375">
                  <c:v>42209</c:v>
                </c:pt>
                <c:pt idx="376">
                  <c:v>42208</c:v>
                </c:pt>
                <c:pt idx="377">
                  <c:v>42207</c:v>
                </c:pt>
                <c:pt idx="378">
                  <c:v>42206</c:v>
                </c:pt>
                <c:pt idx="379">
                  <c:v>42205</c:v>
                </c:pt>
                <c:pt idx="380">
                  <c:v>42202</c:v>
                </c:pt>
                <c:pt idx="381">
                  <c:v>42201</c:v>
                </c:pt>
                <c:pt idx="382">
                  <c:v>42200</c:v>
                </c:pt>
                <c:pt idx="383">
                  <c:v>42199</c:v>
                </c:pt>
                <c:pt idx="384">
                  <c:v>42198</c:v>
                </c:pt>
                <c:pt idx="385">
                  <c:v>42195</c:v>
                </c:pt>
                <c:pt idx="386">
                  <c:v>42194</c:v>
                </c:pt>
                <c:pt idx="387">
                  <c:v>42193</c:v>
                </c:pt>
                <c:pt idx="388">
                  <c:v>42192</c:v>
                </c:pt>
                <c:pt idx="389">
                  <c:v>42191</c:v>
                </c:pt>
                <c:pt idx="390">
                  <c:v>42188</c:v>
                </c:pt>
                <c:pt idx="391">
                  <c:v>42187</c:v>
                </c:pt>
                <c:pt idx="392">
                  <c:v>42186</c:v>
                </c:pt>
                <c:pt idx="393">
                  <c:v>42185</c:v>
                </c:pt>
                <c:pt idx="394">
                  <c:v>42184</c:v>
                </c:pt>
                <c:pt idx="395">
                  <c:v>42181</c:v>
                </c:pt>
                <c:pt idx="396">
                  <c:v>42180</c:v>
                </c:pt>
                <c:pt idx="397">
                  <c:v>42179</c:v>
                </c:pt>
                <c:pt idx="398">
                  <c:v>42178</c:v>
                </c:pt>
                <c:pt idx="399">
                  <c:v>42177</c:v>
                </c:pt>
                <c:pt idx="400">
                  <c:v>42174</c:v>
                </c:pt>
                <c:pt idx="401">
                  <c:v>42173</c:v>
                </c:pt>
                <c:pt idx="402">
                  <c:v>42172</c:v>
                </c:pt>
                <c:pt idx="403">
                  <c:v>42171</c:v>
                </c:pt>
                <c:pt idx="404">
                  <c:v>42170</c:v>
                </c:pt>
                <c:pt idx="405">
                  <c:v>42167</c:v>
                </c:pt>
                <c:pt idx="406">
                  <c:v>42166</c:v>
                </c:pt>
                <c:pt idx="407">
                  <c:v>42165</c:v>
                </c:pt>
                <c:pt idx="408">
                  <c:v>42164</c:v>
                </c:pt>
                <c:pt idx="409">
                  <c:v>42163</c:v>
                </c:pt>
                <c:pt idx="410">
                  <c:v>42160</c:v>
                </c:pt>
                <c:pt idx="411">
                  <c:v>42159</c:v>
                </c:pt>
                <c:pt idx="412">
                  <c:v>42158</c:v>
                </c:pt>
                <c:pt idx="413">
                  <c:v>42157</c:v>
                </c:pt>
                <c:pt idx="414">
                  <c:v>42156</c:v>
                </c:pt>
                <c:pt idx="415">
                  <c:v>42153</c:v>
                </c:pt>
                <c:pt idx="416">
                  <c:v>42152</c:v>
                </c:pt>
                <c:pt idx="417">
                  <c:v>42151</c:v>
                </c:pt>
                <c:pt idx="418">
                  <c:v>42150</c:v>
                </c:pt>
                <c:pt idx="419">
                  <c:v>42149</c:v>
                </c:pt>
                <c:pt idx="420">
                  <c:v>42146</c:v>
                </c:pt>
                <c:pt idx="421">
                  <c:v>42145</c:v>
                </c:pt>
                <c:pt idx="422">
                  <c:v>42144</c:v>
                </c:pt>
                <c:pt idx="423">
                  <c:v>42143</c:v>
                </c:pt>
                <c:pt idx="424">
                  <c:v>42142</c:v>
                </c:pt>
                <c:pt idx="425">
                  <c:v>42139</c:v>
                </c:pt>
                <c:pt idx="426">
                  <c:v>42138</c:v>
                </c:pt>
                <c:pt idx="427">
                  <c:v>42137</c:v>
                </c:pt>
                <c:pt idx="428">
                  <c:v>42136</c:v>
                </c:pt>
                <c:pt idx="429">
                  <c:v>42135</c:v>
                </c:pt>
                <c:pt idx="430">
                  <c:v>42132</c:v>
                </c:pt>
                <c:pt idx="431">
                  <c:v>42131</c:v>
                </c:pt>
                <c:pt idx="432">
                  <c:v>42130</c:v>
                </c:pt>
                <c:pt idx="433">
                  <c:v>42129</c:v>
                </c:pt>
                <c:pt idx="434">
                  <c:v>42128</c:v>
                </c:pt>
                <c:pt idx="435">
                  <c:v>42125</c:v>
                </c:pt>
                <c:pt idx="436">
                  <c:v>42124</c:v>
                </c:pt>
                <c:pt idx="437">
                  <c:v>42123</c:v>
                </c:pt>
                <c:pt idx="438">
                  <c:v>42122</c:v>
                </c:pt>
                <c:pt idx="439">
                  <c:v>42121</c:v>
                </c:pt>
                <c:pt idx="440">
                  <c:v>42118</c:v>
                </c:pt>
                <c:pt idx="441">
                  <c:v>42117</c:v>
                </c:pt>
                <c:pt idx="442">
                  <c:v>42116</c:v>
                </c:pt>
                <c:pt idx="443">
                  <c:v>42115</c:v>
                </c:pt>
                <c:pt idx="444">
                  <c:v>42114</c:v>
                </c:pt>
                <c:pt idx="445">
                  <c:v>42111</c:v>
                </c:pt>
                <c:pt idx="446">
                  <c:v>42110</c:v>
                </c:pt>
                <c:pt idx="447">
                  <c:v>42109</c:v>
                </c:pt>
                <c:pt idx="448">
                  <c:v>42108</c:v>
                </c:pt>
                <c:pt idx="449">
                  <c:v>42107</c:v>
                </c:pt>
                <c:pt idx="450">
                  <c:v>42104</c:v>
                </c:pt>
                <c:pt idx="451">
                  <c:v>42103</c:v>
                </c:pt>
                <c:pt idx="452">
                  <c:v>42102</c:v>
                </c:pt>
                <c:pt idx="453">
                  <c:v>42101</c:v>
                </c:pt>
                <c:pt idx="454">
                  <c:v>42100</c:v>
                </c:pt>
                <c:pt idx="455">
                  <c:v>42097</c:v>
                </c:pt>
                <c:pt idx="456">
                  <c:v>42096</c:v>
                </c:pt>
                <c:pt idx="457">
                  <c:v>42095</c:v>
                </c:pt>
                <c:pt idx="458">
                  <c:v>42094</c:v>
                </c:pt>
                <c:pt idx="459">
                  <c:v>42093</c:v>
                </c:pt>
                <c:pt idx="460">
                  <c:v>42090</c:v>
                </c:pt>
                <c:pt idx="461">
                  <c:v>42089</c:v>
                </c:pt>
                <c:pt idx="462">
                  <c:v>42088</c:v>
                </c:pt>
                <c:pt idx="463">
                  <c:v>42087</c:v>
                </c:pt>
                <c:pt idx="464">
                  <c:v>42086</c:v>
                </c:pt>
                <c:pt idx="465">
                  <c:v>42083</c:v>
                </c:pt>
                <c:pt idx="466">
                  <c:v>42082</c:v>
                </c:pt>
                <c:pt idx="467">
                  <c:v>42081</c:v>
                </c:pt>
                <c:pt idx="468">
                  <c:v>42080</c:v>
                </c:pt>
                <c:pt idx="469">
                  <c:v>42079</c:v>
                </c:pt>
                <c:pt idx="470">
                  <c:v>42076</c:v>
                </c:pt>
                <c:pt idx="471">
                  <c:v>42075</c:v>
                </c:pt>
                <c:pt idx="472">
                  <c:v>42074</c:v>
                </c:pt>
                <c:pt idx="473">
                  <c:v>42073</c:v>
                </c:pt>
                <c:pt idx="474">
                  <c:v>42072</c:v>
                </c:pt>
                <c:pt idx="475">
                  <c:v>42069</c:v>
                </c:pt>
                <c:pt idx="476">
                  <c:v>42068</c:v>
                </c:pt>
                <c:pt idx="477">
                  <c:v>42067</c:v>
                </c:pt>
                <c:pt idx="478">
                  <c:v>42066</c:v>
                </c:pt>
                <c:pt idx="479">
                  <c:v>42065</c:v>
                </c:pt>
                <c:pt idx="480">
                  <c:v>42062</c:v>
                </c:pt>
                <c:pt idx="481">
                  <c:v>42061</c:v>
                </c:pt>
                <c:pt idx="482">
                  <c:v>42060</c:v>
                </c:pt>
                <c:pt idx="483">
                  <c:v>42059</c:v>
                </c:pt>
                <c:pt idx="484">
                  <c:v>42058</c:v>
                </c:pt>
                <c:pt idx="485">
                  <c:v>42055</c:v>
                </c:pt>
                <c:pt idx="486">
                  <c:v>42054</c:v>
                </c:pt>
                <c:pt idx="487">
                  <c:v>42053</c:v>
                </c:pt>
                <c:pt idx="488">
                  <c:v>42052</c:v>
                </c:pt>
                <c:pt idx="489">
                  <c:v>42051</c:v>
                </c:pt>
                <c:pt idx="490">
                  <c:v>42048</c:v>
                </c:pt>
                <c:pt idx="491">
                  <c:v>42047</c:v>
                </c:pt>
                <c:pt idx="492">
                  <c:v>42046</c:v>
                </c:pt>
                <c:pt idx="493">
                  <c:v>42045</c:v>
                </c:pt>
                <c:pt idx="494">
                  <c:v>42044</c:v>
                </c:pt>
                <c:pt idx="495">
                  <c:v>42041</c:v>
                </c:pt>
                <c:pt idx="496">
                  <c:v>42040</c:v>
                </c:pt>
                <c:pt idx="497">
                  <c:v>42039</c:v>
                </c:pt>
                <c:pt idx="498">
                  <c:v>42038</c:v>
                </c:pt>
                <c:pt idx="499">
                  <c:v>42037</c:v>
                </c:pt>
                <c:pt idx="500">
                  <c:v>42034</c:v>
                </c:pt>
                <c:pt idx="501">
                  <c:v>42033</c:v>
                </c:pt>
                <c:pt idx="502">
                  <c:v>42032</c:v>
                </c:pt>
                <c:pt idx="503">
                  <c:v>42031</c:v>
                </c:pt>
                <c:pt idx="504">
                  <c:v>42030</c:v>
                </c:pt>
                <c:pt idx="505">
                  <c:v>42027</c:v>
                </c:pt>
                <c:pt idx="506">
                  <c:v>42026</c:v>
                </c:pt>
                <c:pt idx="507">
                  <c:v>42025</c:v>
                </c:pt>
                <c:pt idx="508">
                  <c:v>42024</c:v>
                </c:pt>
                <c:pt idx="509">
                  <c:v>42023</c:v>
                </c:pt>
                <c:pt idx="510">
                  <c:v>42020</c:v>
                </c:pt>
                <c:pt idx="511">
                  <c:v>42019</c:v>
                </c:pt>
                <c:pt idx="512">
                  <c:v>42018</c:v>
                </c:pt>
                <c:pt idx="513">
                  <c:v>42017</c:v>
                </c:pt>
                <c:pt idx="514">
                  <c:v>42016</c:v>
                </c:pt>
                <c:pt idx="515">
                  <c:v>42013</c:v>
                </c:pt>
                <c:pt idx="516">
                  <c:v>42012</c:v>
                </c:pt>
                <c:pt idx="517">
                  <c:v>42011</c:v>
                </c:pt>
                <c:pt idx="518">
                  <c:v>42010</c:v>
                </c:pt>
                <c:pt idx="519">
                  <c:v>42009</c:v>
                </c:pt>
                <c:pt idx="520">
                  <c:v>42006</c:v>
                </c:pt>
                <c:pt idx="521">
                  <c:v>42005</c:v>
                </c:pt>
                <c:pt idx="522">
                  <c:v>42004</c:v>
                </c:pt>
                <c:pt idx="523">
                  <c:v>42003</c:v>
                </c:pt>
                <c:pt idx="524">
                  <c:v>42002</c:v>
                </c:pt>
                <c:pt idx="525">
                  <c:v>41999</c:v>
                </c:pt>
                <c:pt idx="526">
                  <c:v>41998</c:v>
                </c:pt>
                <c:pt idx="527">
                  <c:v>41997</c:v>
                </c:pt>
                <c:pt idx="528">
                  <c:v>41996</c:v>
                </c:pt>
                <c:pt idx="529">
                  <c:v>41995</c:v>
                </c:pt>
                <c:pt idx="530">
                  <c:v>41992</c:v>
                </c:pt>
                <c:pt idx="531">
                  <c:v>41991</c:v>
                </c:pt>
                <c:pt idx="532">
                  <c:v>41990</c:v>
                </c:pt>
                <c:pt idx="533">
                  <c:v>41989</c:v>
                </c:pt>
                <c:pt idx="534">
                  <c:v>41988</c:v>
                </c:pt>
                <c:pt idx="535">
                  <c:v>41985</c:v>
                </c:pt>
                <c:pt idx="536">
                  <c:v>41984</c:v>
                </c:pt>
                <c:pt idx="537">
                  <c:v>41983</c:v>
                </c:pt>
                <c:pt idx="538">
                  <c:v>41982</c:v>
                </c:pt>
                <c:pt idx="539">
                  <c:v>41981</c:v>
                </c:pt>
                <c:pt idx="540">
                  <c:v>41978</c:v>
                </c:pt>
                <c:pt idx="541">
                  <c:v>41977</c:v>
                </c:pt>
                <c:pt idx="542">
                  <c:v>41976</c:v>
                </c:pt>
                <c:pt idx="543">
                  <c:v>41975</c:v>
                </c:pt>
                <c:pt idx="544">
                  <c:v>41974</c:v>
                </c:pt>
                <c:pt idx="545">
                  <c:v>41971</c:v>
                </c:pt>
                <c:pt idx="546">
                  <c:v>41970</c:v>
                </c:pt>
                <c:pt idx="547">
                  <c:v>41969</c:v>
                </c:pt>
                <c:pt idx="548">
                  <c:v>41968</c:v>
                </c:pt>
                <c:pt idx="549">
                  <c:v>41967</c:v>
                </c:pt>
                <c:pt idx="550">
                  <c:v>41964</c:v>
                </c:pt>
                <c:pt idx="551">
                  <c:v>41963</c:v>
                </c:pt>
                <c:pt idx="552">
                  <c:v>41962</c:v>
                </c:pt>
                <c:pt idx="553">
                  <c:v>41961</c:v>
                </c:pt>
                <c:pt idx="554">
                  <c:v>41960</c:v>
                </c:pt>
                <c:pt idx="555">
                  <c:v>41957</c:v>
                </c:pt>
                <c:pt idx="556">
                  <c:v>41956</c:v>
                </c:pt>
                <c:pt idx="557">
                  <c:v>41955</c:v>
                </c:pt>
                <c:pt idx="558">
                  <c:v>41954</c:v>
                </c:pt>
                <c:pt idx="559">
                  <c:v>41953</c:v>
                </c:pt>
                <c:pt idx="560">
                  <c:v>41950</c:v>
                </c:pt>
                <c:pt idx="561">
                  <c:v>41949</c:v>
                </c:pt>
                <c:pt idx="562">
                  <c:v>41948</c:v>
                </c:pt>
                <c:pt idx="563">
                  <c:v>41947</c:v>
                </c:pt>
                <c:pt idx="564">
                  <c:v>41946</c:v>
                </c:pt>
                <c:pt idx="565">
                  <c:v>41943</c:v>
                </c:pt>
                <c:pt idx="566">
                  <c:v>41942</c:v>
                </c:pt>
                <c:pt idx="567">
                  <c:v>41941</c:v>
                </c:pt>
                <c:pt idx="568">
                  <c:v>41940</c:v>
                </c:pt>
                <c:pt idx="569">
                  <c:v>41939</c:v>
                </c:pt>
                <c:pt idx="570">
                  <c:v>41936</c:v>
                </c:pt>
                <c:pt idx="571">
                  <c:v>41935</c:v>
                </c:pt>
                <c:pt idx="572">
                  <c:v>41934</c:v>
                </c:pt>
                <c:pt idx="573">
                  <c:v>41933</c:v>
                </c:pt>
                <c:pt idx="574">
                  <c:v>41932</c:v>
                </c:pt>
                <c:pt idx="575">
                  <c:v>41929</c:v>
                </c:pt>
                <c:pt idx="576">
                  <c:v>41928</c:v>
                </c:pt>
                <c:pt idx="577">
                  <c:v>41927</c:v>
                </c:pt>
                <c:pt idx="578">
                  <c:v>41926</c:v>
                </c:pt>
                <c:pt idx="579">
                  <c:v>41925</c:v>
                </c:pt>
                <c:pt idx="580">
                  <c:v>41922</c:v>
                </c:pt>
                <c:pt idx="581">
                  <c:v>41921</c:v>
                </c:pt>
                <c:pt idx="582">
                  <c:v>41920</c:v>
                </c:pt>
                <c:pt idx="583">
                  <c:v>41919</c:v>
                </c:pt>
                <c:pt idx="584">
                  <c:v>41918</c:v>
                </c:pt>
                <c:pt idx="585">
                  <c:v>41915</c:v>
                </c:pt>
                <c:pt idx="586">
                  <c:v>41914</c:v>
                </c:pt>
                <c:pt idx="587">
                  <c:v>41913</c:v>
                </c:pt>
                <c:pt idx="588">
                  <c:v>41912</c:v>
                </c:pt>
                <c:pt idx="589">
                  <c:v>41911</c:v>
                </c:pt>
                <c:pt idx="590">
                  <c:v>41908</c:v>
                </c:pt>
                <c:pt idx="591">
                  <c:v>41907</c:v>
                </c:pt>
                <c:pt idx="592">
                  <c:v>41906</c:v>
                </c:pt>
                <c:pt idx="593">
                  <c:v>41905</c:v>
                </c:pt>
                <c:pt idx="594">
                  <c:v>41904</c:v>
                </c:pt>
                <c:pt idx="595">
                  <c:v>41901</c:v>
                </c:pt>
                <c:pt idx="596">
                  <c:v>41900</c:v>
                </c:pt>
                <c:pt idx="597">
                  <c:v>41899</c:v>
                </c:pt>
                <c:pt idx="598">
                  <c:v>41898</c:v>
                </c:pt>
                <c:pt idx="599">
                  <c:v>41897</c:v>
                </c:pt>
                <c:pt idx="600">
                  <c:v>41894</c:v>
                </c:pt>
                <c:pt idx="601">
                  <c:v>41893</c:v>
                </c:pt>
                <c:pt idx="602">
                  <c:v>41892</c:v>
                </c:pt>
                <c:pt idx="603">
                  <c:v>41891</c:v>
                </c:pt>
                <c:pt idx="604">
                  <c:v>41890</c:v>
                </c:pt>
                <c:pt idx="605">
                  <c:v>41887</c:v>
                </c:pt>
                <c:pt idx="606">
                  <c:v>41886</c:v>
                </c:pt>
                <c:pt idx="607">
                  <c:v>41885</c:v>
                </c:pt>
                <c:pt idx="608">
                  <c:v>41884</c:v>
                </c:pt>
                <c:pt idx="609">
                  <c:v>41883</c:v>
                </c:pt>
                <c:pt idx="610">
                  <c:v>41880</c:v>
                </c:pt>
                <c:pt idx="611">
                  <c:v>41879</c:v>
                </c:pt>
                <c:pt idx="612">
                  <c:v>41878</c:v>
                </c:pt>
                <c:pt idx="613">
                  <c:v>41877</c:v>
                </c:pt>
                <c:pt idx="614">
                  <c:v>41876</c:v>
                </c:pt>
                <c:pt idx="615">
                  <c:v>41873</c:v>
                </c:pt>
                <c:pt idx="616">
                  <c:v>41872</c:v>
                </c:pt>
                <c:pt idx="617">
                  <c:v>41871</c:v>
                </c:pt>
                <c:pt idx="618">
                  <c:v>41870</c:v>
                </c:pt>
                <c:pt idx="619">
                  <c:v>41869</c:v>
                </c:pt>
                <c:pt idx="620">
                  <c:v>41866</c:v>
                </c:pt>
                <c:pt idx="621">
                  <c:v>41865</c:v>
                </c:pt>
                <c:pt idx="622">
                  <c:v>41864</c:v>
                </c:pt>
                <c:pt idx="623">
                  <c:v>41863</c:v>
                </c:pt>
                <c:pt idx="624">
                  <c:v>41862</c:v>
                </c:pt>
                <c:pt idx="625">
                  <c:v>41859</c:v>
                </c:pt>
                <c:pt idx="626">
                  <c:v>41858</c:v>
                </c:pt>
                <c:pt idx="627">
                  <c:v>41857</c:v>
                </c:pt>
                <c:pt idx="628">
                  <c:v>41856</c:v>
                </c:pt>
                <c:pt idx="629">
                  <c:v>41855</c:v>
                </c:pt>
                <c:pt idx="630">
                  <c:v>41852</c:v>
                </c:pt>
                <c:pt idx="631">
                  <c:v>41851</c:v>
                </c:pt>
                <c:pt idx="632">
                  <c:v>41850</c:v>
                </c:pt>
                <c:pt idx="633">
                  <c:v>41849</c:v>
                </c:pt>
                <c:pt idx="634">
                  <c:v>41848</c:v>
                </c:pt>
                <c:pt idx="635">
                  <c:v>41845</c:v>
                </c:pt>
                <c:pt idx="636">
                  <c:v>41844</c:v>
                </c:pt>
                <c:pt idx="637">
                  <c:v>41843</c:v>
                </c:pt>
                <c:pt idx="638">
                  <c:v>41842</c:v>
                </c:pt>
                <c:pt idx="639">
                  <c:v>41841</c:v>
                </c:pt>
                <c:pt idx="640">
                  <c:v>41838</c:v>
                </c:pt>
                <c:pt idx="641">
                  <c:v>41837</c:v>
                </c:pt>
                <c:pt idx="642">
                  <c:v>41836</c:v>
                </c:pt>
                <c:pt idx="643">
                  <c:v>41835</c:v>
                </c:pt>
                <c:pt idx="644">
                  <c:v>41834</c:v>
                </c:pt>
                <c:pt idx="645">
                  <c:v>41831</c:v>
                </c:pt>
                <c:pt idx="646">
                  <c:v>41830</c:v>
                </c:pt>
                <c:pt idx="647">
                  <c:v>41829</c:v>
                </c:pt>
                <c:pt idx="648">
                  <c:v>41828</c:v>
                </c:pt>
                <c:pt idx="649">
                  <c:v>41827</c:v>
                </c:pt>
                <c:pt idx="650">
                  <c:v>41824</c:v>
                </c:pt>
                <c:pt idx="651">
                  <c:v>41823</c:v>
                </c:pt>
                <c:pt idx="652">
                  <c:v>41822</c:v>
                </c:pt>
                <c:pt idx="653">
                  <c:v>41821</c:v>
                </c:pt>
                <c:pt idx="654">
                  <c:v>41820</c:v>
                </c:pt>
                <c:pt idx="655">
                  <c:v>41817</c:v>
                </c:pt>
                <c:pt idx="656">
                  <c:v>41816</c:v>
                </c:pt>
                <c:pt idx="657">
                  <c:v>41815</c:v>
                </c:pt>
                <c:pt idx="658">
                  <c:v>41814</c:v>
                </c:pt>
                <c:pt idx="659">
                  <c:v>41813</c:v>
                </c:pt>
                <c:pt idx="660">
                  <c:v>41810</c:v>
                </c:pt>
                <c:pt idx="661">
                  <c:v>41809</c:v>
                </c:pt>
                <c:pt idx="662">
                  <c:v>41808</c:v>
                </c:pt>
                <c:pt idx="663">
                  <c:v>41807</c:v>
                </c:pt>
                <c:pt idx="664">
                  <c:v>41806</c:v>
                </c:pt>
                <c:pt idx="665">
                  <c:v>41803</c:v>
                </c:pt>
                <c:pt idx="666">
                  <c:v>41802</c:v>
                </c:pt>
                <c:pt idx="667">
                  <c:v>41801</c:v>
                </c:pt>
                <c:pt idx="668">
                  <c:v>41800</c:v>
                </c:pt>
                <c:pt idx="669">
                  <c:v>41799</c:v>
                </c:pt>
                <c:pt idx="670">
                  <c:v>41796</c:v>
                </c:pt>
                <c:pt idx="671">
                  <c:v>41795</c:v>
                </c:pt>
                <c:pt idx="672">
                  <c:v>41794</c:v>
                </c:pt>
                <c:pt idx="673">
                  <c:v>41793</c:v>
                </c:pt>
                <c:pt idx="674">
                  <c:v>41792</c:v>
                </c:pt>
                <c:pt idx="675">
                  <c:v>41789</c:v>
                </c:pt>
                <c:pt idx="676">
                  <c:v>41788</c:v>
                </c:pt>
                <c:pt idx="677">
                  <c:v>41787</c:v>
                </c:pt>
                <c:pt idx="678">
                  <c:v>41786</c:v>
                </c:pt>
                <c:pt idx="679">
                  <c:v>41785</c:v>
                </c:pt>
                <c:pt idx="680">
                  <c:v>41782</c:v>
                </c:pt>
                <c:pt idx="681">
                  <c:v>41781</c:v>
                </c:pt>
                <c:pt idx="682">
                  <c:v>41780</c:v>
                </c:pt>
                <c:pt idx="683">
                  <c:v>41779</c:v>
                </c:pt>
                <c:pt idx="684">
                  <c:v>41778</c:v>
                </c:pt>
                <c:pt idx="685">
                  <c:v>41775</c:v>
                </c:pt>
                <c:pt idx="686">
                  <c:v>41774</c:v>
                </c:pt>
                <c:pt idx="687">
                  <c:v>41773</c:v>
                </c:pt>
                <c:pt idx="688">
                  <c:v>41772</c:v>
                </c:pt>
                <c:pt idx="689">
                  <c:v>41771</c:v>
                </c:pt>
                <c:pt idx="690">
                  <c:v>41768</c:v>
                </c:pt>
                <c:pt idx="691">
                  <c:v>41767</c:v>
                </c:pt>
                <c:pt idx="692">
                  <c:v>41766</c:v>
                </c:pt>
                <c:pt idx="693">
                  <c:v>41765</c:v>
                </c:pt>
                <c:pt idx="694">
                  <c:v>41764</c:v>
                </c:pt>
                <c:pt idx="695">
                  <c:v>41761</c:v>
                </c:pt>
                <c:pt idx="696">
                  <c:v>41760</c:v>
                </c:pt>
                <c:pt idx="697">
                  <c:v>41759</c:v>
                </c:pt>
                <c:pt idx="698">
                  <c:v>41758</c:v>
                </c:pt>
                <c:pt idx="699">
                  <c:v>41757</c:v>
                </c:pt>
                <c:pt idx="700">
                  <c:v>41754</c:v>
                </c:pt>
                <c:pt idx="701">
                  <c:v>41753</c:v>
                </c:pt>
              </c:numCache>
            </c:numRef>
          </c:cat>
          <c:val>
            <c:numRef>
              <c:f>Datos!$B$4:$B$2000</c:f>
              <c:numCache>
                <c:formatCode>0.00000000</c:formatCode>
                <c:ptCount val="1997"/>
                <c:pt idx="0">
                  <c:v>1171.4041</c:v>
                </c:pt>
                <c:pt idx="1">
                  <c:v>1170.23</c:v>
                </c:pt>
                <c:pt idx="2">
                  <c:v>1169.5847000000001</c:v>
                </c:pt>
                <c:pt idx="3">
                  <c:v>1168.4743000000001</c:v>
                </c:pt>
                <c:pt idx="4">
                  <c:v>1167.8352</c:v>
                </c:pt>
                <c:pt idx="5">
                  <c:v>1167.2782999999999</c:v>
                </c:pt>
                <c:pt idx="6">
                  <c:v>1166.4740999999999</c:v>
                </c:pt>
                <c:pt idx="7">
                  <c:v>1165.8163</c:v>
                </c:pt>
                <c:pt idx="8">
                  <c:v>1164.5920000000001</c:v>
                </c:pt>
                <c:pt idx="9">
                  <c:v>1163.3425</c:v>
                </c:pt>
                <c:pt idx="10">
                  <c:v>1162.2696000000001</c:v>
                </c:pt>
                <c:pt idx="11">
                  <c:v>1161.9340999999999</c:v>
                </c:pt>
                <c:pt idx="12">
                  <c:v>1160.4115999999999</c:v>
                </c:pt>
                <c:pt idx="13">
                  <c:v>1160.001</c:v>
                </c:pt>
                <c:pt idx="14">
                  <c:v>1159.8271</c:v>
                </c:pt>
                <c:pt idx="15">
                  <c:v>1159.0262</c:v>
                </c:pt>
                <c:pt idx="16">
                  <c:v>1157.6572000000001</c:v>
                </c:pt>
                <c:pt idx="17">
                  <c:v>1157.4969000000001</c:v>
                </c:pt>
                <c:pt idx="18">
                  <c:v>1157.3140000000001</c:v>
                </c:pt>
                <c:pt idx="19">
                  <c:v>1156.5612000000001</c:v>
                </c:pt>
                <c:pt idx="20">
                  <c:v>1155.6088999999999</c:v>
                </c:pt>
                <c:pt idx="21">
                  <c:v>1155.3320000000001</c:v>
                </c:pt>
                <c:pt idx="22">
                  <c:v>1154.7641000000001</c:v>
                </c:pt>
                <c:pt idx="23">
                  <c:v>1154.3323</c:v>
                </c:pt>
                <c:pt idx="24">
                  <c:v>1154.1415</c:v>
                </c:pt>
                <c:pt idx="25">
                  <c:v>1153.9114999999999</c:v>
                </c:pt>
                <c:pt idx="26">
                  <c:v>1153.6113</c:v>
                </c:pt>
                <c:pt idx="27">
                  <c:v>1153.6180999999999</c:v>
                </c:pt>
                <c:pt idx="28">
                  <c:v>1153.2956999999999</c:v>
                </c:pt>
                <c:pt idx="29">
                  <c:v>1153.2473</c:v>
                </c:pt>
                <c:pt idx="30">
                  <c:v>1152.3797999999999</c:v>
                </c:pt>
                <c:pt idx="31">
                  <c:v>1152.1164000000001</c:v>
                </c:pt>
                <c:pt idx="32">
                  <c:v>1152.2038</c:v>
                </c:pt>
                <c:pt idx="33">
                  <c:v>1153.4701</c:v>
                </c:pt>
                <c:pt idx="34">
                  <c:v>1158.433</c:v>
                </c:pt>
                <c:pt idx="35">
                  <c:v>1160.5093999999999</c:v>
                </c:pt>
                <c:pt idx="36">
                  <c:v>1162.0391</c:v>
                </c:pt>
                <c:pt idx="37">
                  <c:v>1162.6424999999999</c:v>
                </c:pt>
                <c:pt idx="38">
                  <c:v>1162.7568000000001</c:v>
                </c:pt>
                <c:pt idx="39">
                  <c:v>1162.7671</c:v>
                </c:pt>
                <c:pt idx="40">
                  <c:v>1162.4664</c:v>
                </c:pt>
                <c:pt idx="41">
                  <c:v>1163.1769999999999</c:v>
                </c:pt>
                <c:pt idx="42">
                  <c:v>1164.2048</c:v>
                </c:pt>
                <c:pt idx="43">
                  <c:v>1164.7149999999999</c:v>
                </c:pt>
                <c:pt idx="44">
                  <c:v>1164.5755999999999</c:v>
                </c:pt>
                <c:pt idx="45">
                  <c:v>1164.1505</c:v>
                </c:pt>
                <c:pt idx="46">
                  <c:v>1164.7919999999999</c:v>
                </c:pt>
                <c:pt idx="47">
                  <c:v>1164.6185</c:v>
                </c:pt>
                <c:pt idx="48">
                  <c:v>1164.9315999999999</c:v>
                </c:pt>
                <c:pt idx="49">
                  <c:v>1164.9419</c:v>
                </c:pt>
                <c:pt idx="50">
                  <c:v>1166.3182999999999</c:v>
                </c:pt>
                <c:pt idx="51">
                  <c:v>1166.9157</c:v>
                </c:pt>
                <c:pt idx="52">
                  <c:v>1167.6445000000001</c:v>
                </c:pt>
                <c:pt idx="53">
                  <c:v>1167.5028</c:v>
                </c:pt>
                <c:pt idx="54">
                  <c:v>1168.2598</c:v>
                </c:pt>
                <c:pt idx="55">
                  <c:v>1168.1251999999999</c:v>
                </c:pt>
                <c:pt idx="56">
                  <c:v>1168.8267000000001</c:v>
                </c:pt>
                <c:pt idx="57">
                  <c:v>1169.106</c:v>
                </c:pt>
                <c:pt idx="58">
                  <c:v>1169.5042000000001</c:v>
                </c:pt>
                <c:pt idx="59">
                  <c:v>1170.0034000000001</c:v>
                </c:pt>
                <c:pt idx="60">
                  <c:v>1169.7357</c:v>
                </c:pt>
                <c:pt idx="61">
                  <c:v>1169.0437999999999</c:v>
                </c:pt>
                <c:pt idx="62">
                  <c:v>1168.6727000000001</c:v>
                </c:pt>
                <c:pt idx="63">
                  <c:v>1168.1641999999999</c:v>
                </c:pt>
                <c:pt idx="64">
                  <c:v>1167.7892999999999</c:v>
                </c:pt>
                <c:pt idx="65">
                  <c:v>1167.5776000000001</c:v>
                </c:pt>
                <c:pt idx="66">
                  <c:v>1167.1808000000001</c:v>
                </c:pt>
                <c:pt idx="67">
                  <c:v>1166.6093000000001</c:v>
                </c:pt>
                <c:pt idx="68">
                  <c:v>1165.9540999999999</c:v>
                </c:pt>
                <c:pt idx="69">
                  <c:v>1165.5442</c:v>
                </c:pt>
                <c:pt idx="70">
                  <c:v>1165.2104999999999</c:v>
                </c:pt>
                <c:pt idx="71">
                  <c:v>1164.6821</c:v>
                </c:pt>
                <c:pt idx="72">
                  <c:v>1164.2665999999999</c:v>
                </c:pt>
                <c:pt idx="73">
                  <c:v>1163.702</c:v>
                </c:pt>
                <c:pt idx="74">
                  <c:v>1163.5622000000001</c:v>
                </c:pt>
                <c:pt idx="75">
                  <c:v>1163.3411000000001</c:v>
                </c:pt>
                <c:pt idx="76">
                  <c:v>1163.1539</c:v>
                </c:pt>
                <c:pt idx="77">
                  <c:v>1162.8366000000001</c:v>
                </c:pt>
                <c:pt idx="78">
                  <c:v>1162.7122999999999</c:v>
                </c:pt>
                <c:pt idx="79">
                  <c:v>1162.6744000000001</c:v>
                </c:pt>
                <c:pt idx="80">
                  <c:v>1162.8300999999999</c:v>
                </c:pt>
                <c:pt idx="81">
                  <c:v>1162.3929000000001</c:v>
                </c:pt>
                <c:pt idx="82">
                  <c:v>1161.9745</c:v>
                </c:pt>
                <c:pt idx="83">
                  <c:v>1161.6991</c:v>
                </c:pt>
                <c:pt idx="84">
                  <c:v>1161.4998000000001</c:v>
                </c:pt>
                <c:pt idx="85">
                  <c:v>1160.9728</c:v>
                </c:pt>
                <c:pt idx="86">
                  <c:v>1160.4844000000001</c:v>
                </c:pt>
                <c:pt idx="87">
                  <c:v>1160.2095999999999</c:v>
                </c:pt>
                <c:pt idx="88">
                  <c:v>1159.6138000000001</c:v>
                </c:pt>
                <c:pt idx="89">
                  <c:v>1158.9881</c:v>
                </c:pt>
                <c:pt idx="90">
                  <c:v>1158.3792000000001</c:v>
                </c:pt>
                <c:pt idx="91">
                  <c:v>1157.7715000000001</c:v>
                </c:pt>
                <c:pt idx="92">
                  <c:v>1157.4937</c:v>
                </c:pt>
                <c:pt idx="93">
                  <c:v>1157.1971000000001</c:v>
                </c:pt>
                <c:pt idx="94">
                  <c:v>1156.9815000000001</c:v>
                </c:pt>
                <c:pt idx="95">
                  <c:v>1156.6285</c:v>
                </c:pt>
                <c:pt idx="96">
                  <c:v>1156.4866</c:v>
                </c:pt>
                <c:pt idx="97">
                  <c:v>1156.1116</c:v>
                </c:pt>
                <c:pt idx="98">
                  <c:v>1155.289</c:v>
                </c:pt>
                <c:pt idx="99">
                  <c:v>1154.0708999999999</c:v>
                </c:pt>
                <c:pt idx="100">
                  <c:v>1153.6570999999999</c:v>
                </c:pt>
                <c:pt idx="101">
                  <c:v>1152.9703</c:v>
                </c:pt>
                <c:pt idx="102">
                  <c:v>1152.5474999999999</c:v>
                </c:pt>
                <c:pt idx="103">
                  <c:v>1152.223</c:v>
                </c:pt>
                <c:pt idx="104">
                  <c:v>1151.8097</c:v>
                </c:pt>
                <c:pt idx="105">
                  <c:v>1151.2340999999999</c:v>
                </c:pt>
                <c:pt idx="106">
                  <c:v>1151.2072000000001</c:v>
                </c:pt>
                <c:pt idx="107">
                  <c:v>1150.8918000000001</c:v>
                </c:pt>
                <c:pt idx="108">
                  <c:v>1150.6131</c:v>
                </c:pt>
                <c:pt idx="109">
                  <c:v>1150.1718000000001</c:v>
                </c:pt>
                <c:pt idx="110">
                  <c:v>1149.9431999999999</c:v>
                </c:pt>
                <c:pt idx="111">
                  <c:v>1149.9784</c:v>
                </c:pt>
                <c:pt idx="112">
                  <c:v>1150.4487999999999</c:v>
                </c:pt>
                <c:pt idx="113">
                  <c:v>1150.748</c:v>
                </c:pt>
                <c:pt idx="114">
                  <c:v>1150.8523</c:v>
                </c:pt>
                <c:pt idx="115">
                  <c:v>1150.5868</c:v>
                </c:pt>
                <c:pt idx="116">
                  <c:v>1150.5539000000001</c:v>
                </c:pt>
                <c:pt idx="117">
                  <c:v>1150.1315999999999</c:v>
                </c:pt>
                <c:pt idx="118">
                  <c:v>1150.0344</c:v>
                </c:pt>
                <c:pt idx="119">
                  <c:v>1149.8733999999999</c:v>
                </c:pt>
                <c:pt idx="120">
                  <c:v>1149.213</c:v>
                </c:pt>
                <c:pt idx="121">
                  <c:v>1148.9365</c:v>
                </c:pt>
                <c:pt idx="122">
                  <c:v>1148.6364000000001</c:v>
                </c:pt>
                <c:pt idx="123">
                  <c:v>1148.3732</c:v>
                </c:pt>
                <c:pt idx="124">
                  <c:v>1147.9521999999999</c:v>
                </c:pt>
                <c:pt idx="125">
                  <c:v>1146.8326999999999</c:v>
                </c:pt>
                <c:pt idx="126">
                  <c:v>1146.9366</c:v>
                </c:pt>
                <c:pt idx="127">
                  <c:v>1146.5513000000001</c:v>
                </c:pt>
                <c:pt idx="128">
                  <c:v>1146.2665999999999</c:v>
                </c:pt>
                <c:pt idx="129">
                  <c:v>1145.9423999999999</c:v>
                </c:pt>
                <c:pt idx="130">
                  <c:v>1145.3233</c:v>
                </c:pt>
                <c:pt idx="131">
                  <c:v>1144.8325</c:v>
                </c:pt>
                <c:pt idx="132">
                  <c:v>1144.3007</c:v>
                </c:pt>
                <c:pt idx="133">
                  <c:v>1144.0895</c:v>
                </c:pt>
                <c:pt idx="134">
                  <c:v>1143.8715</c:v>
                </c:pt>
                <c:pt idx="135">
                  <c:v>1143.4449999999999</c:v>
                </c:pt>
                <c:pt idx="136">
                  <c:v>1143.4002</c:v>
                </c:pt>
                <c:pt idx="137">
                  <c:v>1143.1947</c:v>
                </c:pt>
                <c:pt idx="138">
                  <c:v>1143.2598</c:v>
                </c:pt>
                <c:pt idx="139">
                  <c:v>1143.1654000000001</c:v>
                </c:pt>
                <c:pt idx="140">
                  <c:v>1142.8922</c:v>
                </c:pt>
                <c:pt idx="141">
                  <c:v>1142.7168999999999</c:v>
                </c:pt>
                <c:pt idx="142">
                  <c:v>1142.6253999999999</c:v>
                </c:pt>
                <c:pt idx="143">
                  <c:v>1142.6063999999999</c:v>
                </c:pt>
                <c:pt idx="144">
                  <c:v>1142.4512999999999</c:v>
                </c:pt>
                <c:pt idx="145">
                  <c:v>1142.0364</c:v>
                </c:pt>
                <c:pt idx="146">
                  <c:v>1142.0623000000001</c:v>
                </c:pt>
                <c:pt idx="147">
                  <c:v>1142.0813000000001</c:v>
                </c:pt>
                <c:pt idx="148">
                  <c:v>1141.6224999999999</c:v>
                </c:pt>
                <c:pt idx="149">
                  <c:v>1141.0975000000001</c:v>
                </c:pt>
                <c:pt idx="150">
                  <c:v>1140.9159</c:v>
                </c:pt>
                <c:pt idx="151">
                  <c:v>1140.46</c:v>
                </c:pt>
                <c:pt idx="152">
                  <c:v>1140.0219999999999</c:v>
                </c:pt>
                <c:pt idx="153">
                  <c:v>1139.8616</c:v>
                </c:pt>
                <c:pt idx="154">
                  <c:v>1139.4953</c:v>
                </c:pt>
                <c:pt idx="155">
                  <c:v>1138.5539000000001</c:v>
                </c:pt>
                <c:pt idx="156">
                  <c:v>1138.1068</c:v>
                </c:pt>
                <c:pt idx="157">
                  <c:v>1137.4360999999999</c:v>
                </c:pt>
                <c:pt idx="158">
                  <c:v>1137.1197</c:v>
                </c:pt>
                <c:pt idx="159">
                  <c:v>1136.7756999999999</c:v>
                </c:pt>
                <c:pt idx="160">
                  <c:v>1136.0146999999999</c:v>
                </c:pt>
                <c:pt idx="161">
                  <c:v>1135.5409999999999</c:v>
                </c:pt>
                <c:pt idx="162">
                  <c:v>1135.0645999999999</c:v>
                </c:pt>
                <c:pt idx="163">
                  <c:v>1134.3857</c:v>
                </c:pt>
                <c:pt idx="164">
                  <c:v>1134.0896</c:v>
                </c:pt>
                <c:pt idx="165">
                  <c:v>1133.5832</c:v>
                </c:pt>
                <c:pt idx="166">
                  <c:v>1133.2417</c:v>
                </c:pt>
                <c:pt idx="167">
                  <c:v>1132.7201</c:v>
                </c:pt>
                <c:pt idx="168">
                  <c:v>1132.3494000000001</c:v>
                </c:pt>
                <c:pt idx="169">
                  <c:v>1132.1632</c:v>
                </c:pt>
                <c:pt idx="170">
                  <c:v>1131.1771000000001</c:v>
                </c:pt>
                <c:pt idx="171">
                  <c:v>1130.9277999999999</c:v>
                </c:pt>
                <c:pt idx="172">
                  <c:v>1130.5418999999999</c:v>
                </c:pt>
                <c:pt idx="173">
                  <c:v>1130.2728999999999</c:v>
                </c:pt>
                <c:pt idx="174">
                  <c:v>1130.0802000000001</c:v>
                </c:pt>
                <c:pt idx="175">
                  <c:v>1129.7088000000001</c:v>
                </c:pt>
                <c:pt idx="176">
                  <c:v>1130.1243999999999</c:v>
                </c:pt>
                <c:pt idx="177">
                  <c:v>1130.1695</c:v>
                </c:pt>
                <c:pt idx="178">
                  <c:v>1130.1348</c:v>
                </c:pt>
                <c:pt idx="179">
                  <c:v>1129.9441999999999</c:v>
                </c:pt>
                <c:pt idx="180">
                  <c:v>1129.7319</c:v>
                </c:pt>
                <c:pt idx="181">
                  <c:v>1129.4623999999999</c:v>
                </c:pt>
                <c:pt idx="182">
                  <c:v>1129.586</c:v>
                </c:pt>
                <c:pt idx="183">
                  <c:v>1129.546</c:v>
                </c:pt>
                <c:pt idx="184">
                  <c:v>1129.3203000000001</c:v>
                </c:pt>
                <c:pt idx="185">
                  <c:v>1128.6498999999999</c:v>
                </c:pt>
                <c:pt idx="186">
                  <c:v>1128.4481000000001</c:v>
                </c:pt>
                <c:pt idx="187">
                  <c:v>1127.9428</c:v>
                </c:pt>
                <c:pt idx="188">
                  <c:v>1127.7906</c:v>
                </c:pt>
                <c:pt idx="189">
                  <c:v>1127.3891000000001</c:v>
                </c:pt>
                <c:pt idx="190">
                  <c:v>1127.7745</c:v>
                </c:pt>
                <c:pt idx="191">
                  <c:v>1127.6087</c:v>
                </c:pt>
                <c:pt idx="192">
                  <c:v>1127.2118</c:v>
                </c:pt>
                <c:pt idx="193">
                  <c:v>1126.7896000000001</c:v>
                </c:pt>
                <c:pt idx="194">
                  <c:v>1126.4038</c:v>
                </c:pt>
                <c:pt idx="195">
                  <c:v>1125.5500999999999</c:v>
                </c:pt>
                <c:pt idx="196">
                  <c:v>1125.1659</c:v>
                </c:pt>
                <c:pt idx="197">
                  <c:v>1125.0365999999999</c:v>
                </c:pt>
                <c:pt idx="198">
                  <c:v>1124.7407000000001</c:v>
                </c:pt>
                <c:pt idx="199">
                  <c:v>1124.6147000000001</c:v>
                </c:pt>
                <c:pt idx="200">
                  <c:v>1124.1564000000001</c:v>
                </c:pt>
                <c:pt idx="201">
                  <c:v>1123.9882</c:v>
                </c:pt>
                <c:pt idx="202">
                  <c:v>1123.8471</c:v>
                </c:pt>
                <c:pt idx="203">
                  <c:v>1123.5434</c:v>
                </c:pt>
                <c:pt idx="204">
                  <c:v>1122.8432</c:v>
                </c:pt>
                <c:pt idx="205">
                  <c:v>1122.3617999999999</c:v>
                </c:pt>
                <c:pt idx="206">
                  <c:v>1122.0895</c:v>
                </c:pt>
                <c:pt idx="207">
                  <c:v>1121.9373000000001</c:v>
                </c:pt>
                <c:pt idx="208">
                  <c:v>1121.6146000000001</c:v>
                </c:pt>
                <c:pt idx="209">
                  <c:v>1121.7789</c:v>
                </c:pt>
                <c:pt idx="210">
                  <c:v>1121.2828</c:v>
                </c:pt>
                <c:pt idx="211">
                  <c:v>1122.1814999999999</c:v>
                </c:pt>
                <c:pt idx="212">
                  <c:v>1122.2506000000001</c:v>
                </c:pt>
                <c:pt idx="213">
                  <c:v>1121.2457999999999</c:v>
                </c:pt>
                <c:pt idx="214">
                  <c:v>1121.5478000000001</c:v>
                </c:pt>
                <c:pt idx="215">
                  <c:v>1121.1146000000001</c:v>
                </c:pt>
                <c:pt idx="216">
                  <c:v>1121.2036000000001</c:v>
                </c:pt>
                <c:pt idx="217">
                  <c:v>1120.9993999999999</c:v>
                </c:pt>
                <c:pt idx="218">
                  <c:v>1120.6722</c:v>
                </c:pt>
                <c:pt idx="219">
                  <c:v>1120.3</c:v>
                </c:pt>
                <c:pt idx="220">
                  <c:v>1119.9638</c:v>
                </c:pt>
                <c:pt idx="221">
                  <c:v>1119.7786000000001</c:v>
                </c:pt>
                <c:pt idx="222">
                  <c:v>1119.4001000000001</c:v>
                </c:pt>
                <c:pt idx="223">
                  <c:v>1119.2718</c:v>
                </c:pt>
                <c:pt idx="224">
                  <c:v>1119.1776</c:v>
                </c:pt>
                <c:pt idx="225">
                  <c:v>1118.5101999999999</c:v>
                </c:pt>
                <c:pt idx="226">
                  <c:v>1118.2209</c:v>
                </c:pt>
                <c:pt idx="227">
                  <c:v>1117.7139999999999</c:v>
                </c:pt>
                <c:pt idx="228">
                  <c:v>1117.2786000000001</c:v>
                </c:pt>
                <c:pt idx="229">
                  <c:v>1116.3552</c:v>
                </c:pt>
                <c:pt idx="230">
                  <c:v>1115.6210000000001</c:v>
                </c:pt>
                <c:pt idx="231">
                  <c:v>1114.6550999999999</c:v>
                </c:pt>
                <c:pt idx="232">
                  <c:v>1114.0675000000001</c:v>
                </c:pt>
                <c:pt idx="233">
                  <c:v>1113.7736</c:v>
                </c:pt>
                <c:pt idx="234">
                  <c:v>1112.8202000000001</c:v>
                </c:pt>
                <c:pt idx="235">
                  <c:v>1112.9255000000001</c:v>
                </c:pt>
                <c:pt idx="236">
                  <c:v>1112.4724000000001</c:v>
                </c:pt>
                <c:pt idx="237">
                  <c:v>1111.7755</c:v>
                </c:pt>
                <c:pt idx="238">
                  <c:v>1110.7517</c:v>
                </c:pt>
                <c:pt idx="239">
                  <c:v>1109.7056</c:v>
                </c:pt>
                <c:pt idx="240">
                  <c:v>1109.1411000000001</c:v>
                </c:pt>
                <c:pt idx="241">
                  <c:v>1108.3679999999999</c:v>
                </c:pt>
                <c:pt idx="242">
                  <c:v>1107.7578000000001</c:v>
                </c:pt>
                <c:pt idx="243">
                  <c:v>1107.0547999999999</c:v>
                </c:pt>
                <c:pt idx="244">
                  <c:v>1106.4064000000001</c:v>
                </c:pt>
                <c:pt idx="245">
                  <c:v>1105.3412000000001</c:v>
                </c:pt>
                <c:pt idx="246">
                  <c:v>1104.8200999999999</c:v>
                </c:pt>
                <c:pt idx="247">
                  <c:v>1104.1469999999999</c:v>
                </c:pt>
                <c:pt idx="248">
                  <c:v>1103.5343</c:v>
                </c:pt>
                <c:pt idx="249">
                  <c:v>1102.6388999999999</c:v>
                </c:pt>
                <c:pt idx="250">
                  <c:v>1101.6371999999999</c:v>
                </c:pt>
                <c:pt idx="251">
                  <c:v>1101.0453</c:v>
                </c:pt>
                <c:pt idx="252">
                  <c:v>1100.6895999999999</c:v>
                </c:pt>
                <c:pt idx="253">
                  <c:v>1100.0352</c:v>
                </c:pt>
                <c:pt idx="254">
                  <c:v>1099.3873000000001</c:v>
                </c:pt>
                <c:pt idx="255">
                  <c:v>1098.9117000000001</c:v>
                </c:pt>
                <c:pt idx="256">
                  <c:v>1098.1166000000001</c:v>
                </c:pt>
                <c:pt idx="257">
                  <c:v>1097.2539999999999</c:v>
                </c:pt>
                <c:pt idx="258">
                  <c:v>1096.76</c:v>
                </c:pt>
                <c:pt idx="259">
                  <c:v>1096.1972000000001</c:v>
                </c:pt>
                <c:pt idx="260">
                  <c:v>1096.3983000000001</c:v>
                </c:pt>
                <c:pt idx="261">
                  <c:v>1096.3373999999999</c:v>
                </c:pt>
                <c:pt idx="262">
                  <c:v>1096.2391</c:v>
                </c:pt>
                <c:pt idx="263">
                  <c:v>1096.7097000000001</c:v>
                </c:pt>
                <c:pt idx="264">
                  <c:v>1096.8978999999999</c:v>
                </c:pt>
                <c:pt idx="265">
                  <c:v>1097.3462</c:v>
                </c:pt>
                <c:pt idx="266">
                  <c:v>1097.2536</c:v>
                </c:pt>
                <c:pt idx="267">
                  <c:v>1097.6495</c:v>
                </c:pt>
                <c:pt idx="268">
                  <c:v>1095.9848</c:v>
                </c:pt>
                <c:pt idx="269">
                  <c:v>1097.4608000000001</c:v>
                </c:pt>
                <c:pt idx="270">
                  <c:v>1097.3548000000001</c:v>
                </c:pt>
                <c:pt idx="271">
                  <c:v>1097.5264</c:v>
                </c:pt>
                <c:pt idx="272">
                  <c:v>1097.8974000000001</c:v>
                </c:pt>
                <c:pt idx="273">
                  <c:v>1098.0706</c:v>
                </c:pt>
                <c:pt idx="274">
                  <c:v>1098.6405999999999</c:v>
                </c:pt>
                <c:pt idx="275">
                  <c:v>1098.5554</c:v>
                </c:pt>
                <c:pt idx="276">
                  <c:v>1099.0986</c:v>
                </c:pt>
                <c:pt idx="277">
                  <c:v>1100.0289</c:v>
                </c:pt>
                <c:pt idx="278">
                  <c:v>1100.1965</c:v>
                </c:pt>
                <c:pt idx="279">
                  <c:v>1099.9781</c:v>
                </c:pt>
                <c:pt idx="280">
                  <c:v>1099.7174</c:v>
                </c:pt>
                <c:pt idx="281">
                  <c:v>1100.1496</c:v>
                </c:pt>
                <c:pt idx="282">
                  <c:v>1100.2456</c:v>
                </c:pt>
                <c:pt idx="283">
                  <c:v>1100.4157</c:v>
                </c:pt>
                <c:pt idx="284">
                  <c:v>1100.2514000000001</c:v>
                </c:pt>
                <c:pt idx="285">
                  <c:v>1099.9163000000001</c:v>
                </c:pt>
                <c:pt idx="286">
                  <c:v>1100.0710999999999</c:v>
                </c:pt>
                <c:pt idx="287">
                  <c:v>1100.0123000000001</c:v>
                </c:pt>
                <c:pt idx="288">
                  <c:v>1099.3577</c:v>
                </c:pt>
                <c:pt idx="289">
                  <c:v>1099.0975000000001</c:v>
                </c:pt>
                <c:pt idx="290">
                  <c:v>1098.0150000000001</c:v>
                </c:pt>
                <c:pt idx="291">
                  <c:v>1097.2786000000001</c:v>
                </c:pt>
                <c:pt idx="292">
                  <c:v>1096.9313999999999</c:v>
                </c:pt>
                <c:pt idx="293">
                  <c:v>1096.8182999999999</c:v>
                </c:pt>
                <c:pt idx="294">
                  <c:v>1096.5319999999999</c:v>
                </c:pt>
                <c:pt idx="295">
                  <c:v>1096.9864</c:v>
                </c:pt>
                <c:pt idx="296">
                  <c:v>1097.4152999999999</c:v>
                </c:pt>
                <c:pt idx="297">
                  <c:v>1098.0708</c:v>
                </c:pt>
                <c:pt idx="298">
                  <c:v>1098.7445</c:v>
                </c:pt>
                <c:pt idx="299">
                  <c:v>1098.6995999999999</c:v>
                </c:pt>
                <c:pt idx="300">
                  <c:v>1098.6677999999999</c:v>
                </c:pt>
                <c:pt idx="301">
                  <c:v>1098.7714000000001</c:v>
                </c:pt>
                <c:pt idx="302">
                  <c:v>1099.3898999999999</c:v>
                </c:pt>
                <c:pt idx="303">
                  <c:v>1100.2982</c:v>
                </c:pt>
                <c:pt idx="304">
                  <c:v>1100.4712999999999</c:v>
                </c:pt>
                <c:pt idx="305">
                  <c:v>1100.6768</c:v>
                </c:pt>
                <c:pt idx="306">
                  <c:v>1102.0431000000001</c:v>
                </c:pt>
                <c:pt idx="307">
                  <c:v>1102.5042000000001</c:v>
                </c:pt>
                <c:pt idx="308">
                  <c:v>1102.8004000000001</c:v>
                </c:pt>
                <c:pt idx="309">
                  <c:v>1102.6683</c:v>
                </c:pt>
                <c:pt idx="310">
                  <c:v>1102.0510999999999</c:v>
                </c:pt>
                <c:pt idx="311">
                  <c:v>1102.2654</c:v>
                </c:pt>
                <c:pt idx="312">
                  <c:v>1102.24</c:v>
                </c:pt>
                <c:pt idx="313">
                  <c:v>1102.4666</c:v>
                </c:pt>
                <c:pt idx="314">
                  <c:v>1102.6056000000001</c:v>
                </c:pt>
                <c:pt idx="315">
                  <c:v>1102.0868</c:v>
                </c:pt>
                <c:pt idx="316">
                  <c:v>1102.5064</c:v>
                </c:pt>
                <c:pt idx="317">
                  <c:v>1102.1067</c:v>
                </c:pt>
                <c:pt idx="318">
                  <c:v>1102.0841</c:v>
                </c:pt>
                <c:pt idx="319">
                  <c:v>1102.2858000000001</c:v>
                </c:pt>
                <c:pt idx="320">
                  <c:v>1101.606</c:v>
                </c:pt>
                <c:pt idx="321">
                  <c:v>1102.0296000000001</c:v>
                </c:pt>
                <c:pt idx="322">
                  <c:v>1101.9680000000001</c:v>
                </c:pt>
                <c:pt idx="323">
                  <c:v>1101.6110000000001</c:v>
                </c:pt>
                <c:pt idx="324">
                  <c:v>1101.2844</c:v>
                </c:pt>
                <c:pt idx="325">
                  <c:v>1100.9226000000001</c:v>
                </c:pt>
                <c:pt idx="326">
                  <c:v>1100.1642999999999</c:v>
                </c:pt>
                <c:pt idx="327">
                  <c:v>1100.4204999999999</c:v>
                </c:pt>
                <c:pt idx="328">
                  <c:v>1100.1793</c:v>
                </c:pt>
                <c:pt idx="329">
                  <c:v>1099.5797</c:v>
                </c:pt>
                <c:pt idx="330">
                  <c:v>1099.2706000000001</c:v>
                </c:pt>
                <c:pt idx="331">
                  <c:v>1098.8829000000001</c:v>
                </c:pt>
                <c:pt idx="332">
                  <c:v>1098.5573999999999</c:v>
                </c:pt>
                <c:pt idx="333">
                  <c:v>1097.7896000000001</c:v>
                </c:pt>
                <c:pt idx="334">
                  <c:v>1097.4289000000001</c:v>
                </c:pt>
                <c:pt idx="335">
                  <c:v>1096.8444999999999</c:v>
                </c:pt>
                <c:pt idx="336">
                  <c:v>1096.5569</c:v>
                </c:pt>
                <c:pt idx="337">
                  <c:v>1096.2853</c:v>
                </c:pt>
                <c:pt idx="338">
                  <c:v>1096.0152</c:v>
                </c:pt>
                <c:pt idx="339">
                  <c:v>1096.0316</c:v>
                </c:pt>
                <c:pt idx="340">
                  <c:v>1095.4936</c:v>
                </c:pt>
                <c:pt idx="341">
                  <c:v>1095.9037000000001</c:v>
                </c:pt>
                <c:pt idx="342">
                  <c:v>1096.2645</c:v>
                </c:pt>
                <c:pt idx="343">
                  <c:v>1097.1591000000001</c:v>
                </c:pt>
                <c:pt idx="344">
                  <c:v>1098.6804</c:v>
                </c:pt>
                <c:pt idx="345">
                  <c:v>1099.2562</c:v>
                </c:pt>
                <c:pt idx="346">
                  <c:v>1101.634</c:v>
                </c:pt>
                <c:pt idx="347">
                  <c:v>1101.9733000000001</c:v>
                </c:pt>
                <c:pt idx="348">
                  <c:v>1101.7637999999999</c:v>
                </c:pt>
                <c:pt idx="349">
                  <c:v>1102.0337999999999</c:v>
                </c:pt>
                <c:pt idx="350">
                  <c:v>1100.9988000000001</c:v>
                </c:pt>
                <c:pt idx="351">
                  <c:v>1100.6161</c:v>
                </c:pt>
                <c:pt idx="352">
                  <c:v>1100.5712000000001</c:v>
                </c:pt>
                <c:pt idx="353">
                  <c:v>1100.1487999999999</c:v>
                </c:pt>
                <c:pt idx="354">
                  <c:v>1099.8735999999999</c:v>
                </c:pt>
                <c:pt idx="355">
                  <c:v>1099.3051</c:v>
                </c:pt>
                <c:pt idx="356">
                  <c:v>1099.0093999999999</c:v>
                </c:pt>
                <c:pt idx="357">
                  <c:v>1098.4964</c:v>
                </c:pt>
                <c:pt idx="358">
                  <c:v>1098.3475000000001</c:v>
                </c:pt>
                <c:pt idx="359">
                  <c:v>1098.3815999999999</c:v>
                </c:pt>
                <c:pt idx="360">
                  <c:v>1097.6787999999999</c:v>
                </c:pt>
                <c:pt idx="361">
                  <c:v>1096.7311</c:v>
                </c:pt>
                <c:pt idx="362">
                  <c:v>1097.1587999999999</c:v>
                </c:pt>
                <c:pt idx="363">
                  <c:v>1096.7291</c:v>
                </c:pt>
                <c:pt idx="364">
                  <c:v>1096.7081000000001</c:v>
                </c:pt>
                <c:pt idx="365">
                  <c:v>1095.9006999999999</c:v>
                </c:pt>
                <c:pt idx="366">
                  <c:v>1094.711</c:v>
                </c:pt>
                <c:pt idx="367">
                  <c:v>1094.5735</c:v>
                </c:pt>
                <c:pt idx="368">
                  <c:v>1093.1065000000001</c:v>
                </c:pt>
                <c:pt idx="369">
                  <c:v>1092.8897999999999</c:v>
                </c:pt>
                <c:pt idx="370">
                  <c:v>1093.1351999999999</c:v>
                </c:pt>
                <c:pt idx="371">
                  <c:v>1092.1859999999999</c:v>
                </c:pt>
                <c:pt idx="372">
                  <c:v>1092.1065000000001</c:v>
                </c:pt>
                <c:pt idx="373">
                  <c:v>1091.5232000000001</c:v>
                </c:pt>
                <c:pt idx="374">
                  <c:v>1091.1327000000001</c:v>
                </c:pt>
                <c:pt idx="375">
                  <c:v>1090.2059999999999</c:v>
                </c:pt>
                <c:pt idx="376">
                  <c:v>1089.1868999999999</c:v>
                </c:pt>
                <c:pt idx="377">
                  <c:v>1087.8188</c:v>
                </c:pt>
                <c:pt idx="378">
                  <c:v>1087.3479</c:v>
                </c:pt>
                <c:pt idx="379">
                  <c:v>1086.7526</c:v>
                </c:pt>
                <c:pt idx="380">
                  <c:v>1086.0601999999999</c:v>
                </c:pt>
                <c:pt idx="381">
                  <c:v>1085.3158000000001</c:v>
                </c:pt>
                <c:pt idx="382">
                  <c:v>1085.1576</c:v>
                </c:pt>
                <c:pt idx="383">
                  <c:v>1083.8771999999999</c:v>
                </c:pt>
                <c:pt idx="384">
                  <c:v>1083.8771999999999</c:v>
                </c:pt>
                <c:pt idx="385">
                  <c:v>1082.6395</c:v>
                </c:pt>
                <c:pt idx="386">
                  <c:v>1082.4390000000001</c:v>
                </c:pt>
                <c:pt idx="387">
                  <c:v>1082.4444000000001</c:v>
                </c:pt>
                <c:pt idx="388">
                  <c:v>1082.1029000000001</c:v>
                </c:pt>
                <c:pt idx="389">
                  <c:v>1081.1528000000001</c:v>
                </c:pt>
                <c:pt idx="390">
                  <c:v>1080.8986</c:v>
                </c:pt>
                <c:pt idx="391">
                  <c:v>1080.2629999999999</c:v>
                </c:pt>
                <c:pt idx="392">
                  <c:v>1080.1507999999999</c:v>
                </c:pt>
                <c:pt idx="393">
                  <c:v>1079.7844</c:v>
                </c:pt>
                <c:pt idx="394">
                  <c:v>1079.4431</c:v>
                </c:pt>
                <c:pt idx="395">
                  <c:v>1079.0691999999999</c:v>
                </c:pt>
                <c:pt idx="396">
                  <c:v>1078.9338</c:v>
                </c:pt>
                <c:pt idx="397">
                  <c:v>1078.6614999999999</c:v>
                </c:pt>
                <c:pt idx="398">
                  <c:v>1078.3567</c:v>
                </c:pt>
                <c:pt idx="399">
                  <c:v>1078.5571</c:v>
                </c:pt>
                <c:pt idx="400">
                  <c:v>1078.0595000000001</c:v>
                </c:pt>
                <c:pt idx="401">
                  <c:v>1077.1192000000001</c:v>
                </c:pt>
                <c:pt idx="402">
                  <c:v>1076.5908999999999</c:v>
                </c:pt>
                <c:pt idx="403">
                  <c:v>1076.5350000000001</c:v>
                </c:pt>
                <c:pt idx="404">
                  <c:v>1076.0663</c:v>
                </c:pt>
                <c:pt idx="405">
                  <c:v>1074.8766000000001</c:v>
                </c:pt>
                <c:pt idx="406">
                  <c:v>1076.136</c:v>
                </c:pt>
                <c:pt idx="407">
                  <c:v>1076.1677</c:v>
                </c:pt>
                <c:pt idx="408">
                  <c:v>1075.673</c:v>
                </c:pt>
                <c:pt idx="409">
                  <c:v>1075.5904</c:v>
                </c:pt>
                <c:pt idx="410">
                  <c:v>1074.7817</c:v>
                </c:pt>
                <c:pt idx="411">
                  <c:v>1073.9634000000001</c:v>
                </c:pt>
                <c:pt idx="412">
                  <c:v>1073.5479</c:v>
                </c:pt>
                <c:pt idx="413">
                  <c:v>1072.9224999999999</c:v>
                </c:pt>
                <c:pt idx="414">
                  <c:v>1072.4201</c:v>
                </c:pt>
                <c:pt idx="415">
                  <c:v>1071.8710000000001</c:v>
                </c:pt>
                <c:pt idx="416">
                  <c:v>1071.3784000000001</c:v>
                </c:pt>
                <c:pt idx="417">
                  <c:v>1071.3643</c:v>
                </c:pt>
                <c:pt idx="418">
                  <c:v>1071.2055</c:v>
                </c:pt>
                <c:pt idx="419">
                  <c:v>1070.6685</c:v>
                </c:pt>
                <c:pt idx="420">
                  <c:v>1070.1949999999999</c:v>
                </c:pt>
                <c:pt idx="421">
                  <c:v>1069.4399000000001</c:v>
                </c:pt>
                <c:pt idx="422">
                  <c:v>1069.1904</c:v>
                </c:pt>
                <c:pt idx="423">
                  <c:v>1068.7925</c:v>
                </c:pt>
                <c:pt idx="424">
                  <c:v>1069.4492</c:v>
                </c:pt>
                <c:pt idx="425">
                  <c:v>1069.0138999999999</c:v>
                </c:pt>
                <c:pt idx="426">
                  <c:v>1069.2189000000001</c:v>
                </c:pt>
                <c:pt idx="427">
                  <c:v>1068.4775</c:v>
                </c:pt>
                <c:pt idx="428">
                  <c:v>1068.2345</c:v>
                </c:pt>
                <c:pt idx="429">
                  <c:v>1067.3937000000001</c:v>
                </c:pt>
                <c:pt idx="430">
                  <c:v>1066.1468</c:v>
                </c:pt>
                <c:pt idx="431">
                  <c:v>1067.2347</c:v>
                </c:pt>
                <c:pt idx="432">
                  <c:v>1066.9755</c:v>
                </c:pt>
                <c:pt idx="433">
                  <c:v>1066.9656</c:v>
                </c:pt>
                <c:pt idx="434">
                  <c:v>1066.7252000000001</c:v>
                </c:pt>
                <c:pt idx="435">
                  <c:v>1066.0790999999999</c:v>
                </c:pt>
                <c:pt idx="436">
                  <c:v>1065.8364999999999</c:v>
                </c:pt>
                <c:pt idx="437">
                  <c:v>1066.6279</c:v>
                </c:pt>
                <c:pt idx="438">
                  <c:v>1066.5477000000001</c:v>
                </c:pt>
                <c:pt idx="439">
                  <c:v>1067.0001999999999</c:v>
                </c:pt>
                <c:pt idx="440">
                  <c:v>1066.337</c:v>
                </c:pt>
                <c:pt idx="441">
                  <c:v>1065.6533999999999</c:v>
                </c:pt>
                <c:pt idx="442">
                  <c:v>1066.3449000000001</c:v>
                </c:pt>
                <c:pt idx="443">
                  <c:v>1066.6629</c:v>
                </c:pt>
                <c:pt idx="444">
                  <c:v>1067.5990999999999</c:v>
                </c:pt>
                <c:pt idx="445">
                  <c:v>1070.116</c:v>
                </c:pt>
                <c:pt idx="446">
                  <c:v>1070.7808</c:v>
                </c:pt>
                <c:pt idx="447">
                  <c:v>1070.9183</c:v>
                </c:pt>
                <c:pt idx="448">
                  <c:v>1071.4119000000001</c:v>
                </c:pt>
                <c:pt idx="449">
                  <c:v>1070.7150999999999</c:v>
                </c:pt>
                <c:pt idx="450">
                  <c:v>1070.6021000000001</c:v>
                </c:pt>
                <c:pt idx="451">
                  <c:v>1072.1677999999999</c:v>
                </c:pt>
                <c:pt idx="452">
                  <c:v>1072.2225000000001</c:v>
                </c:pt>
                <c:pt idx="453">
                  <c:v>1071.9148</c:v>
                </c:pt>
                <c:pt idx="454">
                  <c:v>1072.3795</c:v>
                </c:pt>
                <c:pt idx="455">
                  <c:v>1071.9029</c:v>
                </c:pt>
                <c:pt idx="456">
                  <c:v>1071.7279000000001</c:v>
                </c:pt>
                <c:pt idx="457">
                  <c:v>1071.6714999999999</c:v>
                </c:pt>
                <c:pt idx="458">
                  <c:v>1070.2665</c:v>
                </c:pt>
                <c:pt idx="459">
                  <c:v>1070.2471</c:v>
                </c:pt>
                <c:pt idx="460">
                  <c:v>1070.0139999999999</c:v>
                </c:pt>
                <c:pt idx="461">
                  <c:v>1069.4641999999999</c:v>
                </c:pt>
                <c:pt idx="462">
                  <c:v>1069.2221</c:v>
                </c:pt>
                <c:pt idx="463">
                  <c:v>1068.0769</c:v>
                </c:pt>
                <c:pt idx="464">
                  <c:v>1069.1536000000001</c:v>
                </c:pt>
                <c:pt idx="465">
                  <c:v>1068.6559999999999</c:v>
                </c:pt>
                <c:pt idx="466">
                  <c:v>1068.4962</c:v>
                </c:pt>
                <c:pt idx="467">
                  <c:v>1068.7307000000001</c:v>
                </c:pt>
                <c:pt idx="468">
                  <c:v>1068.4465</c:v>
                </c:pt>
                <c:pt idx="469">
                  <c:v>1067.2615000000001</c:v>
                </c:pt>
                <c:pt idx="470">
                  <c:v>1066.6199999999999</c:v>
                </c:pt>
                <c:pt idx="471">
                  <c:v>1065.4029</c:v>
                </c:pt>
                <c:pt idx="472">
                  <c:v>1064.7122999999999</c:v>
                </c:pt>
                <c:pt idx="473">
                  <c:v>1063.9698000000001</c:v>
                </c:pt>
                <c:pt idx="474">
                  <c:v>1063.4664</c:v>
                </c:pt>
                <c:pt idx="475">
                  <c:v>1061.5835999999999</c:v>
                </c:pt>
                <c:pt idx="476">
                  <c:v>1061.8121000000001</c:v>
                </c:pt>
                <c:pt idx="477">
                  <c:v>1060.6660999999999</c:v>
                </c:pt>
                <c:pt idx="478">
                  <c:v>1060.4385</c:v>
                </c:pt>
                <c:pt idx="479">
                  <c:v>1060.5831000000001</c:v>
                </c:pt>
                <c:pt idx="480">
                  <c:v>1060.3951999999999</c:v>
                </c:pt>
                <c:pt idx="481">
                  <c:v>1059.4848999999999</c:v>
                </c:pt>
                <c:pt idx="482">
                  <c:v>1059.3601000000001</c:v>
                </c:pt>
                <c:pt idx="483">
                  <c:v>1059.0690999999999</c:v>
                </c:pt>
                <c:pt idx="484">
                  <c:v>1059.5064</c:v>
                </c:pt>
                <c:pt idx="485">
                  <c:v>1059.3173999999999</c:v>
                </c:pt>
                <c:pt idx="486">
                  <c:v>1059.2481</c:v>
                </c:pt>
                <c:pt idx="487">
                  <c:v>1058.2337</c:v>
                </c:pt>
                <c:pt idx="488">
                  <c:v>1057.7683999999999</c:v>
                </c:pt>
                <c:pt idx="489">
                  <c:v>1057.6288</c:v>
                </c:pt>
                <c:pt idx="490">
                  <c:v>1057.2371000000001</c:v>
                </c:pt>
                <c:pt idx="491">
                  <c:v>1056.5571</c:v>
                </c:pt>
                <c:pt idx="492">
                  <c:v>1053.1502</c:v>
                </c:pt>
                <c:pt idx="493">
                  <c:v>1054.6377</c:v>
                </c:pt>
                <c:pt idx="494">
                  <c:v>1053.3579999999999</c:v>
                </c:pt>
                <c:pt idx="495">
                  <c:v>1052.5174999999999</c:v>
                </c:pt>
                <c:pt idx="496">
                  <c:v>1051.6750999999999</c:v>
                </c:pt>
                <c:pt idx="497">
                  <c:v>1050.3529000000001</c:v>
                </c:pt>
                <c:pt idx="498">
                  <c:v>1050.0198</c:v>
                </c:pt>
                <c:pt idx="499">
                  <c:v>1049.1296</c:v>
                </c:pt>
                <c:pt idx="500">
                  <c:v>1049.4939999999999</c:v>
                </c:pt>
                <c:pt idx="501">
                  <c:v>1049.1256000000001</c:v>
                </c:pt>
                <c:pt idx="502">
                  <c:v>1048.6799000000001</c:v>
                </c:pt>
                <c:pt idx="503">
                  <c:v>1047.8188</c:v>
                </c:pt>
                <c:pt idx="504">
                  <c:v>1047.3451</c:v>
                </c:pt>
                <c:pt idx="505">
                  <c:v>1046.7867000000001</c:v>
                </c:pt>
                <c:pt idx="506">
                  <c:v>1044.7807</c:v>
                </c:pt>
                <c:pt idx="507">
                  <c:v>1045.4691</c:v>
                </c:pt>
                <c:pt idx="508">
                  <c:v>1043.4956999999999</c:v>
                </c:pt>
                <c:pt idx="509">
                  <c:v>1044.0915</c:v>
                </c:pt>
                <c:pt idx="510">
                  <c:v>1043.2396000000001</c:v>
                </c:pt>
                <c:pt idx="511">
                  <c:v>1043.5984000000001</c:v>
                </c:pt>
                <c:pt idx="512">
                  <c:v>1043.6221</c:v>
                </c:pt>
                <c:pt idx="513">
                  <c:v>1043.4058</c:v>
                </c:pt>
                <c:pt idx="514">
                  <c:v>1042.5827999999999</c:v>
                </c:pt>
                <c:pt idx="515">
                  <c:v>1042.3733999999999</c:v>
                </c:pt>
                <c:pt idx="516">
                  <c:v>1041.8527999999999</c:v>
                </c:pt>
                <c:pt idx="517">
                  <c:v>1040.7402</c:v>
                </c:pt>
                <c:pt idx="518">
                  <c:v>1039.3027999999999</c:v>
                </c:pt>
                <c:pt idx="519">
                  <c:v>1039.2166999999999</c:v>
                </c:pt>
                <c:pt idx="520">
                  <c:v>1039.5767000000001</c:v>
                </c:pt>
                <c:pt idx="521">
                  <c:v>1039.4848999999999</c:v>
                </c:pt>
                <c:pt idx="522">
                  <c:v>1039.4083000000001</c:v>
                </c:pt>
                <c:pt idx="523">
                  <c:v>1038.4916000000001</c:v>
                </c:pt>
                <c:pt idx="524">
                  <c:v>1038.6796999999999</c:v>
                </c:pt>
                <c:pt idx="525">
                  <c:v>1037.3199</c:v>
                </c:pt>
                <c:pt idx="526">
                  <c:v>1036.7248999999999</c:v>
                </c:pt>
                <c:pt idx="527">
                  <c:v>1036.6279999999999</c:v>
                </c:pt>
                <c:pt idx="528">
                  <c:v>1035.6482000000001</c:v>
                </c:pt>
                <c:pt idx="529">
                  <c:v>1035.7365</c:v>
                </c:pt>
                <c:pt idx="530">
                  <c:v>1035.4373000000001</c:v>
                </c:pt>
                <c:pt idx="531">
                  <c:v>1035.1731</c:v>
                </c:pt>
                <c:pt idx="532">
                  <c:v>1035.5304000000001</c:v>
                </c:pt>
                <c:pt idx="533">
                  <c:v>1036.2417</c:v>
                </c:pt>
                <c:pt idx="534">
                  <c:v>1036.768</c:v>
                </c:pt>
                <c:pt idx="535">
                  <c:v>1037.7021</c:v>
                </c:pt>
                <c:pt idx="536">
                  <c:v>1039.4757</c:v>
                </c:pt>
                <c:pt idx="537">
                  <c:v>1039.7489</c:v>
                </c:pt>
                <c:pt idx="538">
                  <c:v>1039.7530999999999</c:v>
                </c:pt>
                <c:pt idx="539">
                  <c:v>1039.3798999999999</c:v>
                </c:pt>
                <c:pt idx="540">
                  <c:v>1038.3562999999999</c:v>
                </c:pt>
                <c:pt idx="541">
                  <c:v>1038.6223</c:v>
                </c:pt>
                <c:pt idx="542">
                  <c:v>1038.4175</c:v>
                </c:pt>
                <c:pt idx="543">
                  <c:v>1039.0624</c:v>
                </c:pt>
                <c:pt idx="544">
                  <c:v>1039.3309999999999</c:v>
                </c:pt>
                <c:pt idx="545">
                  <c:v>1038.1567</c:v>
                </c:pt>
                <c:pt idx="546">
                  <c:v>1037.2429</c:v>
                </c:pt>
                <c:pt idx="547">
                  <c:v>1037.3132000000001</c:v>
                </c:pt>
                <c:pt idx="548">
                  <c:v>1036.9822999999999</c:v>
                </c:pt>
                <c:pt idx="549">
                  <c:v>1036.8699999999999</c:v>
                </c:pt>
                <c:pt idx="550">
                  <c:v>1035.5922</c:v>
                </c:pt>
                <c:pt idx="551">
                  <c:v>1034.8646000000001</c:v>
                </c:pt>
                <c:pt idx="552">
                  <c:v>1034.5074999999999</c:v>
                </c:pt>
                <c:pt idx="553">
                  <c:v>1034.1986999999999</c:v>
                </c:pt>
                <c:pt idx="554">
                  <c:v>1033.8954000000001</c:v>
                </c:pt>
                <c:pt idx="555">
                  <c:v>1032.8856000000001</c:v>
                </c:pt>
                <c:pt idx="556">
                  <c:v>1031.9643000000001</c:v>
                </c:pt>
                <c:pt idx="557">
                  <c:v>1031.4202</c:v>
                </c:pt>
                <c:pt idx="558">
                  <c:v>1031.1488999999999</c:v>
                </c:pt>
                <c:pt idx="559">
                  <c:v>1030.6733999999999</c:v>
                </c:pt>
                <c:pt idx="560">
                  <c:v>1029.6038000000001</c:v>
                </c:pt>
                <c:pt idx="561">
                  <c:v>1029.634</c:v>
                </c:pt>
                <c:pt idx="562">
                  <c:v>1029.5246999999999</c:v>
                </c:pt>
                <c:pt idx="563">
                  <c:v>1029.7529999999999</c:v>
                </c:pt>
                <c:pt idx="564">
                  <c:v>1029.5994000000001</c:v>
                </c:pt>
                <c:pt idx="565">
                  <c:v>1028.3236999999999</c:v>
                </c:pt>
                <c:pt idx="566">
                  <c:v>1028.0346</c:v>
                </c:pt>
                <c:pt idx="567">
                  <c:v>1027.9785999999999</c:v>
                </c:pt>
                <c:pt idx="568">
                  <c:v>1028.0051000000001</c:v>
                </c:pt>
                <c:pt idx="569">
                  <c:v>1028.6239</c:v>
                </c:pt>
                <c:pt idx="570">
                  <c:v>1027.8539000000001</c:v>
                </c:pt>
                <c:pt idx="571">
                  <c:v>1027.2683999999999</c:v>
                </c:pt>
                <c:pt idx="572">
                  <c:v>1026.7628</c:v>
                </c:pt>
                <c:pt idx="573">
                  <c:v>1026.7781</c:v>
                </c:pt>
                <c:pt idx="574">
                  <c:v>1026.5822000000001</c:v>
                </c:pt>
                <c:pt idx="575">
                  <c:v>1025.7996000000001</c:v>
                </c:pt>
                <c:pt idx="576">
                  <c:v>1025.5988</c:v>
                </c:pt>
                <c:pt idx="577">
                  <c:v>1024.5128</c:v>
                </c:pt>
                <c:pt idx="578">
                  <c:v>1024.2009</c:v>
                </c:pt>
                <c:pt idx="579">
                  <c:v>1024.1959999999999</c:v>
                </c:pt>
                <c:pt idx="580">
                  <c:v>1022.9081</c:v>
                </c:pt>
                <c:pt idx="581">
                  <c:v>1023.2626</c:v>
                </c:pt>
                <c:pt idx="582">
                  <c:v>1025.8343</c:v>
                </c:pt>
                <c:pt idx="583">
                  <c:v>1026.8520000000001</c:v>
                </c:pt>
                <c:pt idx="584">
                  <c:v>1026.9338</c:v>
                </c:pt>
                <c:pt idx="585">
                  <c:v>1026.9311</c:v>
                </c:pt>
                <c:pt idx="586">
                  <c:v>1027.0853999999999</c:v>
                </c:pt>
                <c:pt idx="587">
                  <c:v>1027.7437</c:v>
                </c:pt>
                <c:pt idx="588">
                  <c:v>1027.8934999999999</c:v>
                </c:pt>
                <c:pt idx="589">
                  <c:v>1028.6591000000001</c:v>
                </c:pt>
                <c:pt idx="590">
                  <c:v>1028.9099000000001</c:v>
                </c:pt>
                <c:pt idx="591">
                  <c:v>1029.6056000000001</c:v>
                </c:pt>
                <c:pt idx="592">
                  <c:v>1029.9971</c:v>
                </c:pt>
                <c:pt idx="593">
                  <c:v>1029.6436000000001</c:v>
                </c:pt>
                <c:pt idx="594">
                  <c:v>1029.8114</c:v>
                </c:pt>
                <c:pt idx="595">
                  <c:v>1029.7565999999999</c:v>
                </c:pt>
                <c:pt idx="596">
                  <c:v>1029.5972999999999</c:v>
                </c:pt>
                <c:pt idx="597">
                  <c:v>1029.4490000000001</c:v>
                </c:pt>
                <c:pt idx="598">
                  <c:v>1029.971</c:v>
                </c:pt>
                <c:pt idx="599">
                  <c:v>1029.9751000000001</c:v>
                </c:pt>
                <c:pt idx="600">
                  <c:v>1031.6512</c:v>
                </c:pt>
                <c:pt idx="601">
                  <c:v>1032.1346000000001</c:v>
                </c:pt>
                <c:pt idx="602">
                  <c:v>1031.9242999999999</c:v>
                </c:pt>
                <c:pt idx="603">
                  <c:v>1031.8294000000001</c:v>
                </c:pt>
                <c:pt idx="604">
                  <c:v>1032.8146999999999</c:v>
                </c:pt>
                <c:pt idx="605">
                  <c:v>1034.7949000000001</c:v>
                </c:pt>
                <c:pt idx="606">
                  <c:v>1034.9101000000001</c:v>
                </c:pt>
                <c:pt idx="607">
                  <c:v>1034.116</c:v>
                </c:pt>
                <c:pt idx="608">
                  <c:v>1033.3913</c:v>
                </c:pt>
                <c:pt idx="609">
                  <c:v>1033.6170999999999</c:v>
                </c:pt>
                <c:pt idx="610">
                  <c:v>1032.9477999999999</c:v>
                </c:pt>
                <c:pt idx="611">
                  <c:v>1032.5342000000001</c:v>
                </c:pt>
                <c:pt idx="612">
                  <c:v>1031.8477</c:v>
                </c:pt>
                <c:pt idx="613">
                  <c:v>1031.6622</c:v>
                </c:pt>
                <c:pt idx="614">
                  <c:v>1031.1568</c:v>
                </c:pt>
                <c:pt idx="615">
                  <c:v>1030.5452</c:v>
                </c:pt>
                <c:pt idx="616">
                  <c:v>1028.0150000000001</c:v>
                </c:pt>
                <c:pt idx="617">
                  <c:v>1027.4394</c:v>
                </c:pt>
                <c:pt idx="618">
                  <c:v>1026.6872000000001</c:v>
                </c:pt>
                <c:pt idx="619">
                  <c:v>1026.3833999999999</c:v>
                </c:pt>
                <c:pt idx="620">
                  <c:v>1024.8981000000001</c:v>
                </c:pt>
                <c:pt idx="621">
                  <c:v>1024.7759000000001</c:v>
                </c:pt>
                <c:pt idx="622">
                  <c:v>1023.7254</c:v>
                </c:pt>
                <c:pt idx="623">
                  <c:v>1023.0242</c:v>
                </c:pt>
                <c:pt idx="624">
                  <c:v>1022.3371</c:v>
                </c:pt>
                <c:pt idx="625">
                  <c:v>1021.4928</c:v>
                </c:pt>
                <c:pt idx="626">
                  <c:v>1020.5912</c:v>
                </c:pt>
                <c:pt idx="627">
                  <c:v>1019.857</c:v>
                </c:pt>
                <c:pt idx="628">
                  <c:v>1019.1994</c:v>
                </c:pt>
                <c:pt idx="629">
                  <c:v>1018.7819</c:v>
                </c:pt>
                <c:pt idx="630">
                  <c:v>1018.7125</c:v>
                </c:pt>
                <c:pt idx="631">
                  <c:v>1017.9192</c:v>
                </c:pt>
                <c:pt idx="632">
                  <c:v>1017.7905</c:v>
                </c:pt>
                <c:pt idx="633">
                  <c:v>1017.6668</c:v>
                </c:pt>
                <c:pt idx="634">
                  <c:v>1017.1823000000001</c:v>
                </c:pt>
                <c:pt idx="635">
                  <c:v>1016.5028</c:v>
                </c:pt>
                <c:pt idx="636">
                  <c:v>1016.1407</c:v>
                </c:pt>
                <c:pt idx="637">
                  <c:v>1015.8083</c:v>
                </c:pt>
                <c:pt idx="638">
                  <c:v>1015.6636</c:v>
                </c:pt>
                <c:pt idx="639">
                  <c:v>1015.5896</c:v>
                </c:pt>
                <c:pt idx="640">
                  <c:v>1015.1957</c:v>
                </c:pt>
                <c:pt idx="641">
                  <c:v>1014.3866</c:v>
                </c:pt>
                <c:pt idx="642">
                  <c:v>1014.1876</c:v>
                </c:pt>
                <c:pt idx="643">
                  <c:v>1014.0789</c:v>
                </c:pt>
                <c:pt idx="644">
                  <c:v>1013.6259</c:v>
                </c:pt>
                <c:pt idx="645">
                  <c:v>1013.4951</c:v>
                </c:pt>
                <c:pt idx="646">
                  <c:v>1013.1246</c:v>
                </c:pt>
                <c:pt idx="647">
                  <c:v>1013.3674</c:v>
                </c:pt>
                <c:pt idx="648">
                  <c:v>1013.2207</c:v>
                </c:pt>
                <c:pt idx="649">
                  <c:v>1012.7542999999999</c:v>
                </c:pt>
                <c:pt idx="650">
                  <c:v>1012.2986</c:v>
                </c:pt>
                <c:pt idx="651">
                  <c:v>1012.0953</c:v>
                </c:pt>
                <c:pt idx="652">
                  <c:v>1011.7761</c:v>
                </c:pt>
                <c:pt idx="653">
                  <c:v>1011.5881000000001</c:v>
                </c:pt>
                <c:pt idx="654">
                  <c:v>1011.3227000000001</c:v>
                </c:pt>
                <c:pt idx="655">
                  <c:v>1011.0436</c:v>
                </c:pt>
                <c:pt idx="656">
                  <c:v>1010.9358</c:v>
                </c:pt>
                <c:pt idx="657">
                  <c:v>1011.0078</c:v>
                </c:pt>
                <c:pt idx="658">
                  <c:v>1010.9275</c:v>
                </c:pt>
                <c:pt idx="659">
                  <c:v>1010.9981</c:v>
                </c:pt>
                <c:pt idx="660">
                  <c:v>1010.6425</c:v>
                </c:pt>
                <c:pt idx="661">
                  <c:v>1010.8712</c:v>
                </c:pt>
                <c:pt idx="662">
                  <c:v>1010.6777</c:v>
                </c:pt>
                <c:pt idx="663">
                  <c:v>1010.9709</c:v>
                </c:pt>
                <c:pt idx="664">
                  <c:v>1010.6866</c:v>
                </c:pt>
                <c:pt idx="665">
                  <c:v>1010.4524</c:v>
                </c:pt>
                <c:pt idx="666">
                  <c:v>1011.2578</c:v>
                </c:pt>
                <c:pt idx="667">
                  <c:v>1011.0047</c:v>
                </c:pt>
                <c:pt idx="668">
                  <c:v>1011.0023</c:v>
                </c:pt>
                <c:pt idx="669">
                  <c:v>1010.7717</c:v>
                </c:pt>
                <c:pt idx="670">
                  <c:v>1010.5654</c:v>
                </c:pt>
                <c:pt idx="671">
                  <c:v>1010.3407</c:v>
                </c:pt>
                <c:pt idx="672">
                  <c:v>1009.8976</c:v>
                </c:pt>
                <c:pt idx="673">
                  <c:v>1009.3647</c:v>
                </c:pt>
                <c:pt idx="674">
                  <c:v>1009.2957</c:v>
                </c:pt>
                <c:pt idx="675">
                  <c:v>1008.5976000000001</c:v>
                </c:pt>
                <c:pt idx="676">
                  <c:v>1007.4181</c:v>
                </c:pt>
                <c:pt idx="677">
                  <c:v>1007.1174</c:v>
                </c:pt>
                <c:pt idx="678">
                  <c:v>1006.6563</c:v>
                </c:pt>
                <c:pt idx="679">
                  <c:v>1006.7752</c:v>
                </c:pt>
                <c:pt idx="680">
                  <c:v>1005.7139</c:v>
                </c:pt>
                <c:pt idx="681">
                  <c:v>1005.0744</c:v>
                </c:pt>
                <c:pt idx="682">
                  <c:v>1004.8801</c:v>
                </c:pt>
                <c:pt idx="683">
                  <c:v>1004.7173</c:v>
                </c:pt>
                <c:pt idx="684">
                  <c:v>1004.4776000000001</c:v>
                </c:pt>
                <c:pt idx="685">
                  <c:v>1003.5291</c:v>
                </c:pt>
                <c:pt idx="686">
                  <c:v>1003.3324</c:v>
                </c:pt>
                <c:pt idx="687">
                  <c:v>1002.9804</c:v>
                </c:pt>
                <c:pt idx="688">
                  <c:v>1002.7184999999999</c:v>
                </c:pt>
                <c:pt idx="689">
                  <c:v>1002.8334</c:v>
                </c:pt>
                <c:pt idx="690">
                  <c:v>1002.1567</c:v>
                </c:pt>
                <c:pt idx="691">
                  <c:v>1001.7146</c:v>
                </c:pt>
                <c:pt idx="692">
                  <c:v>1001.6763</c:v>
                </c:pt>
                <c:pt idx="693">
                  <c:v>1001.5902</c:v>
                </c:pt>
                <c:pt idx="694">
                  <c:v>1001.4342</c:v>
                </c:pt>
                <c:pt idx="695">
                  <c:v>1001.0426</c:v>
                </c:pt>
                <c:pt idx="696">
                  <c:v>1000.9114</c:v>
                </c:pt>
                <c:pt idx="697">
                  <c:v>1000.7811</c:v>
                </c:pt>
                <c:pt idx="698">
                  <c:v>1000.6867999999999</c:v>
                </c:pt>
                <c:pt idx="699">
                  <c:v>1000.5468</c:v>
                </c:pt>
                <c:pt idx="700">
                  <c:v>1000.2134</c:v>
                </c:pt>
                <c:pt idx="701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B57-4C2C-B2BA-91D3B3392AD9}"/>
            </c:ext>
          </c:extLst>
        </c:ser>
        <c:ser>
          <c:idx val="1"/>
          <c:order val="1"/>
          <c:tx>
            <c:strRef>
              <c:f>Datos!$C$3</c:f>
              <c:strCache>
                <c:ptCount val="1"/>
                <c:pt idx="0">
                  <c:v>Benchmark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Datos!$A$4:$A$2000</c:f>
              <c:numCache>
                <c:formatCode>m/d/yyyy</c:formatCode>
                <c:ptCount val="1997"/>
                <c:pt idx="0">
                  <c:v>42734</c:v>
                </c:pt>
                <c:pt idx="1">
                  <c:v>42733</c:v>
                </c:pt>
                <c:pt idx="2">
                  <c:v>42732</c:v>
                </c:pt>
                <c:pt idx="3">
                  <c:v>42731</c:v>
                </c:pt>
                <c:pt idx="4">
                  <c:v>42730</c:v>
                </c:pt>
                <c:pt idx="5">
                  <c:v>42727</c:v>
                </c:pt>
                <c:pt idx="6">
                  <c:v>42726</c:v>
                </c:pt>
                <c:pt idx="7">
                  <c:v>42725</c:v>
                </c:pt>
                <c:pt idx="8">
                  <c:v>42724</c:v>
                </c:pt>
                <c:pt idx="9">
                  <c:v>42723</c:v>
                </c:pt>
                <c:pt idx="10">
                  <c:v>42720</c:v>
                </c:pt>
                <c:pt idx="11">
                  <c:v>42719</c:v>
                </c:pt>
                <c:pt idx="12">
                  <c:v>42718</c:v>
                </c:pt>
                <c:pt idx="13">
                  <c:v>42717</c:v>
                </c:pt>
                <c:pt idx="14">
                  <c:v>42716</c:v>
                </c:pt>
                <c:pt idx="15">
                  <c:v>42713</c:v>
                </c:pt>
                <c:pt idx="16">
                  <c:v>42712</c:v>
                </c:pt>
                <c:pt idx="17">
                  <c:v>42711</c:v>
                </c:pt>
                <c:pt idx="18">
                  <c:v>42710</c:v>
                </c:pt>
                <c:pt idx="19">
                  <c:v>42709</c:v>
                </c:pt>
                <c:pt idx="20">
                  <c:v>42706</c:v>
                </c:pt>
                <c:pt idx="21">
                  <c:v>42705</c:v>
                </c:pt>
                <c:pt idx="22">
                  <c:v>42704</c:v>
                </c:pt>
                <c:pt idx="23">
                  <c:v>42703</c:v>
                </c:pt>
                <c:pt idx="24">
                  <c:v>42702</c:v>
                </c:pt>
                <c:pt idx="25">
                  <c:v>42699</c:v>
                </c:pt>
                <c:pt idx="26">
                  <c:v>42698</c:v>
                </c:pt>
                <c:pt idx="27">
                  <c:v>42697</c:v>
                </c:pt>
                <c:pt idx="28">
                  <c:v>42696</c:v>
                </c:pt>
                <c:pt idx="29">
                  <c:v>42695</c:v>
                </c:pt>
                <c:pt idx="30">
                  <c:v>42692</c:v>
                </c:pt>
                <c:pt idx="31">
                  <c:v>42691</c:v>
                </c:pt>
                <c:pt idx="32">
                  <c:v>42690</c:v>
                </c:pt>
                <c:pt idx="33">
                  <c:v>42689</c:v>
                </c:pt>
                <c:pt idx="34">
                  <c:v>42688</c:v>
                </c:pt>
                <c:pt idx="35">
                  <c:v>42685</c:v>
                </c:pt>
                <c:pt idx="36">
                  <c:v>42684</c:v>
                </c:pt>
                <c:pt idx="37">
                  <c:v>42683</c:v>
                </c:pt>
                <c:pt idx="38">
                  <c:v>42682</c:v>
                </c:pt>
                <c:pt idx="39">
                  <c:v>42681</c:v>
                </c:pt>
                <c:pt idx="40">
                  <c:v>42678</c:v>
                </c:pt>
                <c:pt idx="41">
                  <c:v>42677</c:v>
                </c:pt>
                <c:pt idx="42">
                  <c:v>42676</c:v>
                </c:pt>
                <c:pt idx="43">
                  <c:v>42675</c:v>
                </c:pt>
                <c:pt idx="44">
                  <c:v>42674</c:v>
                </c:pt>
                <c:pt idx="45">
                  <c:v>42671</c:v>
                </c:pt>
                <c:pt idx="46">
                  <c:v>42670</c:v>
                </c:pt>
                <c:pt idx="47">
                  <c:v>42669</c:v>
                </c:pt>
                <c:pt idx="48">
                  <c:v>42668</c:v>
                </c:pt>
                <c:pt idx="49">
                  <c:v>42667</c:v>
                </c:pt>
                <c:pt idx="50">
                  <c:v>42664</c:v>
                </c:pt>
                <c:pt idx="51">
                  <c:v>42663</c:v>
                </c:pt>
                <c:pt idx="52">
                  <c:v>42662</c:v>
                </c:pt>
                <c:pt idx="53">
                  <c:v>42661</c:v>
                </c:pt>
                <c:pt idx="54">
                  <c:v>42660</c:v>
                </c:pt>
                <c:pt idx="55">
                  <c:v>42657</c:v>
                </c:pt>
                <c:pt idx="56">
                  <c:v>42656</c:v>
                </c:pt>
                <c:pt idx="57">
                  <c:v>42655</c:v>
                </c:pt>
                <c:pt idx="58">
                  <c:v>42654</c:v>
                </c:pt>
                <c:pt idx="59">
                  <c:v>42653</c:v>
                </c:pt>
                <c:pt idx="60">
                  <c:v>42650</c:v>
                </c:pt>
                <c:pt idx="61">
                  <c:v>42649</c:v>
                </c:pt>
                <c:pt idx="62">
                  <c:v>42648</c:v>
                </c:pt>
                <c:pt idx="63">
                  <c:v>42647</c:v>
                </c:pt>
                <c:pt idx="64">
                  <c:v>42646</c:v>
                </c:pt>
                <c:pt idx="65">
                  <c:v>42643</c:v>
                </c:pt>
                <c:pt idx="66">
                  <c:v>42642</c:v>
                </c:pt>
                <c:pt idx="67">
                  <c:v>42641</c:v>
                </c:pt>
                <c:pt idx="68">
                  <c:v>42640</c:v>
                </c:pt>
                <c:pt idx="69">
                  <c:v>42639</c:v>
                </c:pt>
                <c:pt idx="70">
                  <c:v>42636</c:v>
                </c:pt>
                <c:pt idx="71">
                  <c:v>42635</c:v>
                </c:pt>
                <c:pt idx="72">
                  <c:v>42634</c:v>
                </c:pt>
                <c:pt idx="73">
                  <c:v>42633</c:v>
                </c:pt>
                <c:pt idx="74">
                  <c:v>42632</c:v>
                </c:pt>
                <c:pt idx="75">
                  <c:v>42629</c:v>
                </c:pt>
                <c:pt idx="76">
                  <c:v>42628</c:v>
                </c:pt>
                <c:pt idx="77">
                  <c:v>42627</c:v>
                </c:pt>
                <c:pt idx="78">
                  <c:v>42626</c:v>
                </c:pt>
                <c:pt idx="79">
                  <c:v>42625</c:v>
                </c:pt>
                <c:pt idx="80">
                  <c:v>42622</c:v>
                </c:pt>
                <c:pt idx="81">
                  <c:v>42621</c:v>
                </c:pt>
                <c:pt idx="82">
                  <c:v>42620</c:v>
                </c:pt>
                <c:pt idx="83">
                  <c:v>42619</c:v>
                </c:pt>
                <c:pt idx="84">
                  <c:v>42618</c:v>
                </c:pt>
                <c:pt idx="85">
                  <c:v>42615</c:v>
                </c:pt>
                <c:pt idx="86">
                  <c:v>42614</c:v>
                </c:pt>
                <c:pt idx="87">
                  <c:v>42613</c:v>
                </c:pt>
                <c:pt idx="88">
                  <c:v>42612</c:v>
                </c:pt>
                <c:pt idx="89">
                  <c:v>42611</c:v>
                </c:pt>
                <c:pt idx="90">
                  <c:v>42608</c:v>
                </c:pt>
                <c:pt idx="91">
                  <c:v>42607</c:v>
                </c:pt>
                <c:pt idx="92">
                  <c:v>42606</c:v>
                </c:pt>
                <c:pt idx="93">
                  <c:v>42605</c:v>
                </c:pt>
                <c:pt idx="94">
                  <c:v>42604</c:v>
                </c:pt>
                <c:pt idx="95">
                  <c:v>42601</c:v>
                </c:pt>
                <c:pt idx="96">
                  <c:v>42600</c:v>
                </c:pt>
                <c:pt idx="97">
                  <c:v>42599</c:v>
                </c:pt>
                <c:pt idx="98">
                  <c:v>42598</c:v>
                </c:pt>
                <c:pt idx="99">
                  <c:v>42597</c:v>
                </c:pt>
                <c:pt idx="100">
                  <c:v>42594</c:v>
                </c:pt>
                <c:pt idx="101">
                  <c:v>42593</c:v>
                </c:pt>
                <c:pt idx="102">
                  <c:v>42592</c:v>
                </c:pt>
                <c:pt idx="103">
                  <c:v>42591</c:v>
                </c:pt>
                <c:pt idx="104">
                  <c:v>42590</c:v>
                </c:pt>
                <c:pt idx="105">
                  <c:v>42587</c:v>
                </c:pt>
                <c:pt idx="106">
                  <c:v>42586</c:v>
                </c:pt>
                <c:pt idx="107">
                  <c:v>42585</c:v>
                </c:pt>
                <c:pt idx="108">
                  <c:v>42584</c:v>
                </c:pt>
                <c:pt idx="109">
                  <c:v>42583</c:v>
                </c:pt>
                <c:pt idx="110">
                  <c:v>42580</c:v>
                </c:pt>
                <c:pt idx="111">
                  <c:v>42579</c:v>
                </c:pt>
                <c:pt idx="112">
                  <c:v>42578</c:v>
                </c:pt>
                <c:pt idx="113">
                  <c:v>42577</c:v>
                </c:pt>
                <c:pt idx="114">
                  <c:v>42576</c:v>
                </c:pt>
                <c:pt idx="115">
                  <c:v>42573</c:v>
                </c:pt>
                <c:pt idx="116">
                  <c:v>42572</c:v>
                </c:pt>
                <c:pt idx="117">
                  <c:v>42571</c:v>
                </c:pt>
                <c:pt idx="118">
                  <c:v>42570</c:v>
                </c:pt>
                <c:pt idx="119">
                  <c:v>42569</c:v>
                </c:pt>
                <c:pt idx="120">
                  <c:v>42566</c:v>
                </c:pt>
                <c:pt idx="121">
                  <c:v>42565</c:v>
                </c:pt>
                <c:pt idx="122">
                  <c:v>42564</c:v>
                </c:pt>
                <c:pt idx="123">
                  <c:v>42563</c:v>
                </c:pt>
                <c:pt idx="124">
                  <c:v>42562</c:v>
                </c:pt>
                <c:pt idx="125">
                  <c:v>42559</c:v>
                </c:pt>
                <c:pt idx="126">
                  <c:v>42558</c:v>
                </c:pt>
                <c:pt idx="127">
                  <c:v>42557</c:v>
                </c:pt>
                <c:pt idx="128">
                  <c:v>42556</c:v>
                </c:pt>
                <c:pt idx="129">
                  <c:v>42555</c:v>
                </c:pt>
                <c:pt idx="130">
                  <c:v>42552</c:v>
                </c:pt>
                <c:pt idx="131">
                  <c:v>42551</c:v>
                </c:pt>
                <c:pt idx="132">
                  <c:v>42550</c:v>
                </c:pt>
                <c:pt idx="133">
                  <c:v>42549</c:v>
                </c:pt>
                <c:pt idx="134">
                  <c:v>42548</c:v>
                </c:pt>
                <c:pt idx="135">
                  <c:v>42545</c:v>
                </c:pt>
                <c:pt idx="136">
                  <c:v>42544</c:v>
                </c:pt>
                <c:pt idx="137">
                  <c:v>42543</c:v>
                </c:pt>
                <c:pt idx="138">
                  <c:v>42542</c:v>
                </c:pt>
                <c:pt idx="139">
                  <c:v>42541</c:v>
                </c:pt>
                <c:pt idx="140">
                  <c:v>42538</c:v>
                </c:pt>
                <c:pt idx="141">
                  <c:v>42537</c:v>
                </c:pt>
                <c:pt idx="142">
                  <c:v>42536</c:v>
                </c:pt>
                <c:pt idx="143">
                  <c:v>42535</c:v>
                </c:pt>
                <c:pt idx="144">
                  <c:v>42534</c:v>
                </c:pt>
                <c:pt idx="145">
                  <c:v>42531</c:v>
                </c:pt>
                <c:pt idx="146">
                  <c:v>42530</c:v>
                </c:pt>
                <c:pt idx="147">
                  <c:v>42529</c:v>
                </c:pt>
                <c:pt idx="148">
                  <c:v>42528</c:v>
                </c:pt>
                <c:pt idx="149">
                  <c:v>42527</c:v>
                </c:pt>
                <c:pt idx="150">
                  <c:v>42524</c:v>
                </c:pt>
                <c:pt idx="151">
                  <c:v>42523</c:v>
                </c:pt>
                <c:pt idx="152">
                  <c:v>42522</c:v>
                </c:pt>
                <c:pt idx="153">
                  <c:v>42521</c:v>
                </c:pt>
                <c:pt idx="154">
                  <c:v>42520</c:v>
                </c:pt>
                <c:pt idx="155">
                  <c:v>42517</c:v>
                </c:pt>
                <c:pt idx="156">
                  <c:v>42516</c:v>
                </c:pt>
                <c:pt idx="157">
                  <c:v>42515</c:v>
                </c:pt>
                <c:pt idx="158">
                  <c:v>42514</c:v>
                </c:pt>
                <c:pt idx="159">
                  <c:v>42513</c:v>
                </c:pt>
                <c:pt idx="160">
                  <c:v>42510</c:v>
                </c:pt>
                <c:pt idx="161">
                  <c:v>42509</c:v>
                </c:pt>
                <c:pt idx="162">
                  <c:v>42508</c:v>
                </c:pt>
                <c:pt idx="163">
                  <c:v>42507</c:v>
                </c:pt>
                <c:pt idx="164">
                  <c:v>42506</c:v>
                </c:pt>
                <c:pt idx="165">
                  <c:v>42503</c:v>
                </c:pt>
                <c:pt idx="166">
                  <c:v>42502</c:v>
                </c:pt>
                <c:pt idx="167">
                  <c:v>42501</c:v>
                </c:pt>
                <c:pt idx="168">
                  <c:v>42500</c:v>
                </c:pt>
                <c:pt idx="169">
                  <c:v>42499</c:v>
                </c:pt>
                <c:pt idx="170">
                  <c:v>42496</c:v>
                </c:pt>
                <c:pt idx="171">
                  <c:v>42495</c:v>
                </c:pt>
                <c:pt idx="172">
                  <c:v>42494</c:v>
                </c:pt>
                <c:pt idx="173">
                  <c:v>42493</c:v>
                </c:pt>
                <c:pt idx="174">
                  <c:v>42492</c:v>
                </c:pt>
                <c:pt idx="175">
                  <c:v>42489</c:v>
                </c:pt>
                <c:pt idx="176">
                  <c:v>42488</c:v>
                </c:pt>
                <c:pt idx="177">
                  <c:v>42487</c:v>
                </c:pt>
                <c:pt idx="178">
                  <c:v>42486</c:v>
                </c:pt>
                <c:pt idx="179">
                  <c:v>42485</c:v>
                </c:pt>
                <c:pt idx="180">
                  <c:v>42482</c:v>
                </c:pt>
                <c:pt idx="181">
                  <c:v>42481</c:v>
                </c:pt>
                <c:pt idx="182">
                  <c:v>42480</c:v>
                </c:pt>
                <c:pt idx="183">
                  <c:v>42479</c:v>
                </c:pt>
                <c:pt idx="184">
                  <c:v>42478</c:v>
                </c:pt>
                <c:pt idx="185">
                  <c:v>42475</c:v>
                </c:pt>
                <c:pt idx="186">
                  <c:v>42474</c:v>
                </c:pt>
                <c:pt idx="187">
                  <c:v>42473</c:v>
                </c:pt>
                <c:pt idx="188">
                  <c:v>42472</c:v>
                </c:pt>
                <c:pt idx="189">
                  <c:v>42471</c:v>
                </c:pt>
                <c:pt idx="190">
                  <c:v>42468</c:v>
                </c:pt>
                <c:pt idx="191">
                  <c:v>42467</c:v>
                </c:pt>
                <c:pt idx="192">
                  <c:v>42466</c:v>
                </c:pt>
                <c:pt idx="193">
                  <c:v>42465</c:v>
                </c:pt>
                <c:pt idx="194">
                  <c:v>42464</c:v>
                </c:pt>
                <c:pt idx="195">
                  <c:v>42461</c:v>
                </c:pt>
                <c:pt idx="196">
                  <c:v>42460</c:v>
                </c:pt>
                <c:pt idx="197">
                  <c:v>42459</c:v>
                </c:pt>
                <c:pt idx="198">
                  <c:v>42458</c:v>
                </c:pt>
                <c:pt idx="199">
                  <c:v>42457</c:v>
                </c:pt>
                <c:pt idx="200">
                  <c:v>42454</c:v>
                </c:pt>
                <c:pt idx="201">
                  <c:v>42453</c:v>
                </c:pt>
                <c:pt idx="202">
                  <c:v>42452</c:v>
                </c:pt>
                <c:pt idx="203">
                  <c:v>42451</c:v>
                </c:pt>
                <c:pt idx="204">
                  <c:v>42450</c:v>
                </c:pt>
                <c:pt idx="205">
                  <c:v>42447</c:v>
                </c:pt>
                <c:pt idx="206">
                  <c:v>42446</c:v>
                </c:pt>
                <c:pt idx="207">
                  <c:v>42445</c:v>
                </c:pt>
                <c:pt idx="208">
                  <c:v>42444</c:v>
                </c:pt>
                <c:pt idx="209">
                  <c:v>42443</c:v>
                </c:pt>
                <c:pt idx="210">
                  <c:v>42440</c:v>
                </c:pt>
                <c:pt idx="211">
                  <c:v>42439</c:v>
                </c:pt>
                <c:pt idx="212">
                  <c:v>42438</c:v>
                </c:pt>
                <c:pt idx="213">
                  <c:v>42437</c:v>
                </c:pt>
                <c:pt idx="214">
                  <c:v>42436</c:v>
                </c:pt>
                <c:pt idx="215">
                  <c:v>42433</c:v>
                </c:pt>
                <c:pt idx="216">
                  <c:v>42432</c:v>
                </c:pt>
                <c:pt idx="217">
                  <c:v>42431</c:v>
                </c:pt>
                <c:pt idx="218">
                  <c:v>42430</c:v>
                </c:pt>
                <c:pt idx="219">
                  <c:v>42429</c:v>
                </c:pt>
                <c:pt idx="220">
                  <c:v>42426</c:v>
                </c:pt>
                <c:pt idx="221">
                  <c:v>42425</c:v>
                </c:pt>
                <c:pt idx="222">
                  <c:v>42424</c:v>
                </c:pt>
                <c:pt idx="223">
                  <c:v>42423</c:v>
                </c:pt>
                <c:pt idx="224">
                  <c:v>42422</c:v>
                </c:pt>
                <c:pt idx="225">
                  <c:v>42419</c:v>
                </c:pt>
                <c:pt idx="226">
                  <c:v>42418</c:v>
                </c:pt>
                <c:pt idx="227">
                  <c:v>42417</c:v>
                </c:pt>
                <c:pt idx="228">
                  <c:v>42416</c:v>
                </c:pt>
                <c:pt idx="229">
                  <c:v>42415</c:v>
                </c:pt>
                <c:pt idx="230">
                  <c:v>42412</c:v>
                </c:pt>
                <c:pt idx="231">
                  <c:v>42411</c:v>
                </c:pt>
                <c:pt idx="232">
                  <c:v>42410</c:v>
                </c:pt>
                <c:pt idx="233">
                  <c:v>42409</c:v>
                </c:pt>
                <c:pt idx="234">
                  <c:v>42408</c:v>
                </c:pt>
                <c:pt idx="235">
                  <c:v>42405</c:v>
                </c:pt>
                <c:pt idx="236">
                  <c:v>42404</c:v>
                </c:pt>
                <c:pt idx="237">
                  <c:v>42403</c:v>
                </c:pt>
                <c:pt idx="238">
                  <c:v>42402</c:v>
                </c:pt>
                <c:pt idx="239">
                  <c:v>42401</c:v>
                </c:pt>
                <c:pt idx="240">
                  <c:v>42398</c:v>
                </c:pt>
                <c:pt idx="241">
                  <c:v>42397</c:v>
                </c:pt>
                <c:pt idx="242">
                  <c:v>42396</c:v>
                </c:pt>
                <c:pt idx="243">
                  <c:v>42395</c:v>
                </c:pt>
                <c:pt idx="244">
                  <c:v>42394</c:v>
                </c:pt>
                <c:pt idx="245">
                  <c:v>42391</c:v>
                </c:pt>
                <c:pt idx="246">
                  <c:v>42390</c:v>
                </c:pt>
                <c:pt idx="247">
                  <c:v>42389</c:v>
                </c:pt>
                <c:pt idx="248">
                  <c:v>42388</c:v>
                </c:pt>
                <c:pt idx="249">
                  <c:v>42387</c:v>
                </c:pt>
                <c:pt idx="250">
                  <c:v>42384</c:v>
                </c:pt>
                <c:pt idx="251">
                  <c:v>42383</c:v>
                </c:pt>
                <c:pt idx="252">
                  <c:v>42382</c:v>
                </c:pt>
                <c:pt idx="253">
                  <c:v>42381</c:v>
                </c:pt>
                <c:pt idx="254">
                  <c:v>42380</c:v>
                </c:pt>
                <c:pt idx="255">
                  <c:v>42377</c:v>
                </c:pt>
                <c:pt idx="256">
                  <c:v>42376</c:v>
                </c:pt>
                <c:pt idx="257">
                  <c:v>42375</c:v>
                </c:pt>
                <c:pt idx="258">
                  <c:v>42374</c:v>
                </c:pt>
                <c:pt idx="259">
                  <c:v>42373</c:v>
                </c:pt>
                <c:pt idx="260">
                  <c:v>42370</c:v>
                </c:pt>
                <c:pt idx="261">
                  <c:v>42369</c:v>
                </c:pt>
                <c:pt idx="262">
                  <c:v>42368</c:v>
                </c:pt>
                <c:pt idx="263">
                  <c:v>42367</c:v>
                </c:pt>
                <c:pt idx="264">
                  <c:v>42366</c:v>
                </c:pt>
                <c:pt idx="265">
                  <c:v>42363</c:v>
                </c:pt>
                <c:pt idx="266">
                  <c:v>42362</c:v>
                </c:pt>
                <c:pt idx="267">
                  <c:v>42361</c:v>
                </c:pt>
                <c:pt idx="268">
                  <c:v>42360</c:v>
                </c:pt>
                <c:pt idx="269">
                  <c:v>42359</c:v>
                </c:pt>
                <c:pt idx="270">
                  <c:v>42356</c:v>
                </c:pt>
                <c:pt idx="271">
                  <c:v>42355</c:v>
                </c:pt>
                <c:pt idx="272">
                  <c:v>42354</c:v>
                </c:pt>
                <c:pt idx="273">
                  <c:v>42353</c:v>
                </c:pt>
                <c:pt idx="274">
                  <c:v>42352</c:v>
                </c:pt>
                <c:pt idx="275">
                  <c:v>42349</c:v>
                </c:pt>
                <c:pt idx="276">
                  <c:v>42348</c:v>
                </c:pt>
                <c:pt idx="277">
                  <c:v>42347</c:v>
                </c:pt>
                <c:pt idx="278">
                  <c:v>42346</c:v>
                </c:pt>
                <c:pt idx="279">
                  <c:v>42345</c:v>
                </c:pt>
                <c:pt idx="280">
                  <c:v>42342</c:v>
                </c:pt>
                <c:pt idx="281">
                  <c:v>42341</c:v>
                </c:pt>
                <c:pt idx="282">
                  <c:v>42340</c:v>
                </c:pt>
                <c:pt idx="283">
                  <c:v>42339</c:v>
                </c:pt>
                <c:pt idx="284">
                  <c:v>42338</c:v>
                </c:pt>
                <c:pt idx="285">
                  <c:v>42335</c:v>
                </c:pt>
                <c:pt idx="286">
                  <c:v>42334</c:v>
                </c:pt>
                <c:pt idx="287">
                  <c:v>42333</c:v>
                </c:pt>
                <c:pt idx="288">
                  <c:v>42332</c:v>
                </c:pt>
                <c:pt idx="289">
                  <c:v>42331</c:v>
                </c:pt>
                <c:pt idx="290">
                  <c:v>42328</c:v>
                </c:pt>
                <c:pt idx="291">
                  <c:v>42327</c:v>
                </c:pt>
                <c:pt idx="292">
                  <c:v>42326</c:v>
                </c:pt>
                <c:pt idx="293">
                  <c:v>42325</c:v>
                </c:pt>
                <c:pt idx="294">
                  <c:v>42324</c:v>
                </c:pt>
                <c:pt idx="295">
                  <c:v>42321</c:v>
                </c:pt>
                <c:pt idx="296">
                  <c:v>42320</c:v>
                </c:pt>
                <c:pt idx="297">
                  <c:v>42319</c:v>
                </c:pt>
                <c:pt idx="298">
                  <c:v>42318</c:v>
                </c:pt>
                <c:pt idx="299">
                  <c:v>42317</c:v>
                </c:pt>
                <c:pt idx="300">
                  <c:v>42314</c:v>
                </c:pt>
                <c:pt idx="301">
                  <c:v>42313</c:v>
                </c:pt>
                <c:pt idx="302">
                  <c:v>42312</c:v>
                </c:pt>
                <c:pt idx="303">
                  <c:v>42311</c:v>
                </c:pt>
                <c:pt idx="304">
                  <c:v>42310</c:v>
                </c:pt>
                <c:pt idx="305">
                  <c:v>42307</c:v>
                </c:pt>
                <c:pt idx="306">
                  <c:v>42306</c:v>
                </c:pt>
                <c:pt idx="307">
                  <c:v>42305</c:v>
                </c:pt>
                <c:pt idx="308">
                  <c:v>42304</c:v>
                </c:pt>
                <c:pt idx="309">
                  <c:v>42303</c:v>
                </c:pt>
                <c:pt idx="310">
                  <c:v>42300</c:v>
                </c:pt>
                <c:pt idx="311">
                  <c:v>42299</c:v>
                </c:pt>
                <c:pt idx="312">
                  <c:v>42298</c:v>
                </c:pt>
                <c:pt idx="313">
                  <c:v>42297</c:v>
                </c:pt>
                <c:pt idx="314">
                  <c:v>42296</c:v>
                </c:pt>
                <c:pt idx="315">
                  <c:v>42293</c:v>
                </c:pt>
                <c:pt idx="316">
                  <c:v>42292</c:v>
                </c:pt>
                <c:pt idx="317">
                  <c:v>42291</c:v>
                </c:pt>
                <c:pt idx="318">
                  <c:v>42290</c:v>
                </c:pt>
                <c:pt idx="319">
                  <c:v>42289</c:v>
                </c:pt>
                <c:pt idx="320">
                  <c:v>42286</c:v>
                </c:pt>
                <c:pt idx="321">
                  <c:v>42285</c:v>
                </c:pt>
                <c:pt idx="322">
                  <c:v>42284</c:v>
                </c:pt>
                <c:pt idx="323">
                  <c:v>42283</c:v>
                </c:pt>
                <c:pt idx="324">
                  <c:v>42282</c:v>
                </c:pt>
                <c:pt idx="325">
                  <c:v>42279</c:v>
                </c:pt>
                <c:pt idx="326">
                  <c:v>42278</c:v>
                </c:pt>
                <c:pt idx="327">
                  <c:v>42277</c:v>
                </c:pt>
                <c:pt idx="328">
                  <c:v>42276</c:v>
                </c:pt>
                <c:pt idx="329">
                  <c:v>42275</c:v>
                </c:pt>
                <c:pt idx="330">
                  <c:v>42272</c:v>
                </c:pt>
                <c:pt idx="331">
                  <c:v>42271</c:v>
                </c:pt>
                <c:pt idx="332">
                  <c:v>42270</c:v>
                </c:pt>
                <c:pt idx="333">
                  <c:v>42269</c:v>
                </c:pt>
                <c:pt idx="334">
                  <c:v>42268</c:v>
                </c:pt>
                <c:pt idx="335">
                  <c:v>42265</c:v>
                </c:pt>
                <c:pt idx="336">
                  <c:v>42264</c:v>
                </c:pt>
                <c:pt idx="337">
                  <c:v>42263</c:v>
                </c:pt>
                <c:pt idx="338">
                  <c:v>42262</c:v>
                </c:pt>
                <c:pt idx="339">
                  <c:v>42261</c:v>
                </c:pt>
                <c:pt idx="340">
                  <c:v>42258</c:v>
                </c:pt>
                <c:pt idx="341">
                  <c:v>42257</c:v>
                </c:pt>
                <c:pt idx="342">
                  <c:v>42256</c:v>
                </c:pt>
                <c:pt idx="343">
                  <c:v>42255</c:v>
                </c:pt>
                <c:pt idx="344">
                  <c:v>42254</c:v>
                </c:pt>
                <c:pt idx="345">
                  <c:v>42251</c:v>
                </c:pt>
                <c:pt idx="346">
                  <c:v>42250</c:v>
                </c:pt>
                <c:pt idx="347">
                  <c:v>42249</c:v>
                </c:pt>
                <c:pt idx="348">
                  <c:v>42248</c:v>
                </c:pt>
                <c:pt idx="349">
                  <c:v>42247</c:v>
                </c:pt>
                <c:pt idx="350">
                  <c:v>42244</c:v>
                </c:pt>
                <c:pt idx="351">
                  <c:v>42243</c:v>
                </c:pt>
                <c:pt idx="352">
                  <c:v>42242</c:v>
                </c:pt>
                <c:pt idx="353">
                  <c:v>42241</c:v>
                </c:pt>
                <c:pt idx="354">
                  <c:v>42240</c:v>
                </c:pt>
                <c:pt idx="355">
                  <c:v>42237</c:v>
                </c:pt>
                <c:pt idx="356">
                  <c:v>42236</c:v>
                </c:pt>
                <c:pt idx="357">
                  <c:v>42235</c:v>
                </c:pt>
                <c:pt idx="358">
                  <c:v>42234</c:v>
                </c:pt>
                <c:pt idx="359">
                  <c:v>42233</c:v>
                </c:pt>
                <c:pt idx="360">
                  <c:v>42230</c:v>
                </c:pt>
                <c:pt idx="361">
                  <c:v>42229</c:v>
                </c:pt>
                <c:pt idx="362">
                  <c:v>42228</c:v>
                </c:pt>
                <c:pt idx="363">
                  <c:v>42227</c:v>
                </c:pt>
                <c:pt idx="364">
                  <c:v>42226</c:v>
                </c:pt>
                <c:pt idx="365">
                  <c:v>42223</c:v>
                </c:pt>
                <c:pt idx="366">
                  <c:v>42222</c:v>
                </c:pt>
                <c:pt idx="367">
                  <c:v>42221</c:v>
                </c:pt>
                <c:pt idx="368">
                  <c:v>42220</c:v>
                </c:pt>
                <c:pt idx="369">
                  <c:v>42219</c:v>
                </c:pt>
                <c:pt idx="370">
                  <c:v>42216</c:v>
                </c:pt>
                <c:pt idx="371">
                  <c:v>42215</c:v>
                </c:pt>
                <c:pt idx="372">
                  <c:v>42214</c:v>
                </c:pt>
                <c:pt idx="373">
                  <c:v>42213</c:v>
                </c:pt>
                <c:pt idx="374">
                  <c:v>42212</c:v>
                </c:pt>
                <c:pt idx="375">
                  <c:v>42209</c:v>
                </c:pt>
                <c:pt idx="376">
                  <c:v>42208</c:v>
                </c:pt>
                <c:pt idx="377">
                  <c:v>42207</c:v>
                </c:pt>
                <c:pt idx="378">
                  <c:v>42206</c:v>
                </c:pt>
                <c:pt idx="379">
                  <c:v>42205</c:v>
                </c:pt>
                <c:pt idx="380">
                  <c:v>42202</c:v>
                </c:pt>
                <c:pt idx="381">
                  <c:v>42201</c:v>
                </c:pt>
                <c:pt idx="382">
                  <c:v>42200</c:v>
                </c:pt>
                <c:pt idx="383">
                  <c:v>42199</c:v>
                </c:pt>
                <c:pt idx="384">
                  <c:v>42198</c:v>
                </c:pt>
                <c:pt idx="385">
                  <c:v>42195</c:v>
                </c:pt>
                <c:pt idx="386">
                  <c:v>42194</c:v>
                </c:pt>
                <c:pt idx="387">
                  <c:v>42193</c:v>
                </c:pt>
                <c:pt idx="388">
                  <c:v>42192</c:v>
                </c:pt>
                <c:pt idx="389">
                  <c:v>42191</c:v>
                </c:pt>
                <c:pt idx="390">
                  <c:v>42188</c:v>
                </c:pt>
                <c:pt idx="391">
                  <c:v>42187</c:v>
                </c:pt>
                <c:pt idx="392">
                  <c:v>42186</c:v>
                </c:pt>
                <c:pt idx="393">
                  <c:v>42185</c:v>
                </c:pt>
                <c:pt idx="394">
                  <c:v>42184</c:v>
                </c:pt>
                <c:pt idx="395">
                  <c:v>42181</c:v>
                </c:pt>
                <c:pt idx="396">
                  <c:v>42180</c:v>
                </c:pt>
                <c:pt idx="397">
                  <c:v>42179</c:v>
                </c:pt>
                <c:pt idx="398">
                  <c:v>42178</c:v>
                </c:pt>
                <c:pt idx="399">
                  <c:v>42177</c:v>
                </c:pt>
                <c:pt idx="400">
                  <c:v>42174</c:v>
                </c:pt>
                <c:pt idx="401">
                  <c:v>42173</c:v>
                </c:pt>
                <c:pt idx="402">
                  <c:v>42172</c:v>
                </c:pt>
                <c:pt idx="403">
                  <c:v>42171</c:v>
                </c:pt>
                <c:pt idx="404">
                  <c:v>42170</c:v>
                </c:pt>
                <c:pt idx="405">
                  <c:v>42167</c:v>
                </c:pt>
                <c:pt idx="406">
                  <c:v>42166</c:v>
                </c:pt>
                <c:pt idx="407">
                  <c:v>42165</c:v>
                </c:pt>
                <c:pt idx="408">
                  <c:v>42164</c:v>
                </c:pt>
                <c:pt idx="409">
                  <c:v>42163</c:v>
                </c:pt>
                <c:pt idx="410">
                  <c:v>42160</c:v>
                </c:pt>
                <c:pt idx="411">
                  <c:v>42159</c:v>
                </c:pt>
                <c:pt idx="412">
                  <c:v>42158</c:v>
                </c:pt>
                <c:pt idx="413">
                  <c:v>42157</c:v>
                </c:pt>
                <c:pt idx="414">
                  <c:v>42156</c:v>
                </c:pt>
                <c:pt idx="415">
                  <c:v>42153</c:v>
                </c:pt>
                <c:pt idx="416">
                  <c:v>42152</c:v>
                </c:pt>
                <c:pt idx="417">
                  <c:v>42151</c:v>
                </c:pt>
                <c:pt idx="418">
                  <c:v>42150</c:v>
                </c:pt>
                <c:pt idx="419">
                  <c:v>42149</c:v>
                </c:pt>
                <c:pt idx="420">
                  <c:v>42146</c:v>
                </c:pt>
                <c:pt idx="421">
                  <c:v>42145</c:v>
                </c:pt>
                <c:pt idx="422">
                  <c:v>42144</c:v>
                </c:pt>
                <c:pt idx="423">
                  <c:v>42143</c:v>
                </c:pt>
                <c:pt idx="424">
                  <c:v>42142</c:v>
                </c:pt>
                <c:pt idx="425">
                  <c:v>42139</c:v>
                </c:pt>
                <c:pt idx="426">
                  <c:v>42138</c:v>
                </c:pt>
                <c:pt idx="427">
                  <c:v>42137</c:v>
                </c:pt>
                <c:pt idx="428">
                  <c:v>42136</c:v>
                </c:pt>
                <c:pt idx="429">
                  <c:v>42135</c:v>
                </c:pt>
                <c:pt idx="430">
                  <c:v>42132</c:v>
                </c:pt>
                <c:pt idx="431">
                  <c:v>42131</c:v>
                </c:pt>
                <c:pt idx="432">
                  <c:v>42130</c:v>
                </c:pt>
                <c:pt idx="433">
                  <c:v>42129</c:v>
                </c:pt>
                <c:pt idx="434">
                  <c:v>42128</c:v>
                </c:pt>
                <c:pt idx="435">
                  <c:v>42125</c:v>
                </c:pt>
                <c:pt idx="436">
                  <c:v>42124</c:v>
                </c:pt>
                <c:pt idx="437">
                  <c:v>42123</c:v>
                </c:pt>
                <c:pt idx="438">
                  <c:v>42122</c:v>
                </c:pt>
                <c:pt idx="439">
                  <c:v>42121</c:v>
                </c:pt>
                <c:pt idx="440">
                  <c:v>42118</c:v>
                </c:pt>
                <c:pt idx="441">
                  <c:v>42117</c:v>
                </c:pt>
                <c:pt idx="442">
                  <c:v>42116</c:v>
                </c:pt>
                <c:pt idx="443">
                  <c:v>42115</c:v>
                </c:pt>
                <c:pt idx="444">
                  <c:v>42114</c:v>
                </c:pt>
                <c:pt idx="445">
                  <c:v>42111</c:v>
                </c:pt>
                <c:pt idx="446">
                  <c:v>42110</c:v>
                </c:pt>
                <c:pt idx="447">
                  <c:v>42109</c:v>
                </c:pt>
                <c:pt idx="448">
                  <c:v>42108</c:v>
                </c:pt>
                <c:pt idx="449">
                  <c:v>42107</c:v>
                </c:pt>
                <c:pt idx="450">
                  <c:v>42104</c:v>
                </c:pt>
                <c:pt idx="451">
                  <c:v>42103</c:v>
                </c:pt>
                <c:pt idx="452">
                  <c:v>42102</c:v>
                </c:pt>
                <c:pt idx="453">
                  <c:v>42101</c:v>
                </c:pt>
                <c:pt idx="454">
                  <c:v>42100</c:v>
                </c:pt>
                <c:pt idx="455">
                  <c:v>42097</c:v>
                </c:pt>
                <c:pt idx="456">
                  <c:v>42096</c:v>
                </c:pt>
                <c:pt idx="457">
                  <c:v>42095</c:v>
                </c:pt>
                <c:pt idx="458">
                  <c:v>42094</c:v>
                </c:pt>
                <c:pt idx="459">
                  <c:v>42093</c:v>
                </c:pt>
                <c:pt idx="460">
                  <c:v>42090</c:v>
                </c:pt>
                <c:pt idx="461">
                  <c:v>42089</c:v>
                </c:pt>
                <c:pt idx="462">
                  <c:v>42088</c:v>
                </c:pt>
                <c:pt idx="463">
                  <c:v>42087</c:v>
                </c:pt>
                <c:pt idx="464">
                  <c:v>42086</c:v>
                </c:pt>
                <c:pt idx="465">
                  <c:v>42083</c:v>
                </c:pt>
                <c:pt idx="466">
                  <c:v>42082</c:v>
                </c:pt>
                <c:pt idx="467">
                  <c:v>42081</c:v>
                </c:pt>
                <c:pt idx="468">
                  <c:v>42080</c:v>
                </c:pt>
                <c:pt idx="469">
                  <c:v>42079</c:v>
                </c:pt>
                <c:pt idx="470">
                  <c:v>42076</c:v>
                </c:pt>
                <c:pt idx="471">
                  <c:v>42075</c:v>
                </c:pt>
                <c:pt idx="472">
                  <c:v>42074</c:v>
                </c:pt>
                <c:pt idx="473">
                  <c:v>42073</c:v>
                </c:pt>
                <c:pt idx="474">
                  <c:v>42072</c:v>
                </c:pt>
                <c:pt idx="475">
                  <c:v>42069</c:v>
                </c:pt>
                <c:pt idx="476">
                  <c:v>42068</c:v>
                </c:pt>
                <c:pt idx="477">
                  <c:v>42067</c:v>
                </c:pt>
                <c:pt idx="478">
                  <c:v>42066</c:v>
                </c:pt>
                <c:pt idx="479">
                  <c:v>42065</c:v>
                </c:pt>
                <c:pt idx="480">
                  <c:v>42062</c:v>
                </c:pt>
                <c:pt idx="481">
                  <c:v>42061</c:v>
                </c:pt>
                <c:pt idx="482">
                  <c:v>42060</c:v>
                </c:pt>
                <c:pt idx="483">
                  <c:v>42059</c:v>
                </c:pt>
                <c:pt idx="484">
                  <c:v>42058</c:v>
                </c:pt>
                <c:pt idx="485">
                  <c:v>42055</c:v>
                </c:pt>
                <c:pt idx="486">
                  <c:v>42054</c:v>
                </c:pt>
                <c:pt idx="487">
                  <c:v>42053</c:v>
                </c:pt>
                <c:pt idx="488">
                  <c:v>42052</c:v>
                </c:pt>
                <c:pt idx="489">
                  <c:v>42051</c:v>
                </c:pt>
                <c:pt idx="490">
                  <c:v>42048</c:v>
                </c:pt>
                <c:pt idx="491">
                  <c:v>42047</c:v>
                </c:pt>
                <c:pt idx="492">
                  <c:v>42046</c:v>
                </c:pt>
                <c:pt idx="493">
                  <c:v>42045</c:v>
                </c:pt>
                <c:pt idx="494">
                  <c:v>42044</c:v>
                </c:pt>
                <c:pt idx="495">
                  <c:v>42041</c:v>
                </c:pt>
                <c:pt idx="496">
                  <c:v>42040</c:v>
                </c:pt>
                <c:pt idx="497">
                  <c:v>42039</c:v>
                </c:pt>
                <c:pt idx="498">
                  <c:v>42038</c:v>
                </c:pt>
                <c:pt idx="499">
                  <c:v>42037</c:v>
                </c:pt>
                <c:pt idx="500">
                  <c:v>42034</c:v>
                </c:pt>
                <c:pt idx="501">
                  <c:v>42033</c:v>
                </c:pt>
                <c:pt idx="502">
                  <c:v>42032</c:v>
                </c:pt>
                <c:pt idx="503">
                  <c:v>42031</c:v>
                </c:pt>
                <c:pt idx="504">
                  <c:v>42030</c:v>
                </c:pt>
                <c:pt idx="505">
                  <c:v>42027</c:v>
                </c:pt>
                <c:pt idx="506">
                  <c:v>42026</c:v>
                </c:pt>
                <c:pt idx="507">
                  <c:v>42025</c:v>
                </c:pt>
                <c:pt idx="508">
                  <c:v>42024</c:v>
                </c:pt>
                <c:pt idx="509">
                  <c:v>42023</c:v>
                </c:pt>
                <c:pt idx="510">
                  <c:v>42020</c:v>
                </c:pt>
                <c:pt idx="511">
                  <c:v>42019</c:v>
                </c:pt>
                <c:pt idx="512">
                  <c:v>42018</c:v>
                </c:pt>
                <c:pt idx="513">
                  <c:v>42017</c:v>
                </c:pt>
                <c:pt idx="514">
                  <c:v>42016</c:v>
                </c:pt>
                <c:pt idx="515">
                  <c:v>42013</c:v>
                </c:pt>
                <c:pt idx="516">
                  <c:v>42012</c:v>
                </c:pt>
                <c:pt idx="517">
                  <c:v>42011</c:v>
                </c:pt>
                <c:pt idx="518">
                  <c:v>42010</c:v>
                </c:pt>
                <c:pt idx="519">
                  <c:v>42009</c:v>
                </c:pt>
                <c:pt idx="520">
                  <c:v>42006</c:v>
                </c:pt>
                <c:pt idx="521">
                  <c:v>42005</c:v>
                </c:pt>
                <c:pt idx="522">
                  <c:v>42004</c:v>
                </c:pt>
                <c:pt idx="523">
                  <c:v>42003</c:v>
                </c:pt>
                <c:pt idx="524">
                  <c:v>42002</c:v>
                </c:pt>
                <c:pt idx="525">
                  <c:v>41999</c:v>
                </c:pt>
                <c:pt idx="526">
                  <c:v>41998</c:v>
                </c:pt>
                <c:pt idx="527">
                  <c:v>41997</c:v>
                </c:pt>
                <c:pt idx="528">
                  <c:v>41996</c:v>
                </c:pt>
                <c:pt idx="529">
                  <c:v>41995</c:v>
                </c:pt>
                <c:pt idx="530">
                  <c:v>41992</c:v>
                </c:pt>
                <c:pt idx="531">
                  <c:v>41991</c:v>
                </c:pt>
                <c:pt idx="532">
                  <c:v>41990</c:v>
                </c:pt>
                <c:pt idx="533">
                  <c:v>41989</c:v>
                </c:pt>
                <c:pt idx="534">
                  <c:v>41988</c:v>
                </c:pt>
                <c:pt idx="535">
                  <c:v>41985</c:v>
                </c:pt>
                <c:pt idx="536">
                  <c:v>41984</c:v>
                </c:pt>
                <c:pt idx="537">
                  <c:v>41983</c:v>
                </c:pt>
                <c:pt idx="538">
                  <c:v>41982</c:v>
                </c:pt>
                <c:pt idx="539">
                  <c:v>41981</c:v>
                </c:pt>
                <c:pt idx="540">
                  <c:v>41978</c:v>
                </c:pt>
                <c:pt idx="541">
                  <c:v>41977</c:v>
                </c:pt>
                <c:pt idx="542">
                  <c:v>41976</c:v>
                </c:pt>
                <c:pt idx="543">
                  <c:v>41975</c:v>
                </c:pt>
                <c:pt idx="544">
                  <c:v>41974</c:v>
                </c:pt>
                <c:pt idx="545">
                  <c:v>41971</c:v>
                </c:pt>
                <c:pt idx="546">
                  <c:v>41970</c:v>
                </c:pt>
                <c:pt idx="547">
                  <c:v>41969</c:v>
                </c:pt>
                <c:pt idx="548">
                  <c:v>41968</c:v>
                </c:pt>
                <c:pt idx="549">
                  <c:v>41967</c:v>
                </c:pt>
                <c:pt idx="550">
                  <c:v>41964</c:v>
                </c:pt>
                <c:pt idx="551">
                  <c:v>41963</c:v>
                </c:pt>
                <c:pt idx="552">
                  <c:v>41962</c:v>
                </c:pt>
                <c:pt idx="553">
                  <c:v>41961</c:v>
                </c:pt>
                <c:pt idx="554">
                  <c:v>41960</c:v>
                </c:pt>
                <c:pt idx="555">
                  <c:v>41957</c:v>
                </c:pt>
                <c:pt idx="556">
                  <c:v>41956</c:v>
                </c:pt>
                <c:pt idx="557">
                  <c:v>41955</c:v>
                </c:pt>
                <c:pt idx="558">
                  <c:v>41954</c:v>
                </c:pt>
                <c:pt idx="559">
                  <c:v>41953</c:v>
                </c:pt>
                <c:pt idx="560">
                  <c:v>41950</c:v>
                </c:pt>
                <c:pt idx="561">
                  <c:v>41949</c:v>
                </c:pt>
                <c:pt idx="562">
                  <c:v>41948</c:v>
                </c:pt>
                <c:pt idx="563">
                  <c:v>41947</c:v>
                </c:pt>
                <c:pt idx="564">
                  <c:v>41946</c:v>
                </c:pt>
                <c:pt idx="565">
                  <c:v>41943</c:v>
                </c:pt>
                <c:pt idx="566">
                  <c:v>41942</c:v>
                </c:pt>
                <c:pt idx="567">
                  <c:v>41941</c:v>
                </c:pt>
                <c:pt idx="568">
                  <c:v>41940</c:v>
                </c:pt>
                <c:pt idx="569">
                  <c:v>41939</c:v>
                </c:pt>
                <c:pt idx="570">
                  <c:v>41936</c:v>
                </c:pt>
                <c:pt idx="571">
                  <c:v>41935</c:v>
                </c:pt>
                <c:pt idx="572">
                  <c:v>41934</c:v>
                </c:pt>
                <c:pt idx="573">
                  <c:v>41933</c:v>
                </c:pt>
                <c:pt idx="574">
                  <c:v>41932</c:v>
                </c:pt>
                <c:pt idx="575">
                  <c:v>41929</c:v>
                </c:pt>
                <c:pt idx="576">
                  <c:v>41928</c:v>
                </c:pt>
                <c:pt idx="577">
                  <c:v>41927</c:v>
                </c:pt>
                <c:pt idx="578">
                  <c:v>41926</c:v>
                </c:pt>
                <c:pt idx="579">
                  <c:v>41925</c:v>
                </c:pt>
                <c:pt idx="580">
                  <c:v>41922</c:v>
                </c:pt>
                <c:pt idx="581">
                  <c:v>41921</c:v>
                </c:pt>
                <c:pt idx="582">
                  <c:v>41920</c:v>
                </c:pt>
                <c:pt idx="583">
                  <c:v>41919</c:v>
                </c:pt>
                <c:pt idx="584">
                  <c:v>41918</c:v>
                </c:pt>
                <c:pt idx="585">
                  <c:v>41915</c:v>
                </c:pt>
                <c:pt idx="586">
                  <c:v>41914</c:v>
                </c:pt>
                <c:pt idx="587">
                  <c:v>41913</c:v>
                </c:pt>
                <c:pt idx="588">
                  <c:v>41912</c:v>
                </c:pt>
                <c:pt idx="589">
                  <c:v>41911</c:v>
                </c:pt>
                <c:pt idx="590">
                  <c:v>41908</c:v>
                </c:pt>
                <c:pt idx="591">
                  <c:v>41907</c:v>
                </c:pt>
                <c:pt idx="592">
                  <c:v>41906</c:v>
                </c:pt>
                <c:pt idx="593">
                  <c:v>41905</c:v>
                </c:pt>
                <c:pt idx="594">
                  <c:v>41904</c:v>
                </c:pt>
                <c:pt idx="595">
                  <c:v>41901</c:v>
                </c:pt>
                <c:pt idx="596">
                  <c:v>41900</c:v>
                </c:pt>
                <c:pt idx="597">
                  <c:v>41899</c:v>
                </c:pt>
                <c:pt idx="598">
                  <c:v>41898</c:v>
                </c:pt>
                <c:pt idx="599">
                  <c:v>41897</c:v>
                </c:pt>
                <c:pt idx="600">
                  <c:v>41894</c:v>
                </c:pt>
                <c:pt idx="601">
                  <c:v>41893</c:v>
                </c:pt>
                <c:pt idx="602">
                  <c:v>41892</c:v>
                </c:pt>
                <c:pt idx="603">
                  <c:v>41891</c:v>
                </c:pt>
                <c:pt idx="604">
                  <c:v>41890</c:v>
                </c:pt>
                <c:pt idx="605">
                  <c:v>41887</c:v>
                </c:pt>
                <c:pt idx="606">
                  <c:v>41886</c:v>
                </c:pt>
                <c:pt idx="607">
                  <c:v>41885</c:v>
                </c:pt>
                <c:pt idx="608">
                  <c:v>41884</c:v>
                </c:pt>
                <c:pt idx="609">
                  <c:v>41883</c:v>
                </c:pt>
                <c:pt idx="610">
                  <c:v>41880</c:v>
                </c:pt>
                <c:pt idx="611">
                  <c:v>41879</c:v>
                </c:pt>
                <c:pt idx="612">
                  <c:v>41878</c:v>
                </c:pt>
                <c:pt idx="613">
                  <c:v>41877</c:v>
                </c:pt>
                <c:pt idx="614">
                  <c:v>41876</c:v>
                </c:pt>
                <c:pt idx="615">
                  <c:v>41873</c:v>
                </c:pt>
                <c:pt idx="616">
                  <c:v>41872</c:v>
                </c:pt>
                <c:pt idx="617">
                  <c:v>41871</c:v>
                </c:pt>
                <c:pt idx="618">
                  <c:v>41870</c:v>
                </c:pt>
                <c:pt idx="619">
                  <c:v>41869</c:v>
                </c:pt>
                <c:pt idx="620">
                  <c:v>41866</c:v>
                </c:pt>
                <c:pt idx="621">
                  <c:v>41865</c:v>
                </c:pt>
                <c:pt idx="622">
                  <c:v>41864</c:v>
                </c:pt>
                <c:pt idx="623">
                  <c:v>41863</c:v>
                </c:pt>
                <c:pt idx="624">
                  <c:v>41862</c:v>
                </c:pt>
                <c:pt idx="625">
                  <c:v>41859</c:v>
                </c:pt>
                <c:pt idx="626">
                  <c:v>41858</c:v>
                </c:pt>
                <c:pt idx="627">
                  <c:v>41857</c:v>
                </c:pt>
                <c:pt idx="628">
                  <c:v>41856</c:v>
                </c:pt>
                <c:pt idx="629">
                  <c:v>41855</c:v>
                </c:pt>
                <c:pt idx="630">
                  <c:v>41852</c:v>
                </c:pt>
                <c:pt idx="631">
                  <c:v>41851</c:v>
                </c:pt>
                <c:pt idx="632">
                  <c:v>41850</c:v>
                </c:pt>
                <c:pt idx="633">
                  <c:v>41849</c:v>
                </c:pt>
                <c:pt idx="634">
                  <c:v>41848</c:v>
                </c:pt>
                <c:pt idx="635">
                  <c:v>41845</c:v>
                </c:pt>
                <c:pt idx="636">
                  <c:v>41844</c:v>
                </c:pt>
                <c:pt idx="637">
                  <c:v>41843</c:v>
                </c:pt>
                <c:pt idx="638">
                  <c:v>41842</c:v>
                </c:pt>
                <c:pt idx="639">
                  <c:v>41841</c:v>
                </c:pt>
                <c:pt idx="640">
                  <c:v>41838</c:v>
                </c:pt>
                <c:pt idx="641">
                  <c:v>41837</c:v>
                </c:pt>
                <c:pt idx="642">
                  <c:v>41836</c:v>
                </c:pt>
                <c:pt idx="643">
                  <c:v>41835</c:v>
                </c:pt>
                <c:pt idx="644">
                  <c:v>41834</c:v>
                </c:pt>
                <c:pt idx="645">
                  <c:v>41831</c:v>
                </c:pt>
                <c:pt idx="646">
                  <c:v>41830</c:v>
                </c:pt>
                <c:pt idx="647">
                  <c:v>41829</c:v>
                </c:pt>
                <c:pt idx="648">
                  <c:v>41828</c:v>
                </c:pt>
                <c:pt idx="649">
                  <c:v>41827</c:v>
                </c:pt>
                <c:pt idx="650">
                  <c:v>41824</c:v>
                </c:pt>
                <c:pt idx="651">
                  <c:v>41823</c:v>
                </c:pt>
                <c:pt idx="652">
                  <c:v>41822</c:v>
                </c:pt>
                <c:pt idx="653">
                  <c:v>41821</c:v>
                </c:pt>
                <c:pt idx="654">
                  <c:v>41820</c:v>
                </c:pt>
                <c:pt idx="655">
                  <c:v>41817</c:v>
                </c:pt>
                <c:pt idx="656">
                  <c:v>41816</c:v>
                </c:pt>
                <c:pt idx="657">
                  <c:v>41815</c:v>
                </c:pt>
                <c:pt idx="658">
                  <c:v>41814</c:v>
                </c:pt>
                <c:pt idx="659">
                  <c:v>41813</c:v>
                </c:pt>
                <c:pt idx="660">
                  <c:v>41810</c:v>
                </c:pt>
                <c:pt idx="661">
                  <c:v>41809</c:v>
                </c:pt>
                <c:pt idx="662">
                  <c:v>41808</c:v>
                </c:pt>
                <c:pt idx="663">
                  <c:v>41807</c:v>
                </c:pt>
                <c:pt idx="664">
                  <c:v>41806</c:v>
                </c:pt>
                <c:pt idx="665">
                  <c:v>41803</c:v>
                </c:pt>
                <c:pt idx="666">
                  <c:v>41802</c:v>
                </c:pt>
                <c:pt idx="667">
                  <c:v>41801</c:v>
                </c:pt>
                <c:pt idx="668">
                  <c:v>41800</c:v>
                </c:pt>
                <c:pt idx="669">
                  <c:v>41799</c:v>
                </c:pt>
                <c:pt idx="670">
                  <c:v>41796</c:v>
                </c:pt>
                <c:pt idx="671">
                  <c:v>41795</c:v>
                </c:pt>
                <c:pt idx="672">
                  <c:v>41794</c:v>
                </c:pt>
                <c:pt idx="673">
                  <c:v>41793</c:v>
                </c:pt>
                <c:pt idx="674">
                  <c:v>41792</c:v>
                </c:pt>
                <c:pt idx="675">
                  <c:v>41789</c:v>
                </c:pt>
                <c:pt idx="676">
                  <c:v>41788</c:v>
                </c:pt>
                <c:pt idx="677">
                  <c:v>41787</c:v>
                </c:pt>
                <c:pt idx="678">
                  <c:v>41786</c:v>
                </c:pt>
                <c:pt idx="679">
                  <c:v>41785</c:v>
                </c:pt>
                <c:pt idx="680">
                  <c:v>41782</c:v>
                </c:pt>
                <c:pt idx="681">
                  <c:v>41781</c:v>
                </c:pt>
                <c:pt idx="682">
                  <c:v>41780</c:v>
                </c:pt>
                <c:pt idx="683">
                  <c:v>41779</c:v>
                </c:pt>
                <c:pt idx="684">
                  <c:v>41778</c:v>
                </c:pt>
                <c:pt idx="685">
                  <c:v>41775</c:v>
                </c:pt>
                <c:pt idx="686">
                  <c:v>41774</c:v>
                </c:pt>
                <c:pt idx="687">
                  <c:v>41773</c:v>
                </c:pt>
                <c:pt idx="688">
                  <c:v>41772</c:v>
                </c:pt>
                <c:pt idx="689">
                  <c:v>41771</c:v>
                </c:pt>
                <c:pt idx="690">
                  <c:v>41768</c:v>
                </c:pt>
                <c:pt idx="691">
                  <c:v>41767</c:v>
                </c:pt>
                <c:pt idx="692">
                  <c:v>41766</c:v>
                </c:pt>
                <c:pt idx="693">
                  <c:v>41765</c:v>
                </c:pt>
                <c:pt idx="694">
                  <c:v>41764</c:v>
                </c:pt>
                <c:pt idx="695">
                  <c:v>41761</c:v>
                </c:pt>
                <c:pt idx="696">
                  <c:v>41760</c:v>
                </c:pt>
                <c:pt idx="697">
                  <c:v>41759</c:v>
                </c:pt>
                <c:pt idx="698">
                  <c:v>41758</c:v>
                </c:pt>
                <c:pt idx="699">
                  <c:v>41757</c:v>
                </c:pt>
                <c:pt idx="700">
                  <c:v>41754</c:v>
                </c:pt>
                <c:pt idx="701">
                  <c:v>41753</c:v>
                </c:pt>
              </c:numCache>
            </c:numRef>
          </c:cat>
          <c:val>
            <c:numRef>
              <c:f>Datos!$C$4:$C$2000</c:f>
              <c:numCache>
                <c:formatCode>General</c:formatCode>
                <c:ptCount val="1997"/>
                <c:pt idx="0">
                  <c:v>1197.3531460681784</c:v>
                </c:pt>
                <c:pt idx="1">
                  <c:v>1196.6464558883622</c:v>
                </c:pt>
                <c:pt idx="2">
                  <c:v>1195.3840990436893</c:v>
                </c:pt>
                <c:pt idx="3">
                  <c:v>1194.4660475814912</c:v>
                </c:pt>
                <c:pt idx="4">
                  <c:v>1193.2411338965012</c:v>
                </c:pt>
                <c:pt idx="5">
                  <c:v>1192.0663445561804</c:v>
                </c:pt>
                <c:pt idx="6">
                  <c:v>1191.7021463821293</c:v>
                </c:pt>
                <c:pt idx="7">
                  <c:v>1190.5874616298117</c:v>
                </c:pt>
                <c:pt idx="8">
                  <c:v>1189.7669411232002</c:v>
                </c:pt>
                <c:pt idx="9">
                  <c:v>1188.5233262490508</c:v>
                </c:pt>
                <c:pt idx="10">
                  <c:v>1186.8644421456866</c:v>
                </c:pt>
                <c:pt idx="11">
                  <c:v>1185.8930936814097</c:v>
                </c:pt>
                <c:pt idx="12">
                  <c:v>1185.4383177756577</c:v>
                </c:pt>
                <c:pt idx="13">
                  <c:v>1183.4293151244885</c:v>
                </c:pt>
                <c:pt idx="14">
                  <c:v>1182.8013672889447</c:v>
                </c:pt>
                <c:pt idx="15">
                  <c:v>1182.2977657720778</c:v>
                </c:pt>
                <c:pt idx="16">
                  <c:v>1181.5393059408791</c:v>
                </c:pt>
                <c:pt idx="17">
                  <c:v>1181.5393059408791</c:v>
                </c:pt>
                <c:pt idx="18">
                  <c:v>1180.2095460350502</c:v>
                </c:pt>
                <c:pt idx="19">
                  <c:v>1179.6149880080347</c:v>
                </c:pt>
                <c:pt idx="20">
                  <c:v>1178.4729364960283</c:v>
                </c:pt>
                <c:pt idx="21">
                  <c:v>1177.7627714217938</c:v>
                </c:pt>
                <c:pt idx="22">
                  <c:v>1177.2809224574394</c:v>
                </c:pt>
                <c:pt idx="23">
                  <c:v>1176.8058752896216</c:v>
                </c:pt>
                <c:pt idx="24">
                  <c:v>1176.1350212608329</c:v>
                </c:pt>
                <c:pt idx="25">
                  <c:v>1175.7762172958796</c:v>
                </c:pt>
                <c:pt idx="26">
                  <c:v>1175.7789427502678</c:v>
                </c:pt>
                <c:pt idx="27">
                  <c:v>1175.3751063924396</c:v>
                </c:pt>
                <c:pt idx="28">
                  <c:v>1175.1546280824323</c:v>
                </c:pt>
                <c:pt idx="29">
                  <c:v>1174.7477353320794</c:v>
                </c:pt>
                <c:pt idx="30">
                  <c:v>1174.4685788409968</c:v>
                </c:pt>
                <c:pt idx="31">
                  <c:v>1174.0740860027527</c:v>
                </c:pt>
                <c:pt idx="32">
                  <c:v>1173.6252118501004</c:v>
                </c:pt>
                <c:pt idx="33">
                  <c:v>1172.9875008833724</c:v>
                </c:pt>
                <c:pt idx="34">
                  <c:v>1174.2112131707577</c:v>
                </c:pt>
                <c:pt idx="35">
                  <c:v>1179.2984519048714</c:v>
                </c:pt>
                <c:pt idx="36">
                  <c:v>1182.9143923661461</c:v>
                </c:pt>
                <c:pt idx="37">
                  <c:v>1184.9749409358947</c:v>
                </c:pt>
                <c:pt idx="38">
                  <c:v>1185.773910086469</c:v>
                </c:pt>
                <c:pt idx="39">
                  <c:v>1186.0785018499002</c:v>
                </c:pt>
                <c:pt idx="40">
                  <c:v>1185.4511326896084</c:v>
                </c:pt>
                <c:pt idx="41">
                  <c:v>1185.3675095522492</c:v>
                </c:pt>
                <c:pt idx="42">
                  <c:v>1185.7052178626661</c:v>
                </c:pt>
                <c:pt idx="43">
                  <c:v>1186.2600848798736</c:v>
                </c:pt>
                <c:pt idx="44">
                  <c:v>1186.2600848798736</c:v>
                </c:pt>
                <c:pt idx="45">
                  <c:v>1186.2600848798736</c:v>
                </c:pt>
                <c:pt idx="46">
                  <c:v>1186.9253256158502</c:v>
                </c:pt>
                <c:pt idx="47">
                  <c:v>1187.5253781582514</c:v>
                </c:pt>
                <c:pt idx="48">
                  <c:v>1187.5960106995344</c:v>
                </c:pt>
                <c:pt idx="49">
                  <c:v>1188.0094754281652</c:v>
                </c:pt>
                <c:pt idx="50">
                  <c:v>1188.4732292955739</c:v>
                </c:pt>
                <c:pt idx="51">
                  <c:v>1189.4384530056027</c:v>
                </c:pt>
                <c:pt idx="52">
                  <c:v>1190.4922718387897</c:v>
                </c:pt>
                <c:pt idx="53">
                  <c:v>1191.2567815055793</c:v>
                </c:pt>
                <c:pt idx="54">
                  <c:v>1191.8881759722021</c:v>
                </c:pt>
                <c:pt idx="55">
                  <c:v>1192.0091555682507</c:v>
                </c:pt>
                <c:pt idx="56">
                  <c:v>1192.4701435620427</c:v>
                </c:pt>
                <c:pt idx="57">
                  <c:v>1192.7441801476084</c:v>
                </c:pt>
                <c:pt idx="58">
                  <c:v>1192.9852848099649</c:v>
                </c:pt>
                <c:pt idx="59">
                  <c:v>1193.2535819312204</c:v>
                </c:pt>
                <c:pt idx="60">
                  <c:v>1193.2535819312204</c:v>
                </c:pt>
                <c:pt idx="61">
                  <c:v>1194.118024587747</c:v>
                </c:pt>
                <c:pt idx="62">
                  <c:v>1193.2825314575093</c:v>
                </c:pt>
                <c:pt idx="63">
                  <c:v>1192.429769562759</c:v>
                </c:pt>
                <c:pt idx="64">
                  <c:v>1191.8363203007143</c:v>
                </c:pt>
                <c:pt idx="65">
                  <c:v>1191.443348055328</c:v>
                </c:pt>
                <c:pt idx="66">
                  <c:v>1191.4817782822665</c:v>
                </c:pt>
                <c:pt idx="67">
                  <c:v>1190.9443982780667</c:v>
                </c:pt>
                <c:pt idx="68">
                  <c:v>1190.3219216826299</c:v>
                </c:pt>
                <c:pt idx="69">
                  <c:v>1189.4933816209914</c:v>
                </c:pt>
                <c:pt idx="70">
                  <c:v>1188.8349665165679</c:v>
                </c:pt>
                <c:pt idx="71">
                  <c:v>1188.4993689892422</c:v>
                </c:pt>
                <c:pt idx="72">
                  <c:v>1187.7359215163622</c:v>
                </c:pt>
                <c:pt idx="73">
                  <c:v>1187.4463616580701</c:v>
                </c:pt>
                <c:pt idx="74">
                  <c:v>1186.7459947318073</c:v>
                </c:pt>
                <c:pt idx="75">
                  <c:v>1186.7459947318073</c:v>
                </c:pt>
                <c:pt idx="76">
                  <c:v>1186.6009119828552</c:v>
                </c:pt>
                <c:pt idx="77">
                  <c:v>1186.4513403768497</c:v>
                </c:pt>
                <c:pt idx="78">
                  <c:v>1186.3916399125817</c:v>
                </c:pt>
                <c:pt idx="79">
                  <c:v>1186.1431570852189</c:v>
                </c:pt>
                <c:pt idx="80">
                  <c:v>1185.8920773387299</c:v>
                </c:pt>
                <c:pt idx="81">
                  <c:v>1185.6566423932516</c:v>
                </c:pt>
                <c:pt idx="82">
                  <c:v>1185.3384651533238</c:v>
                </c:pt>
                <c:pt idx="83">
                  <c:v>1184.7114006553779</c:v>
                </c:pt>
                <c:pt idx="84">
                  <c:v>1184.1927188244686</c:v>
                </c:pt>
                <c:pt idx="85">
                  <c:v>1183.5836437386811</c:v>
                </c:pt>
                <c:pt idx="86">
                  <c:v>1183.358630056385</c:v>
                </c:pt>
                <c:pt idx="87">
                  <c:v>1183.1107346633153</c:v>
                </c:pt>
                <c:pt idx="88">
                  <c:v>1182.7732397857358</c:v>
                </c:pt>
                <c:pt idx="89">
                  <c:v>1182.3387243328846</c:v>
                </c:pt>
                <c:pt idx="90">
                  <c:v>1181.5925637905418</c:v>
                </c:pt>
                <c:pt idx="91">
                  <c:v>1181.2054682244982</c:v>
                </c:pt>
                <c:pt idx="92">
                  <c:v>1180.7112241911314</c:v>
                </c:pt>
                <c:pt idx="93">
                  <c:v>1180.2346188824611</c:v>
                </c:pt>
                <c:pt idx="94">
                  <c:v>1179.9403789947548</c:v>
                </c:pt>
                <c:pt idx="95">
                  <c:v>1179.4694403214112</c:v>
                </c:pt>
                <c:pt idx="96">
                  <c:v>1179.2700195993416</c:v>
                </c:pt>
                <c:pt idx="97">
                  <c:v>1179.0590693652498</c:v>
                </c:pt>
                <c:pt idx="98">
                  <c:v>1178.5392463984886</c:v>
                </c:pt>
                <c:pt idx="99">
                  <c:v>1177.1410823701683</c:v>
                </c:pt>
                <c:pt idx="100">
                  <c:v>1177.1410823701683</c:v>
                </c:pt>
                <c:pt idx="101">
                  <c:v>1175.9344673384669</c:v>
                </c:pt>
                <c:pt idx="102">
                  <c:v>1175.1323494015385</c:v>
                </c:pt>
                <c:pt idx="103">
                  <c:v>1174.5614304069845</c:v>
                </c:pt>
                <c:pt idx="104">
                  <c:v>1174.0947880638951</c:v>
                </c:pt>
                <c:pt idx="105">
                  <c:v>1173.1727136626282</c:v>
                </c:pt>
                <c:pt idx="106">
                  <c:v>1172.9932242460609</c:v>
                </c:pt>
                <c:pt idx="107">
                  <c:v>1172.6048866748197</c:v>
                </c:pt>
                <c:pt idx="108">
                  <c:v>1172.3229569409532</c:v>
                </c:pt>
                <c:pt idx="109">
                  <c:v>1172.0403050103641</c:v>
                </c:pt>
                <c:pt idx="110">
                  <c:v>1171.272281813036</c:v>
                </c:pt>
                <c:pt idx="111">
                  <c:v>1171.2724031738612</c:v>
                </c:pt>
                <c:pt idx="112">
                  <c:v>1171.2982839606098</c:v>
                </c:pt>
                <c:pt idx="113">
                  <c:v>1171.701750618008</c:v>
                </c:pt>
                <c:pt idx="114">
                  <c:v>1172.0531619580775</c:v>
                </c:pt>
                <c:pt idx="115">
                  <c:v>1171.757968758551</c:v>
                </c:pt>
                <c:pt idx="116">
                  <c:v>1171.8934409071169</c:v>
                </c:pt>
                <c:pt idx="117">
                  <c:v>1171.866509809551</c:v>
                </c:pt>
                <c:pt idx="118">
                  <c:v>1171.5680265693186</c:v>
                </c:pt>
                <c:pt idx="119">
                  <c:v>1171.5261577898143</c:v>
                </c:pt>
                <c:pt idx="120">
                  <c:v>1170.8474758138977</c:v>
                </c:pt>
                <c:pt idx="121">
                  <c:v>1170.659808104263</c:v>
                </c:pt>
                <c:pt idx="122">
                  <c:v>1170.3934272522199</c:v>
                </c:pt>
                <c:pt idx="123">
                  <c:v>1169.9932435827038</c:v>
                </c:pt>
                <c:pt idx="124">
                  <c:v>1169.7271150078593</c:v>
                </c:pt>
                <c:pt idx="125">
                  <c:v>1168.9155050740089</c:v>
                </c:pt>
                <c:pt idx="126">
                  <c:v>1168.1627155713622</c:v>
                </c:pt>
                <c:pt idx="127">
                  <c:v>1167.7397634944261</c:v>
                </c:pt>
                <c:pt idx="128">
                  <c:v>1167.3864841167083</c:v>
                </c:pt>
                <c:pt idx="129">
                  <c:v>1167.0096467092121</c:v>
                </c:pt>
                <c:pt idx="130">
                  <c:v>1166.4121120667114</c:v>
                </c:pt>
                <c:pt idx="131">
                  <c:v>1166.0075544860613</c:v>
                </c:pt>
                <c:pt idx="132">
                  <c:v>1165.5545702748682</c:v>
                </c:pt>
                <c:pt idx="133">
                  <c:v>1165.1150249533187</c:v>
                </c:pt>
                <c:pt idx="134">
                  <c:v>1164.482323512108</c:v>
                </c:pt>
                <c:pt idx="135">
                  <c:v>1164.482323512108</c:v>
                </c:pt>
                <c:pt idx="136">
                  <c:v>1164.2188277106584</c:v>
                </c:pt>
                <c:pt idx="137">
                  <c:v>1163.9792725562143</c:v>
                </c:pt>
                <c:pt idx="138">
                  <c:v>1163.6349998944086</c:v>
                </c:pt>
                <c:pt idx="139">
                  <c:v>1163.6279883759757</c:v>
                </c:pt>
                <c:pt idx="140">
                  <c:v>1163.2765678938194</c:v>
                </c:pt>
                <c:pt idx="141">
                  <c:v>1163.3249779691648</c:v>
                </c:pt>
                <c:pt idx="142">
                  <c:v>1163.0835593249717</c:v>
                </c:pt>
                <c:pt idx="143">
                  <c:v>1162.9246597841588</c:v>
                </c:pt>
                <c:pt idx="144">
                  <c:v>1162.8748935794429</c:v>
                </c:pt>
                <c:pt idx="145">
                  <c:v>1162.4137472543007</c:v>
                </c:pt>
                <c:pt idx="146">
                  <c:v>1162.5187079757368</c:v>
                </c:pt>
                <c:pt idx="147">
                  <c:v>1162.4964638631825</c:v>
                </c:pt>
                <c:pt idx="148">
                  <c:v>1162.5397245536026</c:v>
                </c:pt>
                <c:pt idx="149">
                  <c:v>1162.0421602726815</c:v>
                </c:pt>
                <c:pt idx="150">
                  <c:v>1161.2080407815122</c:v>
                </c:pt>
                <c:pt idx="151">
                  <c:v>1160.9017366793166</c:v>
                </c:pt>
                <c:pt idx="152">
                  <c:v>1160.4885820339789</c:v>
                </c:pt>
                <c:pt idx="153">
                  <c:v>1159.9881838136976</c:v>
                </c:pt>
                <c:pt idx="154">
                  <c:v>1159.9014304183136</c:v>
                </c:pt>
                <c:pt idx="155">
                  <c:v>1159.3073778459875</c:v>
                </c:pt>
                <c:pt idx="156">
                  <c:v>1158.9940088446488</c:v>
                </c:pt>
                <c:pt idx="157">
                  <c:v>1158.5806234085974</c:v>
                </c:pt>
                <c:pt idx="158">
                  <c:v>1158.1757917369446</c:v>
                </c:pt>
                <c:pt idx="159">
                  <c:v>1157.7499589071786</c:v>
                </c:pt>
                <c:pt idx="160">
                  <c:v>1156.893022855312</c:v>
                </c:pt>
                <c:pt idx="161">
                  <c:v>1156.527676370755</c:v>
                </c:pt>
                <c:pt idx="162">
                  <c:v>1156.1343597936284</c:v>
                </c:pt>
                <c:pt idx="163">
                  <c:v>1155.6738127829422</c:v>
                </c:pt>
                <c:pt idx="164">
                  <c:v>1155.0361093272302</c:v>
                </c:pt>
                <c:pt idx="165">
                  <c:v>1154.4365079711697</c:v>
                </c:pt>
                <c:pt idx="166">
                  <c:v>1153.9280313082734</c:v>
                </c:pt>
                <c:pt idx="167">
                  <c:v>1153.5212965983681</c:v>
                </c:pt>
                <c:pt idx="168">
                  <c:v>1153.0785205921356</c:v>
                </c:pt>
                <c:pt idx="169">
                  <c:v>1152.7113041338014</c:v>
                </c:pt>
                <c:pt idx="170">
                  <c:v>1152.0901527006545</c:v>
                </c:pt>
                <c:pt idx="171">
                  <c:v>1151.6014853921019</c:v>
                </c:pt>
                <c:pt idx="172">
                  <c:v>1151.2587771464123</c:v>
                </c:pt>
                <c:pt idx="173">
                  <c:v>1150.8720948993559</c:v>
                </c:pt>
                <c:pt idx="174">
                  <c:v>1150.5155004719659</c:v>
                </c:pt>
                <c:pt idx="175">
                  <c:v>1149.9092123100006</c:v>
                </c:pt>
                <c:pt idx="176">
                  <c:v>1150.0822707763641</c:v>
                </c:pt>
                <c:pt idx="177">
                  <c:v>1150.2984898391849</c:v>
                </c:pt>
                <c:pt idx="178">
                  <c:v>1150.2676187222082</c:v>
                </c:pt>
                <c:pt idx="179">
                  <c:v>1150.1670543763612</c:v>
                </c:pt>
                <c:pt idx="180">
                  <c:v>1149.7236995137396</c:v>
                </c:pt>
                <c:pt idx="181">
                  <c:v>1149.8853272539304</c:v>
                </c:pt>
                <c:pt idx="182">
                  <c:v>1150.0015113332438</c:v>
                </c:pt>
                <c:pt idx="183">
                  <c:v>1149.95128653181</c:v>
                </c:pt>
                <c:pt idx="184">
                  <c:v>1149.8924450292545</c:v>
                </c:pt>
                <c:pt idx="185">
                  <c:v>1149.187008436209</c:v>
                </c:pt>
                <c:pt idx="186">
                  <c:v>1148.8732675837323</c:v>
                </c:pt>
                <c:pt idx="187">
                  <c:v>1148.585791044515</c:v>
                </c:pt>
                <c:pt idx="188">
                  <c:v>1148.2841025064708</c:v>
                </c:pt>
                <c:pt idx="189">
                  <c:v>1148.2059376710731</c:v>
                </c:pt>
                <c:pt idx="190">
                  <c:v>1147.6935514424595</c:v>
                </c:pt>
                <c:pt idx="191">
                  <c:v>1147.973886690273</c:v>
                </c:pt>
                <c:pt idx="192">
                  <c:v>1147.7896624487521</c:v>
                </c:pt>
                <c:pt idx="193">
                  <c:v>1147.367654940208</c:v>
                </c:pt>
                <c:pt idx="194">
                  <c:v>1146.9979486579405</c:v>
                </c:pt>
                <c:pt idx="195">
                  <c:v>1146.2631612374132</c:v>
                </c:pt>
                <c:pt idx="196">
                  <c:v>1145.8018273905702</c:v>
                </c:pt>
                <c:pt idx="197">
                  <c:v>1145.4490337574987</c:v>
                </c:pt>
                <c:pt idx="198">
                  <c:v>1145.2838103086096</c:v>
                </c:pt>
                <c:pt idx="199">
                  <c:v>1144.9294322407318</c:v>
                </c:pt>
                <c:pt idx="200">
                  <c:v>1144.3759948736924</c:v>
                </c:pt>
                <c:pt idx="201">
                  <c:v>1144.3759948736924</c:v>
                </c:pt>
                <c:pt idx="202">
                  <c:v>1144.2495717809738</c:v>
                </c:pt>
                <c:pt idx="203">
                  <c:v>1144.1285256590163</c:v>
                </c:pt>
                <c:pt idx="204">
                  <c:v>1143.769887866471</c:v>
                </c:pt>
                <c:pt idx="205">
                  <c:v>1143.1152879286824</c:v>
                </c:pt>
                <c:pt idx="206">
                  <c:v>1142.8846974568144</c:v>
                </c:pt>
                <c:pt idx="207">
                  <c:v>1142.5766875533072</c:v>
                </c:pt>
                <c:pt idx="208">
                  <c:v>1142.367555410279</c:v>
                </c:pt>
                <c:pt idx="209">
                  <c:v>1142.1256793144639</c:v>
                </c:pt>
                <c:pt idx="210">
                  <c:v>1141.8596733803581</c:v>
                </c:pt>
                <c:pt idx="211">
                  <c:v>1141.669447216291</c:v>
                </c:pt>
                <c:pt idx="212">
                  <c:v>1141.6458261324274</c:v>
                </c:pt>
                <c:pt idx="213">
                  <c:v>1141.6074860965059</c:v>
                </c:pt>
                <c:pt idx="214">
                  <c:v>1141.2709148397048</c:v>
                </c:pt>
                <c:pt idx="215">
                  <c:v>1141.1337263421094</c:v>
                </c:pt>
                <c:pt idx="216">
                  <c:v>1141.303040994504</c:v>
                </c:pt>
                <c:pt idx="217">
                  <c:v>1141.2605763764964</c:v>
                </c:pt>
                <c:pt idx="218">
                  <c:v>1140.9018703175807</c:v>
                </c:pt>
                <c:pt idx="219">
                  <c:v>1140.558202384246</c:v>
                </c:pt>
                <c:pt idx="220">
                  <c:v>1139.6639292082978</c:v>
                </c:pt>
                <c:pt idx="221">
                  <c:v>1139.7278308554346</c:v>
                </c:pt>
                <c:pt idx="222">
                  <c:v>1139.4477551347495</c:v>
                </c:pt>
                <c:pt idx="223">
                  <c:v>1139.1184141075405</c:v>
                </c:pt>
                <c:pt idx="224">
                  <c:v>1138.8419617184111</c:v>
                </c:pt>
                <c:pt idx="225">
                  <c:v>1138.1932945296708</c:v>
                </c:pt>
                <c:pt idx="226">
                  <c:v>1137.8525646498856</c:v>
                </c:pt>
                <c:pt idx="227">
                  <c:v>1137.499041762052</c:v>
                </c:pt>
                <c:pt idx="228">
                  <c:v>1137.0060666557799</c:v>
                </c:pt>
                <c:pt idx="229">
                  <c:v>1136.485850257427</c:v>
                </c:pt>
                <c:pt idx="230">
                  <c:v>1135.4797717232123</c:v>
                </c:pt>
                <c:pt idx="231">
                  <c:v>1134.7951087797935</c:v>
                </c:pt>
                <c:pt idx="232">
                  <c:v>1133.9322242088228</c:v>
                </c:pt>
                <c:pt idx="233">
                  <c:v>1133.3639439584181</c:v>
                </c:pt>
                <c:pt idx="234">
                  <c:v>1133.117367269846</c:v>
                </c:pt>
                <c:pt idx="235">
                  <c:v>1132.1534176915659</c:v>
                </c:pt>
                <c:pt idx="236">
                  <c:v>1132.0007447049725</c:v>
                </c:pt>
                <c:pt idx="237">
                  <c:v>1131.4063530408632</c:v>
                </c:pt>
                <c:pt idx="238">
                  <c:v>1130.7801214770464</c:v>
                </c:pt>
                <c:pt idx="239">
                  <c:v>1130.1331601094871</c:v>
                </c:pt>
                <c:pt idx="240">
                  <c:v>1129.1325286273363</c:v>
                </c:pt>
                <c:pt idx="241">
                  <c:v>1128.5375744050509</c:v>
                </c:pt>
                <c:pt idx="242">
                  <c:v>1127.8651695024676</c:v>
                </c:pt>
                <c:pt idx="243">
                  <c:v>1127.2167715373553</c:v>
                </c:pt>
                <c:pt idx="244">
                  <c:v>1126.4147558179711</c:v>
                </c:pt>
                <c:pt idx="245">
                  <c:v>1125.6825284548368</c:v>
                </c:pt>
                <c:pt idx="246">
                  <c:v>1125.2248355503164</c:v>
                </c:pt>
                <c:pt idx="247">
                  <c:v>1124.6882023782648</c:v>
                </c:pt>
                <c:pt idx="248">
                  <c:v>1123.8950444693676</c:v>
                </c:pt>
                <c:pt idx="249">
                  <c:v>1123.4137358118858</c:v>
                </c:pt>
                <c:pt idx="250">
                  <c:v>1122.3594025161292</c:v>
                </c:pt>
                <c:pt idx="251">
                  <c:v>1121.7977091000123</c:v>
                </c:pt>
                <c:pt idx="252">
                  <c:v>1120.8552173303462</c:v>
                </c:pt>
                <c:pt idx="253">
                  <c:v>1120.5766648916674</c:v>
                </c:pt>
                <c:pt idx="254">
                  <c:v>1119.9283408745011</c:v>
                </c:pt>
                <c:pt idx="255">
                  <c:v>1119.168075458819</c:v>
                </c:pt>
                <c:pt idx="256">
                  <c:v>1118.6004136450326</c:v>
                </c:pt>
                <c:pt idx="257">
                  <c:v>1117.5303298530725</c:v>
                </c:pt>
                <c:pt idx="258">
                  <c:v>1116.6900192642861</c:v>
                </c:pt>
                <c:pt idx="259">
                  <c:v>1116.10949596756</c:v>
                </c:pt>
                <c:pt idx="260">
                  <c:v>1115.4594032456559</c:v>
                </c:pt>
                <c:pt idx="261">
                  <c:v>1115.4594032456559</c:v>
                </c:pt>
                <c:pt idx="262">
                  <c:v>1115.4594032456559</c:v>
                </c:pt>
                <c:pt idx="263">
                  <c:v>1115.2521788496458</c:v>
                </c:pt>
                <c:pt idx="264">
                  <c:v>1115.6081862377885</c:v>
                </c:pt>
                <c:pt idx="265">
                  <c:v>1115.456038369603</c:v>
                </c:pt>
                <c:pt idx="266">
                  <c:v>1115.456038369603</c:v>
                </c:pt>
                <c:pt idx="267">
                  <c:v>1115.816882755131</c:v>
                </c:pt>
                <c:pt idx="268">
                  <c:v>1116.1359036466292</c:v>
                </c:pt>
                <c:pt idx="269">
                  <c:v>1116.6329784662289</c:v>
                </c:pt>
                <c:pt idx="270">
                  <c:v>1116.864778874979</c:v>
                </c:pt>
                <c:pt idx="271">
                  <c:v>1117.2716684125596</c:v>
                </c:pt>
                <c:pt idx="272">
                  <c:v>1117.3204893606328</c:v>
                </c:pt>
                <c:pt idx="273">
                  <c:v>1117.6811944395652</c:v>
                </c:pt>
                <c:pt idx="274">
                  <c:v>1117.8232485430649</c:v>
                </c:pt>
                <c:pt idx="275">
                  <c:v>1117.8829283882721</c:v>
                </c:pt>
                <c:pt idx="276">
                  <c:v>1118.1567985151735</c:v>
                </c:pt>
                <c:pt idx="277">
                  <c:v>1118.2641340290631</c:v>
                </c:pt>
                <c:pt idx="278">
                  <c:v>1118.5636618854166</c:v>
                </c:pt>
                <c:pt idx="279">
                  <c:v>1118.5636618854166</c:v>
                </c:pt>
                <c:pt idx="280">
                  <c:v>1117.9553833702794</c:v>
                </c:pt>
                <c:pt idx="281">
                  <c:v>1117.9157467394721</c:v>
                </c:pt>
                <c:pt idx="282">
                  <c:v>1117.9035485153117</c:v>
                </c:pt>
                <c:pt idx="283">
                  <c:v>1117.6621534204066</c:v>
                </c:pt>
                <c:pt idx="284">
                  <c:v>1117.5746300118001</c:v>
                </c:pt>
                <c:pt idx="285">
                  <c:v>1117.0836287641509</c:v>
                </c:pt>
                <c:pt idx="286">
                  <c:v>1117.1329748487574</c:v>
                </c:pt>
                <c:pt idx="287">
                  <c:v>1117.1534984839282</c:v>
                </c:pt>
                <c:pt idx="288">
                  <c:v>1116.8277354796583</c:v>
                </c:pt>
                <c:pt idx="289">
                  <c:v>1116.4015079784249</c:v>
                </c:pt>
                <c:pt idx="290">
                  <c:v>1115.3816948982369</c:v>
                </c:pt>
                <c:pt idx="291">
                  <c:v>1115.0940689883398</c:v>
                </c:pt>
                <c:pt idx="292">
                  <c:v>1114.6295874655864</c:v>
                </c:pt>
                <c:pt idx="293">
                  <c:v>1114.24024073138</c:v>
                </c:pt>
                <c:pt idx="294">
                  <c:v>1114.111429831305</c:v>
                </c:pt>
                <c:pt idx="295">
                  <c:v>1113.773367064503</c:v>
                </c:pt>
                <c:pt idx="296">
                  <c:v>1113.7720780436136</c:v>
                </c:pt>
                <c:pt idx="297">
                  <c:v>1113.9520424255927</c:v>
                </c:pt>
                <c:pt idx="298">
                  <c:v>1114.3765313790327</c:v>
                </c:pt>
                <c:pt idx="299">
                  <c:v>1114.631076791781</c:v>
                </c:pt>
                <c:pt idx="300">
                  <c:v>1114.8642327106832</c:v>
                </c:pt>
                <c:pt idx="301">
                  <c:v>1115.3279087683811</c:v>
                </c:pt>
                <c:pt idx="302">
                  <c:v>1115.2953062743752</c:v>
                </c:pt>
                <c:pt idx="303">
                  <c:v>1115.5752939324027</c:v>
                </c:pt>
                <c:pt idx="304">
                  <c:v>1116.4020597080414</c:v>
                </c:pt>
                <c:pt idx="305">
                  <c:v>1116.4774757252242</c:v>
                </c:pt>
                <c:pt idx="306">
                  <c:v>1116.8667340822783</c:v>
                </c:pt>
                <c:pt idx="307">
                  <c:v>1117.5689913604604</c:v>
                </c:pt>
                <c:pt idx="308">
                  <c:v>1117.851048619779</c:v>
                </c:pt>
                <c:pt idx="309">
                  <c:v>1118.2148139463511</c:v>
                </c:pt>
                <c:pt idx="310">
                  <c:v>1117.9010198572628</c:v>
                </c:pt>
                <c:pt idx="311">
                  <c:v>1117.7394709869932</c:v>
                </c:pt>
                <c:pt idx="312">
                  <c:v>1117.643743264967</c:v>
                </c:pt>
                <c:pt idx="313">
                  <c:v>1117.5175472685924</c:v>
                </c:pt>
                <c:pt idx="314">
                  <c:v>1117.6720546620993</c:v>
                </c:pt>
                <c:pt idx="315">
                  <c:v>1117.1745777262424</c:v>
                </c:pt>
                <c:pt idx="316">
                  <c:v>1117.5800772671635</c:v>
                </c:pt>
                <c:pt idx="317">
                  <c:v>1117.6699560589784</c:v>
                </c:pt>
                <c:pt idx="318">
                  <c:v>1117.6347517745144</c:v>
                </c:pt>
                <c:pt idx="319">
                  <c:v>1116.938166047054</c:v>
                </c:pt>
                <c:pt idx="320">
                  <c:v>1116.938166047054</c:v>
                </c:pt>
                <c:pt idx="321">
                  <c:v>1116.9060595330841</c:v>
                </c:pt>
                <c:pt idx="322">
                  <c:v>1116.8493026892036</c:v>
                </c:pt>
                <c:pt idx="323">
                  <c:v>1116.9656141466685</c:v>
                </c:pt>
                <c:pt idx="324">
                  <c:v>1116.5637108804328</c:v>
                </c:pt>
                <c:pt idx="325">
                  <c:v>1115.7291852947319</c:v>
                </c:pt>
                <c:pt idx="326">
                  <c:v>1115.3995865308871</c:v>
                </c:pt>
                <c:pt idx="327">
                  <c:v>1115.3634202373285</c:v>
                </c:pt>
                <c:pt idx="328">
                  <c:v>1114.8951042125173</c:v>
                </c:pt>
                <c:pt idx="329">
                  <c:v>1114.4334609123646</c:v>
                </c:pt>
                <c:pt idx="330">
                  <c:v>1113.337419875761</c:v>
                </c:pt>
                <c:pt idx="331">
                  <c:v>1113.2291661324793</c:v>
                </c:pt>
                <c:pt idx="332">
                  <c:v>1113.3345767155884</c:v>
                </c:pt>
                <c:pt idx="333">
                  <c:v>1112.8143168952852</c:v>
                </c:pt>
                <c:pt idx="334">
                  <c:v>1112.4352877777451</c:v>
                </c:pt>
                <c:pt idx="335">
                  <c:v>1110.9606373670197</c:v>
                </c:pt>
                <c:pt idx="336">
                  <c:v>1110.9606373670197</c:v>
                </c:pt>
                <c:pt idx="337">
                  <c:v>1110.7595624052681</c:v>
                </c:pt>
                <c:pt idx="338">
                  <c:v>1110.6934623161715</c:v>
                </c:pt>
                <c:pt idx="339">
                  <c:v>1110.5105678904476</c:v>
                </c:pt>
                <c:pt idx="340">
                  <c:v>1110.0099173990448</c:v>
                </c:pt>
                <c:pt idx="341">
                  <c:v>1109.5997920716027</c:v>
                </c:pt>
                <c:pt idx="342">
                  <c:v>1109.3700612451862</c:v>
                </c:pt>
                <c:pt idx="343">
                  <c:v>1109.5410980503486</c:v>
                </c:pt>
                <c:pt idx="344">
                  <c:v>1110.0037184228281</c:v>
                </c:pt>
                <c:pt idx="345">
                  <c:v>1110.6918254600314</c:v>
                </c:pt>
                <c:pt idx="346">
                  <c:v>1111.3113846907454</c:v>
                </c:pt>
                <c:pt idx="347">
                  <c:v>1113.6145032821707</c:v>
                </c:pt>
                <c:pt idx="348">
                  <c:v>1115.0751307153298</c:v>
                </c:pt>
                <c:pt idx="349">
                  <c:v>1114.7973240701053</c:v>
                </c:pt>
                <c:pt idx="350">
                  <c:v>1114.409077122127</c:v>
                </c:pt>
                <c:pt idx="351">
                  <c:v>1114.6178165891367</c:v>
                </c:pt>
                <c:pt idx="352">
                  <c:v>1114.1926772075449</c:v>
                </c:pt>
                <c:pt idx="353">
                  <c:v>1113.87623973626</c:v>
                </c:pt>
                <c:pt idx="354">
                  <c:v>1113.420240417003</c:v>
                </c:pt>
                <c:pt idx="355">
                  <c:v>1112.9435706526137</c:v>
                </c:pt>
                <c:pt idx="356">
                  <c:v>1112.9256661106792</c:v>
                </c:pt>
                <c:pt idx="357">
                  <c:v>1112.6548859702557</c:v>
                </c:pt>
                <c:pt idx="358">
                  <c:v>1112.1435480814189</c:v>
                </c:pt>
                <c:pt idx="359">
                  <c:v>1111.5266214304179</c:v>
                </c:pt>
                <c:pt idx="360">
                  <c:v>1110.9988760148481</c:v>
                </c:pt>
                <c:pt idx="361">
                  <c:v>1111.031879778224</c:v>
                </c:pt>
                <c:pt idx="362">
                  <c:v>1110.3152147012561</c:v>
                </c:pt>
                <c:pt idx="363">
                  <c:v>1109.7004743455375</c:v>
                </c:pt>
                <c:pt idx="364">
                  <c:v>1109.2178004188704</c:v>
                </c:pt>
                <c:pt idx="365">
                  <c:v>1108.5728585144445</c:v>
                </c:pt>
                <c:pt idx="366">
                  <c:v>1107.9919445195976</c:v>
                </c:pt>
                <c:pt idx="367">
                  <c:v>1107.2588433063638</c:v>
                </c:pt>
                <c:pt idx="368">
                  <c:v>1107.0819617241586</c:v>
                </c:pt>
                <c:pt idx="369">
                  <c:v>1106.3666885635787</c:v>
                </c:pt>
                <c:pt idx="370">
                  <c:v>1105.5849071201442</c:v>
                </c:pt>
                <c:pt idx="371">
                  <c:v>1105.0901757450517</c:v>
                </c:pt>
                <c:pt idx="372">
                  <c:v>1104.443251206739</c:v>
                </c:pt>
                <c:pt idx="373">
                  <c:v>1104.2803277676771</c:v>
                </c:pt>
                <c:pt idx="374">
                  <c:v>1103.8320570510198</c:v>
                </c:pt>
                <c:pt idx="375">
                  <c:v>1102.8098838534609</c:v>
                </c:pt>
                <c:pt idx="376">
                  <c:v>1101.9779462391509</c:v>
                </c:pt>
                <c:pt idx="377">
                  <c:v>1101.5488507310929</c:v>
                </c:pt>
                <c:pt idx="378">
                  <c:v>1100.880685387735</c:v>
                </c:pt>
                <c:pt idx="379">
                  <c:v>1100.2885402342552</c:v>
                </c:pt>
                <c:pt idx="380">
                  <c:v>1099.0138405742857</c:v>
                </c:pt>
                <c:pt idx="381">
                  <c:v>1098.6611703704248</c:v>
                </c:pt>
                <c:pt idx="382">
                  <c:v>1098.6611703704248</c:v>
                </c:pt>
                <c:pt idx="383">
                  <c:v>1098.3753043122963</c:v>
                </c:pt>
                <c:pt idx="384">
                  <c:v>1097.9646053564695</c:v>
                </c:pt>
                <c:pt idx="385">
                  <c:v>1096.9276356356313</c:v>
                </c:pt>
                <c:pt idx="386">
                  <c:v>1096.324482841987</c:v>
                </c:pt>
                <c:pt idx="387">
                  <c:v>1095.7837998534692</c:v>
                </c:pt>
                <c:pt idx="388">
                  <c:v>1095.0198600693006</c:v>
                </c:pt>
                <c:pt idx="389">
                  <c:v>1094.7595345197947</c:v>
                </c:pt>
                <c:pt idx="390">
                  <c:v>1094.0841895547112</c:v>
                </c:pt>
                <c:pt idx="391">
                  <c:v>1093.7198997252806</c:v>
                </c:pt>
                <c:pt idx="392">
                  <c:v>1093.3566544563939</c:v>
                </c:pt>
                <c:pt idx="393">
                  <c:v>1093.3140088066912</c:v>
                </c:pt>
                <c:pt idx="394">
                  <c:v>1092.085518304488</c:v>
                </c:pt>
                <c:pt idx="395">
                  <c:v>1092.085518304488</c:v>
                </c:pt>
                <c:pt idx="396">
                  <c:v>1091.5614919062843</c:v>
                </c:pt>
                <c:pt idx="397">
                  <c:v>1091.3777410174318</c:v>
                </c:pt>
                <c:pt idx="398">
                  <c:v>1090.9701703199933</c:v>
                </c:pt>
                <c:pt idx="399">
                  <c:v>1090.596293882094</c:v>
                </c:pt>
                <c:pt idx="400">
                  <c:v>1090.3115064414471</c:v>
                </c:pt>
                <c:pt idx="401">
                  <c:v>1090.0516136775516</c:v>
                </c:pt>
                <c:pt idx="402">
                  <c:v>1089.9360477909793</c:v>
                </c:pt>
                <c:pt idx="403">
                  <c:v>1089.2983808728004</c:v>
                </c:pt>
                <c:pt idx="404">
                  <c:v>1089.0492102023929</c:v>
                </c:pt>
                <c:pt idx="405">
                  <c:v>1088.5217269776856</c:v>
                </c:pt>
                <c:pt idx="406">
                  <c:v>1088.1299899381547</c:v>
                </c:pt>
                <c:pt idx="407">
                  <c:v>1087.9198874364531</c:v>
                </c:pt>
                <c:pt idx="408">
                  <c:v>1087.8229175385225</c:v>
                </c:pt>
                <c:pt idx="409">
                  <c:v>1087.2618344627249</c:v>
                </c:pt>
                <c:pt idx="410">
                  <c:v>1086.4174794379462</c:v>
                </c:pt>
                <c:pt idx="411">
                  <c:v>1086.0036733330612</c:v>
                </c:pt>
                <c:pt idx="412">
                  <c:v>1085.5708857165966</c:v>
                </c:pt>
                <c:pt idx="413">
                  <c:v>1085.3896317585893</c:v>
                </c:pt>
                <c:pt idx="414">
                  <c:v>1085.0981547790313</c:v>
                </c:pt>
                <c:pt idx="415">
                  <c:v>1084.5367811708693</c:v>
                </c:pt>
                <c:pt idx="416">
                  <c:v>1083.7250891225992</c:v>
                </c:pt>
                <c:pt idx="417">
                  <c:v>1083.5616494347159</c:v>
                </c:pt>
                <c:pt idx="418">
                  <c:v>1083.3002730487449</c:v>
                </c:pt>
                <c:pt idx="419">
                  <c:v>1082.9305121654911</c:v>
                </c:pt>
                <c:pt idx="420">
                  <c:v>1082.0838113848083</c:v>
                </c:pt>
                <c:pt idx="421">
                  <c:v>1081.6565269790965</c:v>
                </c:pt>
                <c:pt idx="422">
                  <c:v>1081.6565269790965</c:v>
                </c:pt>
                <c:pt idx="423">
                  <c:v>1081.6740249997563</c:v>
                </c:pt>
                <c:pt idx="424">
                  <c:v>1081.7752309138257</c:v>
                </c:pt>
                <c:pt idx="425">
                  <c:v>1081.0691933352898</c:v>
                </c:pt>
                <c:pt idx="426">
                  <c:v>1080.7844369860591</c:v>
                </c:pt>
                <c:pt idx="427">
                  <c:v>1080.6601674938288</c:v>
                </c:pt>
                <c:pt idx="428">
                  <c:v>1080.4114490376433</c:v>
                </c:pt>
                <c:pt idx="429">
                  <c:v>1080.9016871234207</c:v>
                </c:pt>
                <c:pt idx="430">
                  <c:v>1079.8139423224466</c:v>
                </c:pt>
                <c:pt idx="431">
                  <c:v>1078.7152678481928</c:v>
                </c:pt>
                <c:pt idx="432">
                  <c:v>1078.4250567234305</c:v>
                </c:pt>
                <c:pt idx="433">
                  <c:v>1078.8561017235972</c:v>
                </c:pt>
                <c:pt idx="434">
                  <c:v>1078.8140865577361</c:v>
                </c:pt>
                <c:pt idx="435">
                  <c:v>1078.0804774949995</c:v>
                </c:pt>
                <c:pt idx="436">
                  <c:v>1078.0804774949995</c:v>
                </c:pt>
                <c:pt idx="437">
                  <c:v>1078.2264955968608</c:v>
                </c:pt>
                <c:pt idx="438">
                  <c:v>1078.3178698904781</c:v>
                </c:pt>
                <c:pt idx="439">
                  <c:v>1078.4891358361356</c:v>
                </c:pt>
                <c:pt idx="440">
                  <c:v>1077.9158883948792</c:v>
                </c:pt>
                <c:pt idx="441">
                  <c:v>1078.201135552813</c:v>
                </c:pt>
                <c:pt idx="442">
                  <c:v>1078.4588965296377</c:v>
                </c:pt>
                <c:pt idx="443">
                  <c:v>1078.643552681355</c:v>
                </c:pt>
                <c:pt idx="444">
                  <c:v>1079.161109303657</c:v>
                </c:pt>
                <c:pt idx="445">
                  <c:v>1079.5814216636722</c:v>
                </c:pt>
                <c:pt idx="446">
                  <c:v>1081.2796624997488</c:v>
                </c:pt>
                <c:pt idx="447">
                  <c:v>1081.7320507308416</c:v>
                </c:pt>
                <c:pt idx="448">
                  <c:v>1082.1453283718688</c:v>
                </c:pt>
                <c:pt idx="449">
                  <c:v>1081.9097923655638</c:v>
                </c:pt>
                <c:pt idx="450">
                  <c:v>1080.9329905116599</c:v>
                </c:pt>
                <c:pt idx="451">
                  <c:v>1080.8073302194675</c:v>
                </c:pt>
                <c:pt idx="452">
                  <c:v>1081.4322380221188</c:v>
                </c:pt>
                <c:pt idx="453">
                  <c:v>1082.2219206848933</c:v>
                </c:pt>
                <c:pt idx="454">
                  <c:v>1082.1482184556485</c:v>
                </c:pt>
                <c:pt idx="455">
                  <c:v>1082.1724952674183</c:v>
                </c:pt>
                <c:pt idx="456">
                  <c:v>1082.1724952674183</c:v>
                </c:pt>
                <c:pt idx="457">
                  <c:v>1081.6075406671036</c:v>
                </c:pt>
                <c:pt idx="458">
                  <c:v>1081.6004936443369</c:v>
                </c:pt>
                <c:pt idx="459">
                  <c:v>1081.2521339691646</c:v>
                </c:pt>
                <c:pt idx="460">
                  <c:v>1080.6659297554345</c:v>
                </c:pt>
                <c:pt idx="461">
                  <c:v>1080.5190264575879</c:v>
                </c:pt>
                <c:pt idx="462">
                  <c:v>1080.2009493404867</c:v>
                </c:pt>
                <c:pt idx="463">
                  <c:v>1080.0276841581319</c:v>
                </c:pt>
                <c:pt idx="464">
                  <c:v>1079.5704926056083</c:v>
                </c:pt>
                <c:pt idx="465">
                  <c:v>1079.0099263662994</c:v>
                </c:pt>
                <c:pt idx="466">
                  <c:v>1078.6177410989487</c:v>
                </c:pt>
                <c:pt idx="467">
                  <c:v>1078.6671912737638</c:v>
                </c:pt>
                <c:pt idx="468">
                  <c:v>1078.2907378670579</c:v>
                </c:pt>
                <c:pt idx="469">
                  <c:v>1078.1705876881852</c:v>
                </c:pt>
                <c:pt idx="470">
                  <c:v>1077.5180467838834</c:v>
                </c:pt>
                <c:pt idx="471">
                  <c:v>1076.7929287082006</c:v>
                </c:pt>
                <c:pt idx="472">
                  <c:v>1076.1186871771365</c:v>
                </c:pt>
                <c:pt idx="473">
                  <c:v>1075.415626433173</c:v>
                </c:pt>
                <c:pt idx="474">
                  <c:v>1074.6652744328617</c:v>
                </c:pt>
                <c:pt idx="475">
                  <c:v>1074.111600388708</c:v>
                </c:pt>
                <c:pt idx="476">
                  <c:v>1073.1555639100898</c:v>
                </c:pt>
                <c:pt idx="477">
                  <c:v>1072.2223660887487</c:v>
                </c:pt>
                <c:pt idx="478">
                  <c:v>1071.9136490947151</c:v>
                </c:pt>
                <c:pt idx="479">
                  <c:v>1071.6917311985433</c:v>
                </c:pt>
                <c:pt idx="480">
                  <c:v>1071.3559441589348</c:v>
                </c:pt>
                <c:pt idx="481">
                  <c:v>1071.3210474856796</c:v>
                </c:pt>
                <c:pt idx="482">
                  <c:v>1070.6929185320294</c:v>
                </c:pt>
                <c:pt idx="483">
                  <c:v>1070.3531987189758</c:v>
                </c:pt>
                <c:pt idx="484">
                  <c:v>1070.042001916019</c:v>
                </c:pt>
                <c:pt idx="485">
                  <c:v>1069.7392407920004</c:v>
                </c:pt>
                <c:pt idx="486">
                  <c:v>1069.4493709835463</c:v>
                </c:pt>
                <c:pt idx="487">
                  <c:v>1069.151876290327</c:v>
                </c:pt>
                <c:pt idx="488">
                  <c:v>1068.5056686103146</c:v>
                </c:pt>
                <c:pt idx="489">
                  <c:v>1068.1855578088364</c:v>
                </c:pt>
                <c:pt idx="490">
                  <c:v>1067.5760396677899</c:v>
                </c:pt>
                <c:pt idx="491">
                  <c:v>1067.4716219240463</c:v>
                </c:pt>
                <c:pt idx="492">
                  <c:v>1066.6964536670616</c:v>
                </c:pt>
                <c:pt idx="493">
                  <c:v>1067.0239253868444</c:v>
                </c:pt>
                <c:pt idx="494">
                  <c:v>1066.1319803593931</c:v>
                </c:pt>
                <c:pt idx="495">
                  <c:v>1065.3223706279439</c:v>
                </c:pt>
                <c:pt idx="496">
                  <c:v>1062.8563633038279</c:v>
                </c:pt>
                <c:pt idx="497">
                  <c:v>1062.4741641719968</c:v>
                </c:pt>
                <c:pt idx="498">
                  <c:v>1061.9695624073736</c:v>
                </c:pt>
                <c:pt idx="499">
                  <c:v>1060.8937495879411</c:v>
                </c:pt>
                <c:pt idx="500">
                  <c:v>1060.3851602014383</c:v>
                </c:pt>
                <c:pt idx="501">
                  <c:v>1060.0529406285623</c:v>
                </c:pt>
                <c:pt idx="502">
                  <c:v>1059.9117663574389</c:v>
                </c:pt>
                <c:pt idx="503">
                  <c:v>1059.3711721192392</c:v>
                </c:pt>
                <c:pt idx="504">
                  <c:v>1058.4128923567725</c:v>
                </c:pt>
                <c:pt idx="505">
                  <c:v>1058.2415830729794</c:v>
                </c:pt>
                <c:pt idx="506">
                  <c:v>1057.8875404737319</c:v>
                </c:pt>
                <c:pt idx="507">
                  <c:v>1056.9229766364683</c:v>
                </c:pt>
                <c:pt idx="508">
                  <c:v>1056.5427564682973</c:v>
                </c:pt>
                <c:pt idx="509">
                  <c:v>1055.4686438841741</c:v>
                </c:pt>
                <c:pt idx="510">
                  <c:v>1055.6221343389989</c:v>
                </c:pt>
                <c:pt idx="511">
                  <c:v>1055.1201959020059</c:v>
                </c:pt>
                <c:pt idx="512">
                  <c:v>1054.5070143659154</c:v>
                </c:pt>
                <c:pt idx="513">
                  <c:v>1053.8842480352066</c:v>
                </c:pt>
                <c:pt idx="514">
                  <c:v>1053.5212905617877</c:v>
                </c:pt>
                <c:pt idx="515">
                  <c:v>1053.3969098501786</c:v>
                </c:pt>
                <c:pt idx="516">
                  <c:v>1052.4444459074373</c:v>
                </c:pt>
                <c:pt idx="517">
                  <c:v>1052.3251187535971</c:v>
                </c:pt>
                <c:pt idx="518">
                  <c:v>1051.7007660980714</c:v>
                </c:pt>
                <c:pt idx="519">
                  <c:v>1050.749625997935</c:v>
                </c:pt>
                <c:pt idx="520">
                  <c:v>1050.1432780281714</c:v>
                </c:pt>
                <c:pt idx="521">
                  <c:v>1050.0146599141756</c:v>
                </c:pt>
                <c:pt idx="522">
                  <c:v>1050.0146599141756</c:v>
                </c:pt>
                <c:pt idx="523">
                  <c:v>1050.0146599141756</c:v>
                </c:pt>
                <c:pt idx="524">
                  <c:v>1049.6100660307086</c:v>
                </c:pt>
                <c:pt idx="525">
                  <c:v>1048.9483024767878</c:v>
                </c:pt>
                <c:pt idx="526">
                  <c:v>1048.636894378302</c:v>
                </c:pt>
                <c:pt idx="527">
                  <c:v>1048.636894378302</c:v>
                </c:pt>
                <c:pt idx="528">
                  <c:v>1047.8536040638353</c:v>
                </c:pt>
                <c:pt idx="529">
                  <c:v>1047.1572132683987</c:v>
                </c:pt>
                <c:pt idx="530">
                  <c:v>1046.9592447882437</c:v>
                </c:pt>
                <c:pt idx="531">
                  <c:v>1047.2217604475661</c:v>
                </c:pt>
                <c:pt idx="532">
                  <c:v>1047.2175582422717</c:v>
                </c:pt>
                <c:pt idx="533">
                  <c:v>1047.7816533687305</c:v>
                </c:pt>
                <c:pt idx="534">
                  <c:v>1048.693951830641</c:v>
                </c:pt>
                <c:pt idx="535">
                  <c:v>1049.4014182309377</c:v>
                </c:pt>
                <c:pt idx="536">
                  <c:v>1050.4425394689488</c:v>
                </c:pt>
                <c:pt idx="537">
                  <c:v>1051.3808358488543</c:v>
                </c:pt>
                <c:pt idx="538">
                  <c:v>1052.0147445222547</c:v>
                </c:pt>
                <c:pt idx="539">
                  <c:v>1050.8056172848951</c:v>
                </c:pt>
                <c:pt idx="540">
                  <c:v>1050.8056172848951</c:v>
                </c:pt>
                <c:pt idx="541">
                  <c:v>1050.7784939783317</c:v>
                </c:pt>
                <c:pt idx="542">
                  <c:v>1050.718668439461</c:v>
                </c:pt>
                <c:pt idx="543">
                  <c:v>1050.2251081317822</c:v>
                </c:pt>
                <c:pt idx="544">
                  <c:v>1050.1344045025244</c:v>
                </c:pt>
                <c:pt idx="545">
                  <c:v>1049.5196926395035</c:v>
                </c:pt>
                <c:pt idx="546">
                  <c:v>1049.6696968256299</c:v>
                </c:pt>
                <c:pt idx="547">
                  <c:v>1049.382074308915</c:v>
                </c:pt>
                <c:pt idx="548">
                  <c:v>1049.4599306118384</c:v>
                </c:pt>
                <c:pt idx="549">
                  <c:v>1049.1426491583036</c:v>
                </c:pt>
                <c:pt idx="550">
                  <c:v>1048.2676033159585</c:v>
                </c:pt>
                <c:pt idx="551">
                  <c:v>1047.8159662194207</c:v>
                </c:pt>
                <c:pt idx="552">
                  <c:v>1047.3326322283001</c:v>
                </c:pt>
                <c:pt idx="553">
                  <c:v>1047.2135800538017</c:v>
                </c:pt>
                <c:pt idx="554">
                  <c:v>1046.5735991430136</c:v>
                </c:pt>
                <c:pt idx="555">
                  <c:v>1045.5235716817658</c:v>
                </c:pt>
                <c:pt idx="556">
                  <c:v>1045.2458405421219</c:v>
                </c:pt>
                <c:pt idx="557">
                  <c:v>1044.4609923034461</c:v>
                </c:pt>
                <c:pt idx="558">
                  <c:v>1043.779252411633</c:v>
                </c:pt>
                <c:pt idx="559">
                  <c:v>1043.3220888519777</c:v>
                </c:pt>
                <c:pt idx="560">
                  <c:v>1042.6449296906262</c:v>
                </c:pt>
                <c:pt idx="561">
                  <c:v>1041.1900964997405</c:v>
                </c:pt>
                <c:pt idx="562">
                  <c:v>1040.8691607219291</c:v>
                </c:pt>
                <c:pt idx="563">
                  <c:v>1040.9404015847392</c:v>
                </c:pt>
                <c:pt idx="564">
                  <c:v>1041.1624270238124</c:v>
                </c:pt>
                <c:pt idx="565">
                  <c:v>1040.4511114191118</c:v>
                </c:pt>
                <c:pt idx="566">
                  <c:v>1040.4511114191118</c:v>
                </c:pt>
                <c:pt idx="567">
                  <c:v>1040.5899555911228</c:v>
                </c:pt>
                <c:pt idx="568">
                  <c:v>1040.4839334483038</c:v>
                </c:pt>
                <c:pt idx="569">
                  <c:v>1040.5764959876026</c:v>
                </c:pt>
                <c:pt idx="570">
                  <c:v>1040.0532855387066</c:v>
                </c:pt>
                <c:pt idx="571">
                  <c:v>1040.0974947682773</c:v>
                </c:pt>
                <c:pt idx="572">
                  <c:v>1040.365829440834</c:v>
                </c:pt>
                <c:pt idx="573">
                  <c:v>1040.3164114034464</c:v>
                </c:pt>
                <c:pt idx="574">
                  <c:v>1040.2178483252267</c:v>
                </c:pt>
                <c:pt idx="575">
                  <c:v>1039.4925668855092</c:v>
                </c:pt>
                <c:pt idx="576">
                  <c:v>1039.5392267409304</c:v>
                </c:pt>
                <c:pt idx="577">
                  <c:v>1039.4980968777907</c:v>
                </c:pt>
                <c:pt idx="578">
                  <c:v>1039.0042614403962</c:v>
                </c:pt>
                <c:pt idx="579">
                  <c:v>1038.8292567212382</c:v>
                </c:pt>
                <c:pt idx="580">
                  <c:v>1038.6222722924306</c:v>
                </c:pt>
                <c:pt idx="581">
                  <c:v>1038.4878765555752</c:v>
                </c:pt>
                <c:pt idx="582">
                  <c:v>1037.9941568910547</c:v>
                </c:pt>
                <c:pt idx="583">
                  <c:v>1037.8284684505429</c:v>
                </c:pt>
                <c:pt idx="584">
                  <c:v>1038.477688364791</c:v>
                </c:pt>
                <c:pt idx="585">
                  <c:v>1038.6458408238086</c:v>
                </c:pt>
                <c:pt idx="586">
                  <c:v>1039.5567312482469</c:v>
                </c:pt>
                <c:pt idx="587">
                  <c:v>1039.3041689579468</c:v>
                </c:pt>
                <c:pt idx="588">
                  <c:v>1039.902293600373</c:v>
                </c:pt>
                <c:pt idx="589">
                  <c:v>1040.1893717381263</c:v>
                </c:pt>
                <c:pt idx="590">
                  <c:v>1040.387616272069</c:v>
                </c:pt>
                <c:pt idx="591">
                  <c:v>1040.7185271522224</c:v>
                </c:pt>
                <c:pt idx="592">
                  <c:v>1040.9388280918542</c:v>
                </c:pt>
                <c:pt idx="593">
                  <c:v>1041.0205858922411</c:v>
                </c:pt>
                <c:pt idx="594">
                  <c:v>1040.7878866666229</c:v>
                </c:pt>
                <c:pt idx="595">
                  <c:v>1039.6988230505449</c:v>
                </c:pt>
                <c:pt idx="596">
                  <c:v>1039.6988230505449</c:v>
                </c:pt>
                <c:pt idx="597">
                  <c:v>1039.6988230505449</c:v>
                </c:pt>
                <c:pt idx="598">
                  <c:v>1040.3683700292231</c:v>
                </c:pt>
                <c:pt idx="599">
                  <c:v>1040.0647517155967</c:v>
                </c:pt>
                <c:pt idx="600">
                  <c:v>1039.555314419194</c:v>
                </c:pt>
                <c:pt idx="601">
                  <c:v>1040.2590011081054</c:v>
                </c:pt>
                <c:pt idx="602">
                  <c:v>1040.2194151783788</c:v>
                </c:pt>
                <c:pt idx="603">
                  <c:v>1040.3213639832261</c:v>
                </c:pt>
                <c:pt idx="604">
                  <c:v>1040.690830843547</c:v>
                </c:pt>
                <c:pt idx="605">
                  <c:v>1039.9936963520113</c:v>
                </c:pt>
                <c:pt idx="606">
                  <c:v>1041.1003817173289</c:v>
                </c:pt>
                <c:pt idx="607">
                  <c:v>1041.790258647851</c:v>
                </c:pt>
                <c:pt idx="608">
                  <c:v>1041.4902780232787</c:v>
                </c:pt>
                <c:pt idx="609">
                  <c:v>1040.9381384605701</c:v>
                </c:pt>
                <c:pt idx="610">
                  <c:v>1040.4201853293071</c:v>
                </c:pt>
                <c:pt idx="611">
                  <c:v>1040.0893796404678</c:v>
                </c:pt>
                <c:pt idx="612">
                  <c:v>1039.4618132271387</c:v>
                </c:pt>
                <c:pt idx="613">
                  <c:v>1038.949993429329</c:v>
                </c:pt>
                <c:pt idx="614">
                  <c:v>1038.7982125382032</c:v>
                </c:pt>
                <c:pt idx="615">
                  <c:v>1038.1075308282593</c:v>
                </c:pt>
                <c:pt idx="616">
                  <c:v>1037.6464947250361</c:v>
                </c:pt>
                <c:pt idx="617">
                  <c:v>1036.5946380193918</c:v>
                </c:pt>
                <c:pt idx="618">
                  <c:v>1035.7929678401595</c:v>
                </c:pt>
                <c:pt idx="619">
                  <c:v>1035.359074868612</c:v>
                </c:pt>
                <c:pt idx="620">
                  <c:v>1034.001063111748</c:v>
                </c:pt>
                <c:pt idx="621">
                  <c:v>1034.001063111748</c:v>
                </c:pt>
                <c:pt idx="622">
                  <c:v>1033.1763158080057</c:v>
                </c:pt>
                <c:pt idx="623">
                  <c:v>1032.0878893857998</c:v>
                </c:pt>
                <c:pt idx="624">
                  <c:v>1031.5024658951811</c:v>
                </c:pt>
                <c:pt idx="625">
                  <c:v>1031.0098680445622</c:v>
                </c:pt>
                <c:pt idx="626">
                  <c:v>1030.3286404690739</c:v>
                </c:pt>
                <c:pt idx="627">
                  <c:v>1029.4168377866904</c:v>
                </c:pt>
                <c:pt idx="628">
                  <c:v>1028.6248342385497</c:v>
                </c:pt>
                <c:pt idx="629">
                  <c:v>1027.8602419705642</c:v>
                </c:pt>
                <c:pt idx="630">
                  <c:v>1027.4284224734031</c:v>
                </c:pt>
                <c:pt idx="631">
                  <c:v>1027.1239821830179</c:v>
                </c:pt>
                <c:pt idx="632">
                  <c:v>1026.7169600831739</c:v>
                </c:pt>
                <c:pt idx="633">
                  <c:v>1026.1743819833609</c:v>
                </c:pt>
                <c:pt idx="634">
                  <c:v>1025.7190254551901</c:v>
                </c:pt>
                <c:pt idx="635">
                  <c:v>1025.3535000597378</c:v>
                </c:pt>
                <c:pt idx="636">
                  <c:v>1025.1826079289112</c:v>
                </c:pt>
                <c:pt idx="637">
                  <c:v>1024.9403517588237</c:v>
                </c:pt>
                <c:pt idx="638">
                  <c:v>1024.6956226823474</c:v>
                </c:pt>
                <c:pt idx="639">
                  <c:v>1024.3130207239349</c:v>
                </c:pt>
                <c:pt idx="640">
                  <c:v>1024.2322342461955</c:v>
                </c:pt>
                <c:pt idx="641">
                  <c:v>1024.000471972478</c:v>
                </c:pt>
                <c:pt idx="642">
                  <c:v>1023.2566057069355</c:v>
                </c:pt>
                <c:pt idx="643">
                  <c:v>1023.2566057069355</c:v>
                </c:pt>
                <c:pt idx="644">
                  <c:v>1022.9224673867379</c:v>
                </c:pt>
                <c:pt idx="645">
                  <c:v>1022.4519380951307</c:v>
                </c:pt>
                <c:pt idx="646">
                  <c:v>1021.9670589018742</c:v>
                </c:pt>
                <c:pt idx="647">
                  <c:v>1021.9047648846064</c:v>
                </c:pt>
                <c:pt idx="648">
                  <c:v>1021.8080448913895</c:v>
                </c:pt>
                <c:pt idx="649">
                  <c:v>1021.8454321499853</c:v>
                </c:pt>
                <c:pt idx="650">
                  <c:v>1021.4304776466402</c:v>
                </c:pt>
                <c:pt idx="651">
                  <c:v>1021.4081664194052</c:v>
                </c:pt>
                <c:pt idx="652">
                  <c:v>1021.3348125549151</c:v>
                </c:pt>
                <c:pt idx="653">
                  <c:v>1021.1931541476729</c:v>
                </c:pt>
                <c:pt idx="654">
                  <c:v>1020.4995682191603</c:v>
                </c:pt>
                <c:pt idx="655">
                  <c:v>1020.097497630887</c:v>
                </c:pt>
                <c:pt idx="656">
                  <c:v>1020.0614844551707</c:v>
                </c:pt>
                <c:pt idx="657">
                  <c:v>1019.9490392642805</c:v>
                </c:pt>
                <c:pt idx="658">
                  <c:v>1019.788751582691</c:v>
                </c:pt>
                <c:pt idx="659">
                  <c:v>1020.0985970714175</c:v>
                </c:pt>
                <c:pt idx="660">
                  <c:v>1019.9330830173602</c:v>
                </c:pt>
                <c:pt idx="661">
                  <c:v>1020.2492349335356</c:v>
                </c:pt>
                <c:pt idx="662">
                  <c:v>1020.7630850967344</c:v>
                </c:pt>
                <c:pt idx="663">
                  <c:v>1020.9549244229562</c:v>
                </c:pt>
                <c:pt idx="664">
                  <c:v>1021.3262745717225</c:v>
                </c:pt>
                <c:pt idx="665">
                  <c:v>1021.201323381021</c:v>
                </c:pt>
                <c:pt idx="666">
                  <c:v>1020.8788132095102</c:v>
                </c:pt>
                <c:pt idx="667">
                  <c:v>1020.7624006058956</c:v>
                </c:pt>
                <c:pt idx="668">
                  <c:v>1020.9700485694174</c:v>
                </c:pt>
                <c:pt idx="669">
                  <c:v>1020.792102859101</c:v>
                </c:pt>
                <c:pt idx="670">
                  <c:v>1020.4299836538598</c:v>
                </c:pt>
                <c:pt idx="671">
                  <c:v>1020.5171136274698</c:v>
                </c:pt>
                <c:pt idx="672">
                  <c:v>1019.9197705476347</c:v>
                </c:pt>
                <c:pt idx="673">
                  <c:v>1019.4478241261278</c:v>
                </c:pt>
                <c:pt idx="674">
                  <c:v>1018.666992642331</c:v>
                </c:pt>
                <c:pt idx="675">
                  <c:v>1018.2557244561596</c:v>
                </c:pt>
                <c:pt idx="676">
                  <c:v>1017.7492837804479</c:v>
                </c:pt>
                <c:pt idx="677">
                  <c:v>1017.4303799722347</c:v>
                </c:pt>
                <c:pt idx="678">
                  <c:v>1017.2005934216079</c:v>
                </c:pt>
                <c:pt idx="679">
                  <c:v>1016.3022885892819</c:v>
                </c:pt>
                <c:pt idx="680">
                  <c:v>1015.0334444716892</c:v>
                </c:pt>
                <c:pt idx="681">
                  <c:v>1014.1914547919888</c:v>
                </c:pt>
                <c:pt idx="682">
                  <c:v>1012.3073870857454</c:v>
                </c:pt>
                <c:pt idx="683">
                  <c:v>1012.3073870857454</c:v>
                </c:pt>
                <c:pt idx="684">
                  <c:v>1012.0098524802861</c:v>
                </c:pt>
                <c:pt idx="685">
                  <c:v>1010.6468836250159</c:v>
                </c:pt>
                <c:pt idx="686">
                  <c:v>1009.8218677333398</c:v>
                </c:pt>
                <c:pt idx="687">
                  <c:v>1009.2659160635096</c:v>
                </c:pt>
                <c:pt idx="688">
                  <c:v>1008.6475958456808</c:v>
                </c:pt>
                <c:pt idx="689">
                  <c:v>1008.0516183628746</c:v>
                </c:pt>
                <c:pt idx="690">
                  <c:v>1007.0118808115146</c:v>
                </c:pt>
                <c:pt idx="691">
                  <c:v>1006.2538838516912</c:v>
                </c:pt>
                <c:pt idx="692">
                  <c:v>1004.7411966495004</c:v>
                </c:pt>
                <c:pt idx="693">
                  <c:v>1003.99911573196</c:v>
                </c:pt>
                <c:pt idx="694">
                  <c:v>1003.8978377101677</c:v>
                </c:pt>
                <c:pt idx="695">
                  <c:v>1002.7961313434923</c:v>
                </c:pt>
                <c:pt idx="696">
                  <c:v>1002.0412986971407</c:v>
                </c:pt>
                <c:pt idx="697">
                  <c:v>1002.0412986971407</c:v>
                </c:pt>
                <c:pt idx="698">
                  <c:v>1001.6059810837438</c:v>
                </c:pt>
                <c:pt idx="699">
                  <c:v>1001.2221927160004</c:v>
                </c:pt>
                <c:pt idx="700">
                  <c:v>1000.0760946951901</c:v>
                </c:pt>
                <c:pt idx="701">
                  <c:v>999.99999999999989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B57-4C2C-B2BA-91D3B3392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198080"/>
        <c:axId val="160944640"/>
      </c:lineChart>
      <c:dateAx>
        <c:axId val="1611980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low"/>
        <c:spPr>
          <a:ln>
            <a:solidFill>
              <a:srgbClr val="597B7C"/>
            </a:solidFill>
          </a:ln>
        </c:spPr>
        <c:txPr>
          <a:bodyPr rot="0" vert="horz"/>
          <a:lstStyle/>
          <a:p>
            <a:pPr>
              <a:defRPr>
                <a:solidFill>
                  <a:srgbClr val="597B7C"/>
                </a:solidFill>
              </a:defRPr>
            </a:pPr>
            <a:endParaRPr lang="es-MX"/>
          </a:p>
        </c:txPr>
        <c:crossAx val="160944640"/>
        <c:crosses val="autoZero"/>
        <c:auto val="1"/>
        <c:lblOffset val="100"/>
        <c:baseTimeUnit val="days"/>
      </c:dateAx>
      <c:valAx>
        <c:axId val="160944640"/>
        <c:scaling>
          <c:orientation val="minMax"/>
        </c:scaling>
        <c:delete val="0"/>
        <c:axPos val="l"/>
        <c:numFmt formatCode="#,##0" sourceLinked="0"/>
        <c:majorTickMark val="none"/>
        <c:minorTickMark val="none"/>
        <c:tickLblPos val="nextTo"/>
        <c:spPr>
          <a:ln>
            <a:solidFill>
              <a:srgbClr val="597B7C"/>
            </a:solidFill>
          </a:ln>
        </c:spPr>
        <c:txPr>
          <a:bodyPr rot="0" vert="horz"/>
          <a:lstStyle/>
          <a:p>
            <a:pPr>
              <a:defRPr sz="900">
                <a:solidFill>
                  <a:srgbClr val="597B7C"/>
                </a:solidFill>
              </a:defRPr>
            </a:pPr>
            <a:endParaRPr lang="es-MX"/>
          </a:p>
        </c:txPr>
        <c:crossAx val="161198080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29532741009971947"/>
          <c:y val="0.90507408012615598"/>
          <c:w val="0.40934517980057838"/>
          <c:h val="7.4777775486212811E-2"/>
        </c:manualLayout>
      </c:layout>
      <c:overlay val="0"/>
      <c:txPr>
        <a:bodyPr/>
        <a:lstStyle/>
        <a:p>
          <a:pPr>
            <a:defRPr sz="800"/>
          </a:pPr>
          <a:endParaRPr lang="es-MX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0" i="0" u="none" strike="noStrike" baseline="0">
          <a:solidFill>
            <a:srgbClr val="678084"/>
          </a:solidFill>
          <a:latin typeface="Arial" pitchFamily="34" charset="0"/>
          <a:ea typeface="Formata Light"/>
          <a:cs typeface="Arial" pitchFamily="34" charset="0"/>
        </a:defRPr>
      </a:pPr>
      <a:endParaRPr lang="es-MX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SEGUIMIENTO!$L$15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SEGUIMIENTO!$M$14:$N$14</c:f>
              <c:strCache>
                <c:ptCount val="2"/>
                <c:pt idx="0">
                  <c:v>Rentabilidad Cartera</c:v>
                </c:pt>
                <c:pt idx="1">
                  <c:v>Rentabilidad Cartera Neutral</c:v>
                </c:pt>
              </c:strCache>
            </c:strRef>
          </c:cat>
          <c:val>
            <c:numRef>
              <c:f>SEGUIMIENTO!$M$15:$N$15</c:f>
              <c:numCache>
                <c:formatCode>0.0%</c:formatCode>
                <c:ptCount val="2"/>
                <c:pt idx="0">
                  <c:v>0.17140410000000039</c:v>
                </c:pt>
                <c:pt idx="1">
                  <c:v>0.19735314606817878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4A-4BE0-BB4A-005685CD95E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SEGUIMIENTO!$L$16</c15:sqref>
                        </c15:formulaRef>
                      </c:ext>
                    </c:extLst>
                    <c:strCache>
                      <c:ptCount val="1"/>
                      <c:pt idx="0">
                        <c:v>Desde 2014</c:v>
                      </c:pt>
                    </c:strCache>
                  </c:strRef>
                </c:tx>
                <c:spPr>
                  <a:solidFill>
                    <a:srgbClr val="E87D1E"/>
                  </a:solidFill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/>
                    <a:lstStyle/>
                    <a:p>
                      <a:pPr>
                        <a:defRPr sz="800">
                          <a:solidFill>
                            <a:srgbClr val="597B7C"/>
                          </a:solidFill>
                        </a:defRPr>
                      </a:pPr>
                      <a:endParaRPr lang="es-MX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SEGUIMIENTO!$M$14:$N$14</c15:sqref>
                        </c15:formulaRef>
                      </c:ext>
                    </c:extLst>
                    <c:strCache>
                      <c:ptCount val="2"/>
                      <c:pt idx="0">
                        <c:v>Rentabilidad Cartera</c:v>
                      </c:pt>
                      <c:pt idx="1">
                        <c:v>Rentabilidad Cartera Neutral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SEGUIMIENTO!$M$16:$N$16</c15:sqref>
                        </c15:formulaRef>
                      </c:ext>
                    </c:extLst>
                    <c:numCache>
                      <c:formatCode>0.0%</c:formatCode>
                      <c:ptCount val="2"/>
                      <c:pt idx="0">
                        <c:v>0.17140409999999995</c:v>
                      </c:pt>
                      <c:pt idx="1">
                        <c:v>0.19735314606817855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E4A-4BE0-BB4A-005685CD95EC}"/>
                  </c:ext>
                </c:extLst>
              </c15:ser>
            </c15:filteredBarSeries>
          </c:ext>
        </c:extLst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MX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SEGUIMIENTO!$R$22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SEGUIMIENTO!$S$21:$T$21</c:f>
              <c:strCache>
                <c:ptCount val="2"/>
                <c:pt idx="0">
                  <c:v>Rentabilidad YTD Cartera</c:v>
                </c:pt>
                <c:pt idx="1">
                  <c:v>Rentabilidad YTD Cartera Neutral</c:v>
                </c:pt>
              </c:strCache>
            </c:strRef>
          </c:cat>
          <c:val>
            <c:numRef>
              <c:f>SEGUIMIENTO!$S$22:$T$22</c:f>
              <c:numCache>
                <c:formatCode>0.0000%</c:formatCode>
                <c:ptCount val="2"/>
                <c:pt idx="0">
                  <c:v>6.847043619965909E-2</c:v>
                </c:pt>
                <c:pt idx="1">
                  <c:v>7.3417053623140216E-2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259-47C3-AB76-22DFE32A0F0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MX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0.0000%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SEGUIMIENTO!$K$41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97B7C"/>
            </a:solidFill>
          </c:spPr>
          <c:invertIfNegative val="0"/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solidFill>
                      <a:srgbClr val="597B7C"/>
                    </a:solidFill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SEGUIMIENTO!$L$40:$M$40</c:f>
              <c:strCache>
                <c:ptCount val="2"/>
                <c:pt idx="0">
                  <c:v>Volatilidad Cartera</c:v>
                </c:pt>
                <c:pt idx="1">
                  <c:v>Volatilidad Cartera Neutral</c:v>
                </c:pt>
              </c:strCache>
            </c:strRef>
          </c:cat>
          <c:val>
            <c:numRef>
              <c:f>SEGUIMIENTO!$L$41:$M$41</c:f>
              <c:numCache>
                <c:formatCode>General</c:formatCode>
                <c:ptCount val="2"/>
                <c:pt idx="0">
                  <c:v>1.3226460438670627E-2</c:v>
                </c:pt>
                <c:pt idx="1">
                  <c:v>1.2168088728242783E-2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C2-48D1-8AA3-28E0559992A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57953024"/>
        <c:axId val="157687104"/>
        <c:extLst/>
      </c:barChart>
      <c:catAx>
        <c:axId val="157953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7B7C"/>
                </a:solidFill>
              </a:defRPr>
            </a:pPr>
            <a:endParaRPr lang="es-MX"/>
          </a:p>
        </c:txPr>
        <c:crossAx val="157687104"/>
        <c:crosses val="autoZero"/>
        <c:auto val="1"/>
        <c:lblAlgn val="ctr"/>
        <c:lblOffset val="100"/>
        <c:noMultiLvlLbl val="0"/>
      </c:catAx>
      <c:valAx>
        <c:axId val="157687104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57953024"/>
        <c:crosses val="autoZero"/>
        <c:crossBetween val="between"/>
      </c:valAx>
      <c:spPr>
        <a:noFill/>
      </c:spPr>
    </c:plotArea>
    <c:legend>
      <c:legendPos val="b"/>
      <c:overlay val="0"/>
      <c:txPr>
        <a:bodyPr/>
        <a:lstStyle/>
        <a:p>
          <a:pPr>
            <a:defRPr sz="800">
              <a:solidFill>
                <a:srgbClr val="597B7C"/>
              </a:solidFill>
            </a:defRPr>
          </a:pPr>
          <a:endParaRPr lang="es-MX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699" l="0.70000000000000062" r="0.70000000000000062" t="0.7500000000000069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clase de activo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DataEvolucion!$B$2</c:f>
              <c:strCache>
                <c:ptCount val="1"/>
                <c:pt idx="0">
                  <c:v>NC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DataEvolucion!$A$3:$A$35</c:f>
              <c:numCache>
                <c:formatCode>dd/mm/yy;@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>
                  <c:v>42004</c:v>
                </c:pt>
                <c:pt idx="9">
                  <c:v>42035</c:v>
                </c:pt>
                <c:pt idx="10">
                  <c:v>42063</c:v>
                </c:pt>
                <c:pt idx="11">
                  <c:v>42094</c:v>
                </c:pt>
                <c:pt idx="12">
                  <c:v>42124</c:v>
                </c:pt>
                <c:pt idx="13">
                  <c:v>42155</c:v>
                </c:pt>
                <c:pt idx="14">
                  <c:v>42185</c:v>
                </c:pt>
                <c:pt idx="15">
                  <c:v>42216</c:v>
                </c:pt>
                <c:pt idx="16">
                  <c:v>42247</c:v>
                </c:pt>
                <c:pt idx="17">
                  <c:v>42277</c:v>
                </c:pt>
                <c:pt idx="18">
                  <c:v>42308</c:v>
                </c:pt>
                <c:pt idx="19">
                  <c:v>42338</c:v>
                </c:pt>
                <c:pt idx="20">
                  <c:v>42369</c:v>
                </c:pt>
                <c:pt idx="21">
                  <c:v>42400</c:v>
                </c:pt>
                <c:pt idx="22">
                  <c:v>42429</c:v>
                </c:pt>
                <c:pt idx="23">
                  <c:v>42460</c:v>
                </c:pt>
                <c:pt idx="24">
                  <c:v>42490</c:v>
                </c:pt>
                <c:pt idx="25">
                  <c:v>42521</c:v>
                </c:pt>
                <c:pt idx="26">
                  <c:v>42551</c:v>
                </c:pt>
                <c:pt idx="27">
                  <c:v>42582</c:v>
                </c:pt>
                <c:pt idx="28">
                  <c:v>42613</c:v>
                </c:pt>
                <c:pt idx="29">
                  <c:v>42643</c:v>
                </c:pt>
                <c:pt idx="30">
                  <c:v>42674</c:v>
                </c:pt>
                <c:pt idx="31">
                  <c:v>42704</c:v>
                </c:pt>
                <c:pt idx="32">
                  <c:v>42735</c:v>
                </c:pt>
              </c:numCache>
            </c:numRef>
          </c:cat>
          <c:val>
            <c:numRef>
              <c:f>DataEvolucion!$B$3:$B$35</c:f>
              <c:numCache>
                <c:formatCode>"$"\ #,##0.00;\-"$"\ #,##0.00</c:formatCode>
                <c:ptCount val="33"/>
                <c:pt idx="0">
                  <c:v>0.92750428787735295</c:v>
                </c:pt>
                <c:pt idx="1">
                  <c:v>0.573784445873049</c:v>
                </c:pt>
                <c:pt idx="2">
                  <c:v>0.32458289325184592</c:v>
                </c:pt>
                <c:pt idx="3">
                  <c:v>0.19416691735049146</c:v>
                </c:pt>
                <c:pt idx="4">
                  <c:v>5.940471187778737E-2</c:v>
                </c:pt>
                <c:pt idx="5">
                  <c:v>5.489804968510785E-2</c:v>
                </c:pt>
                <c:pt idx="6">
                  <c:v>5.1271606188718885E-2</c:v>
                </c:pt>
                <c:pt idx="7">
                  <c:v>5.144795916156545E-2</c:v>
                </c:pt>
                <c:pt idx="8" formatCode="General">
                  <c:v>5.2205929764888886E-2</c:v>
                </c:pt>
                <c:pt idx="9" formatCode="General">
                  <c:v>2.7339517983560272E-2</c:v>
                </c:pt>
                <c:pt idx="10" formatCode="General">
                  <c:v>2.5061748265857647E-2</c:v>
                </c:pt>
                <c:pt idx="11" formatCode="General">
                  <c:v>1.8657372646197676E-3</c:v>
                </c:pt>
                <c:pt idx="12" formatCode="General">
                  <c:v>1.5357291636879959E-3</c:v>
                </c:pt>
                <c:pt idx="13" formatCode="General">
                  <c:v>1.402209417811783E-3</c:v>
                </c:pt>
                <c:pt idx="14" formatCode="General">
                  <c:v>2.2828594937368826E-2</c:v>
                </c:pt>
                <c:pt idx="15" formatCode="General">
                  <c:v>2.0397921754394178E-4</c:v>
                </c:pt>
                <c:pt idx="16" formatCode="General">
                  <c:v>9.4993891660009201E-3</c:v>
                </c:pt>
                <c:pt idx="17" formatCode="General">
                  <c:v>0.11557843610879211</c:v>
                </c:pt>
                <c:pt idx="18" formatCode="General">
                  <c:v>1.3023675493902729E-3</c:v>
                </c:pt>
                <c:pt idx="19" formatCode="General">
                  <c:v>5.4382535462547598E-3</c:v>
                </c:pt>
                <c:pt idx="20" formatCode="General">
                  <c:v>8.821326037610379E-4</c:v>
                </c:pt>
                <c:pt idx="21" formatCode="General">
                  <c:v>4.7571300344577037E-4</c:v>
                </c:pt>
                <c:pt idx="22" formatCode="General">
                  <c:v>4.1455793813298939E-4</c:v>
                </c:pt>
                <c:pt idx="23" formatCode="General">
                  <c:v>5.2768036456951411E-4</c:v>
                </c:pt>
                <c:pt idx="24" formatCode="General">
                  <c:v>2.8477372734000695E-4</c:v>
                </c:pt>
                <c:pt idx="25" formatCode="General">
                  <c:v>6.4514929498352509E-3</c:v>
                </c:pt>
                <c:pt idx="26" formatCode="General">
                  <c:v>1.8901844554371381E-3</c:v>
                </c:pt>
                <c:pt idx="27" formatCode="General">
                  <c:v>2.0501490563874488E-3</c:v>
                </c:pt>
                <c:pt idx="28" formatCode="General">
                  <c:v>5.7679191224703334E-4</c:v>
                </c:pt>
                <c:pt idx="29" formatCode="General">
                  <c:v>1.5453056653827811E-3</c:v>
                </c:pt>
                <c:pt idx="30" formatCode="General">
                  <c:v>1.0383677417251773E-3</c:v>
                </c:pt>
                <c:pt idx="31" formatCode="General">
                  <c:v>0</c:v>
                </c:pt>
                <c:pt idx="3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2-40C7-A246-5DA0FB08D202}"/>
            </c:ext>
          </c:extLst>
        </c:ser>
        <c:ser>
          <c:idx val="1"/>
          <c:order val="1"/>
          <c:tx>
            <c:strRef>
              <c:f>DataEvolucion!$C$2</c:f>
              <c:strCache>
                <c:ptCount val="1"/>
                <c:pt idx="0">
                  <c:v>Renta Fija Local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DataEvolucion!$A$3:$A$35</c:f>
              <c:numCache>
                <c:formatCode>dd/mm/yy;@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>
                  <c:v>42004</c:v>
                </c:pt>
                <c:pt idx="9">
                  <c:v>42035</c:v>
                </c:pt>
                <c:pt idx="10">
                  <c:v>42063</c:v>
                </c:pt>
                <c:pt idx="11">
                  <c:v>42094</c:v>
                </c:pt>
                <c:pt idx="12">
                  <c:v>42124</c:v>
                </c:pt>
                <c:pt idx="13">
                  <c:v>42155</c:v>
                </c:pt>
                <c:pt idx="14">
                  <c:v>42185</c:v>
                </c:pt>
                <c:pt idx="15">
                  <c:v>42216</c:v>
                </c:pt>
                <c:pt idx="16">
                  <c:v>42247</c:v>
                </c:pt>
                <c:pt idx="17">
                  <c:v>42277</c:v>
                </c:pt>
                <c:pt idx="18">
                  <c:v>42308</c:v>
                </c:pt>
                <c:pt idx="19">
                  <c:v>42338</c:v>
                </c:pt>
                <c:pt idx="20">
                  <c:v>42369</c:v>
                </c:pt>
                <c:pt idx="21">
                  <c:v>42400</c:v>
                </c:pt>
                <c:pt idx="22">
                  <c:v>42429</c:v>
                </c:pt>
                <c:pt idx="23">
                  <c:v>42460</c:v>
                </c:pt>
                <c:pt idx="24">
                  <c:v>42490</c:v>
                </c:pt>
                <c:pt idx="25">
                  <c:v>42521</c:v>
                </c:pt>
                <c:pt idx="26">
                  <c:v>42551</c:v>
                </c:pt>
                <c:pt idx="27">
                  <c:v>42582</c:v>
                </c:pt>
                <c:pt idx="28">
                  <c:v>42613</c:v>
                </c:pt>
                <c:pt idx="29">
                  <c:v>42643</c:v>
                </c:pt>
                <c:pt idx="30">
                  <c:v>42674</c:v>
                </c:pt>
                <c:pt idx="31">
                  <c:v>42704</c:v>
                </c:pt>
                <c:pt idx="32">
                  <c:v>42735</c:v>
                </c:pt>
              </c:numCache>
            </c:numRef>
          </c:cat>
          <c:val>
            <c:numRef>
              <c:f>DataEvolucion!$C$3:$C$35</c:f>
              <c:numCache>
                <c:formatCode>"$"\ #,##0.00;\-"$"\ #,##0.00</c:formatCode>
                <c:ptCount val="33"/>
                <c:pt idx="0">
                  <c:v>7.2495712122647119E-2</c:v>
                </c:pt>
                <c:pt idx="1">
                  <c:v>0.42621555412695095</c:v>
                </c:pt>
                <c:pt idx="2">
                  <c:v>0.67541710674815425</c:v>
                </c:pt>
                <c:pt idx="3">
                  <c:v>0.80583308264950859</c:v>
                </c:pt>
                <c:pt idx="4">
                  <c:v>0.94059528812221227</c:v>
                </c:pt>
                <c:pt idx="5">
                  <c:v>0.94510195031489197</c:v>
                </c:pt>
                <c:pt idx="6">
                  <c:v>0.94872839381128127</c:v>
                </c:pt>
                <c:pt idx="7">
                  <c:v>0.94855204083843414</c:v>
                </c:pt>
                <c:pt idx="8" formatCode="General">
                  <c:v>0.94779407023511086</c:v>
                </c:pt>
                <c:pt idx="9" formatCode="General">
                  <c:v>0.97266048201643973</c:v>
                </c:pt>
                <c:pt idx="10" formatCode="General">
                  <c:v>0.97493825173414239</c:v>
                </c:pt>
                <c:pt idx="11" formatCode="General">
                  <c:v>0.99813426273538031</c:v>
                </c:pt>
                <c:pt idx="12" formatCode="General">
                  <c:v>0.99846427083631217</c:v>
                </c:pt>
                <c:pt idx="13" formatCode="General">
                  <c:v>0.99859779058218834</c:v>
                </c:pt>
                <c:pt idx="14" formatCode="General">
                  <c:v>0.97717140506263145</c:v>
                </c:pt>
                <c:pt idx="15" formatCode="General">
                  <c:v>0.999796020782456</c:v>
                </c:pt>
                <c:pt idx="16" formatCode="General">
                  <c:v>0.99050061083399932</c:v>
                </c:pt>
                <c:pt idx="17" formatCode="General">
                  <c:v>0.88442156389120796</c:v>
                </c:pt>
                <c:pt idx="18" formatCode="General">
                  <c:v>0.99869763245060916</c:v>
                </c:pt>
                <c:pt idx="19" formatCode="General">
                  <c:v>0.99456174645374495</c:v>
                </c:pt>
                <c:pt idx="20" formatCode="General">
                  <c:v>0.99911786739623931</c:v>
                </c:pt>
                <c:pt idx="21" formatCode="General">
                  <c:v>0.99952428699655427</c:v>
                </c:pt>
                <c:pt idx="22" formatCode="General">
                  <c:v>0.99958544206186695</c:v>
                </c:pt>
                <c:pt idx="23" formatCode="General">
                  <c:v>0.99947231963543071</c:v>
                </c:pt>
                <c:pt idx="24" formatCode="General">
                  <c:v>0.99971522627265963</c:v>
                </c:pt>
                <c:pt idx="25" formatCode="General">
                  <c:v>0.99354850705016506</c:v>
                </c:pt>
                <c:pt idx="26" formatCode="General">
                  <c:v>0.99810981554456324</c:v>
                </c:pt>
                <c:pt idx="27" formatCode="General">
                  <c:v>0.9979498509436121</c:v>
                </c:pt>
                <c:pt idx="28" formatCode="General">
                  <c:v>0.99942320808775298</c:v>
                </c:pt>
                <c:pt idx="29" formatCode="General">
                  <c:v>0.9984546943346172</c:v>
                </c:pt>
                <c:pt idx="30" formatCode="General">
                  <c:v>0.99896163225827483</c:v>
                </c:pt>
                <c:pt idx="31" formatCode="General">
                  <c:v>0.99972346836963499</c:v>
                </c:pt>
                <c:pt idx="32" formatCode="General">
                  <c:v>0.99907161106010167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72-40C7-A246-5DA0FB08D202}"/>
            </c:ext>
          </c:extLst>
        </c:ser>
        <c:ser>
          <c:idx val="2"/>
          <c:order val="2"/>
          <c:tx>
            <c:strRef>
              <c:f>DataEvolucion!$D$2</c:f>
              <c:strCache>
                <c:ptCount val="1"/>
                <c:pt idx="0">
                  <c:v>Liquidez $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DataEvolucion!$A$3:$A$35</c:f>
              <c:numCache>
                <c:formatCode>dd/mm/yy;@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>
                  <c:v>42004</c:v>
                </c:pt>
                <c:pt idx="9">
                  <c:v>42035</c:v>
                </c:pt>
                <c:pt idx="10">
                  <c:v>42063</c:v>
                </c:pt>
                <c:pt idx="11">
                  <c:v>42094</c:v>
                </c:pt>
                <c:pt idx="12">
                  <c:v>42124</c:v>
                </c:pt>
                <c:pt idx="13">
                  <c:v>42155</c:v>
                </c:pt>
                <c:pt idx="14">
                  <c:v>42185</c:v>
                </c:pt>
                <c:pt idx="15">
                  <c:v>42216</c:v>
                </c:pt>
                <c:pt idx="16">
                  <c:v>42247</c:v>
                </c:pt>
                <c:pt idx="17">
                  <c:v>42277</c:v>
                </c:pt>
                <c:pt idx="18">
                  <c:v>42308</c:v>
                </c:pt>
                <c:pt idx="19">
                  <c:v>42338</c:v>
                </c:pt>
                <c:pt idx="20">
                  <c:v>42369</c:v>
                </c:pt>
                <c:pt idx="21">
                  <c:v>42400</c:v>
                </c:pt>
                <c:pt idx="22">
                  <c:v>42429</c:v>
                </c:pt>
                <c:pt idx="23">
                  <c:v>42460</c:v>
                </c:pt>
                <c:pt idx="24">
                  <c:v>42490</c:v>
                </c:pt>
                <c:pt idx="25">
                  <c:v>42521</c:v>
                </c:pt>
                <c:pt idx="26">
                  <c:v>42551</c:v>
                </c:pt>
                <c:pt idx="27">
                  <c:v>42582</c:v>
                </c:pt>
                <c:pt idx="28">
                  <c:v>42613</c:v>
                </c:pt>
                <c:pt idx="29">
                  <c:v>42643</c:v>
                </c:pt>
                <c:pt idx="30">
                  <c:v>42674</c:v>
                </c:pt>
                <c:pt idx="31">
                  <c:v>42704</c:v>
                </c:pt>
                <c:pt idx="32">
                  <c:v>42735</c:v>
                </c:pt>
              </c:numCache>
            </c:numRef>
          </c:cat>
          <c:val>
            <c:numRef>
              <c:f>DataEvolucion!$D$3:$D$35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2.7653163036504011E-4</c:v>
                </c:pt>
                <c:pt idx="32">
                  <c:v>9.2838893989801786E-4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F72-40C7-A246-5DA0FB08D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dateAx>
        <c:axId val="309857568"/>
        <c:scaling>
          <c:orientation val="minMax"/>
        </c:scaling>
        <c:delete val="0"/>
        <c:axPos val="b"/>
        <c:numFmt formatCode="dd/mm/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0139152"/>
        <c:crosses val="autoZero"/>
        <c:auto val="1"/>
        <c:lblOffset val="100"/>
        <c:baseTimeUnit val="months"/>
      </c:date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moneda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DataEvolucion!$H$2</c:f>
              <c:strCache>
                <c:ptCount val="1"/>
                <c:pt idx="0">
                  <c:v>UF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DataEvolucion!$G$3:$G$35</c:f>
              <c:numCache>
                <c:formatCode>"$"\ #,##0.00;\-"$"\ #,##0.00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 formatCode="m/d/yyyy">
                  <c:v>42004</c:v>
                </c:pt>
                <c:pt idx="9" formatCode="m/d/yyyy">
                  <c:v>42035</c:v>
                </c:pt>
                <c:pt idx="10" formatCode="m/d/yyyy">
                  <c:v>42063</c:v>
                </c:pt>
                <c:pt idx="11" formatCode="m/d/yyyy">
                  <c:v>42094</c:v>
                </c:pt>
                <c:pt idx="12" formatCode="m/d/yyyy">
                  <c:v>42124</c:v>
                </c:pt>
                <c:pt idx="13" formatCode="m/d/yyyy">
                  <c:v>42155</c:v>
                </c:pt>
                <c:pt idx="14" formatCode="m/d/yyyy">
                  <c:v>42185</c:v>
                </c:pt>
                <c:pt idx="15" formatCode="m/d/yyyy">
                  <c:v>42216</c:v>
                </c:pt>
                <c:pt idx="16" formatCode="m/d/yyyy">
                  <c:v>42247</c:v>
                </c:pt>
                <c:pt idx="17" formatCode="m/d/yyyy">
                  <c:v>42277</c:v>
                </c:pt>
                <c:pt idx="18" formatCode="m/d/yyyy">
                  <c:v>42308</c:v>
                </c:pt>
                <c:pt idx="19" formatCode="m/d/yyyy">
                  <c:v>42338</c:v>
                </c:pt>
                <c:pt idx="20" formatCode="m/d/yyyy">
                  <c:v>42369</c:v>
                </c:pt>
                <c:pt idx="21" formatCode="m/d/yyyy">
                  <c:v>42400</c:v>
                </c:pt>
                <c:pt idx="22" formatCode="m/d/yyyy">
                  <c:v>42429</c:v>
                </c:pt>
                <c:pt idx="23" formatCode="m/d/yyyy">
                  <c:v>42460</c:v>
                </c:pt>
                <c:pt idx="24" formatCode="m/d/yyyy">
                  <c:v>42490</c:v>
                </c:pt>
                <c:pt idx="25" formatCode="m/d/yyyy">
                  <c:v>42521</c:v>
                </c:pt>
                <c:pt idx="26" formatCode="m/d/yyyy">
                  <c:v>42551</c:v>
                </c:pt>
                <c:pt idx="27" formatCode="m/d/yyyy">
                  <c:v>42582</c:v>
                </c:pt>
                <c:pt idx="28" formatCode="m/d/yyyy">
                  <c:v>42613</c:v>
                </c:pt>
                <c:pt idx="29" formatCode="m/d/yyyy">
                  <c:v>42643</c:v>
                </c:pt>
                <c:pt idx="30" formatCode="m/d/yyyy">
                  <c:v>42674</c:v>
                </c:pt>
                <c:pt idx="31" formatCode="m/d/yyyy">
                  <c:v>42704</c:v>
                </c:pt>
                <c:pt idx="32" formatCode="m/d/yyyy">
                  <c:v>42735</c:v>
                </c:pt>
              </c:numCache>
            </c:numRef>
          </c:cat>
          <c:val>
            <c:numRef>
              <c:f>DataEvolucion!$H$3:$H$35</c:f>
              <c:numCache>
                <c:formatCode>General</c:formatCode>
                <c:ptCount val="33"/>
                <c:pt idx="0">
                  <c:v>6.696425380331654E-2</c:v>
                </c:pt>
                <c:pt idx="1">
                  <c:v>0.43409804614127739</c:v>
                </c:pt>
                <c:pt idx="2">
                  <c:v>0.62686381165267713</c:v>
                </c:pt>
                <c:pt idx="3">
                  <c:v>0.72018172583206008</c:v>
                </c:pt>
                <c:pt idx="4">
                  <c:v>0.86739307300660018</c:v>
                </c:pt>
                <c:pt idx="5">
                  <c:v>0.87064876724824247</c:v>
                </c:pt>
                <c:pt idx="6">
                  <c:v>0.86946078701370677</c:v>
                </c:pt>
                <c:pt idx="7">
                  <c:v>0.86919889294318742</c:v>
                </c:pt>
                <c:pt idx="8">
                  <c:v>0.8694124533753762</c:v>
                </c:pt>
                <c:pt idx="9">
                  <c:v>0.8722802394332394</c:v>
                </c:pt>
                <c:pt idx="10">
                  <c:v>0.87502720980853377</c:v>
                </c:pt>
                <c:pt idx="11">
                  <c:v>0.8690047693339501</c:v>
                </c:pt>
                <c:pt idx="12">
                  <c:v>0.86817431924873012</c:v>
                </c:pt>
                <c:pt idx="13">
                  <c:v>0.8712721957180477</c:v>
                </c:pt>
                <c:pt idx="14">
                  <c:v>0.85144626792623856</c:v>
                </c:pt>
                <c:pt idx="15">
                  <c:v>0.87336035925531341</c:v>
                </c:pt>
                <c:pt idx="16">
                  <c:v>0.84971568228878325</c:v>
                </c:pt>
                <c:pt idx="17">
                  <c:v>0.7714779157686249</c:v>
                </c:pt>
                <c:pt idx="18">
                  <c:v>0.87824353990729864</c:v>
                </c:pt>
                <c:pt idx="19">
                  <c:v>0.87468191430415387</c:v>
                </c:pt>
                <c:pt idx="20">
                  <c:v>0.87699148901057522</c:v>
                </c:pt>
                <c:pt idx="21">
                  <c:v>0.87708453756188876</c:v>
                </c:pt>
                <c:pt idx="22">
                  <c:v>0.87653573809291696</c:v>
                </c:pt>
                <c:pt idx="23">
                  <c:v>0.87621472212604645</c:v>
                </c:pt>
                <c:pt idx="24">
                  <c:v>0.87533749593898136</c:v>
                </c:pt>
                <c:pt idx="25">
                  <c:v>0.86627325773777453</c:v>
                </c:pt>
                <c:pt idx="26">
                  <c:v>0.87287417678040968</c:v>
                </c:pt>
                <c:pt idx="27">
                  <c:v>0.8752774828313642</c:v>
                </c:pt>
                <c:pt idx="28">
                  <c:v>0.87670735534876476</c:v>
                </c:pt>
                <c:pt idx="29">
                  <c:v>0.8727100740779784</c:v>
                </c:pt>
                <c:pt idx="30">
                  <c:v>0.85589500070894631</c:v>
                </c:pt>
                <c:pt idx="31">
                  <c:v>0.85621218030756552</c:v>
                </c:pt>
                <c:pt idx="32">
                  <c:v>0.85765172832948355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0F-4734-9118-66AEC1EE7B85}"/>
            </c:ext>
          </c:extLst>
        </c:ser>
        <c:ser>
          <c:idx val="1"/>
          <c:order val="1"/>
          <c:tx>
            <c:strRef>
              <c:f>DataEvolucion!$I$2</c:f>
              <c:strCache>
                <c:ptCount val="1"/>
                <c:pt idx="0">
                  <c:v>$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DataEvolucion!$G$3:$G$35</c:f>
              <c:numCache>
                <c:formatCode>"$"\ #,##0.00;\-"$"\ #,##0.00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 formatCode="m/d/yyyy">
                  <c:v>42004</c:v>
                </c:pt>
                <c:pt idx="9" formatCode="m/d/yyyy">
                  <c:v>42035</c:v>
                </c:pt>
                <c:pt idx="10" formatCode="m/d/yyyy">
                  <c:v>42063</c:v>
                </c:pt>
                <c:pt idx="11" formatCode="m/d/yyyy">
                  <c:v>42094</c:v>
                </c:pt>
                <c:pt idx="12" formatCode="m/d/yyyy">
                  <c:v>42124</c:v>
                </c:pt>
                <c:pt idx="13" formatCode="m/d/yyyy">
                  <c:v>42155</c:v>
                </c:pt>
                <c:pt idx="14" formatCode="m/d/yyyy">
                  <c:v>42185</c:v>
                </c:pt>
                <c:pt idx="15" formatCode="m/d/yyyy">
                  <c:v>42216</c:v>
                </c:pt>
                <c:pt idx="16" formatCode="m/d/yyyy">
                  <c:v>42247</c:v>
                </c:pt>
                <c:pt idx="17" formatCode="m/d/yyyy">
                  <c:v>42277</c:v>
                </c:pt>
                <c:pt idx="18" formatCode="m/d/yyyy">
                  <c:v>42308</c:v>
                </c:pt>
                <c:pt idx="19" formatCode="m/d/yyyy">
                  <c:v>42338</c:v>
                </c:pt>
                <c:pt idx="20" formatCode="m/d/yyyy">
                  <c:v>42369</c:v>
                </c:pt>
                <c:pt idx="21" formatCode="m/d/yyyy">
                  <c:v>42400</c:v>
                </c:pt>
                <c:pt idx="22" formatCode="m/d/yyyy">
                  <c:v>42429</c:v>
                </c:pt>
                <c:pt idx="23" formatCode="m/d/yyyy">
                  <c:v>42460</c:v>
                </c:pt>
                <c:pt idx="24" formatCode="m/d/yyyy">
                  <c:v>42490</c:v>
                </c:pt>
                <c:pt idx="25" formatCode="m/d/yyyy">
                  <c:v>42521</c:v>
                </c:pt>
                <c:pt idx="26" formatCode="m/d/yyyy">
                  <c:v>42551</c:v>
                </c:pt>
                <c:pt idx="27" formatCode="m/d/yyyy">
                  <c:v>42582</c:v>
                </c:pt>
                <c:pt idx="28" formatCode="m/d/yyyy">
                  <c:v>42613</c:v>
                </c:pt>
                <c:pt idx="29" formatCode="m/d/yyyy">
                  <c:v>42643</c:v>
                </c:pt>
                <c:pt idx="30" formatCode="m/d/yyyy">
                  <c:v>42674</c:v>
                </c:pt>
                <c:pt idx="31" formatCode="m/d/yyyy">
                  <c:v>42704</c:v>
                </c:pt>
                <c:pt idx="32" formatCode="m/d/yyyy">
                  <c:v>42735</c:v>
                </c:pt>
              </c:numCache>
            </c:numRef>
          </c:cat>
          <c:val>
            <c:numRef>
              <c:f>DataEvolucion!$I$3:$I$35</c:f>
              <c:numCache>
                <c:formatCode>dd/mm/yy;@</c:formatCode>
                <c:ptCount val="33"/>
                <c:pt idx="0">
                  <c:v>0.9330357461966835</c:v>
                </c:pt>
                <c:pt idx="1">
                  <c:v>0.56590195385872255</c:v>
                </c:pt>
                <c:pt idx="2">
                  <c:v>0.37313618834732304</c:v>
                </c:pt>
                <c:pt idx="3">
                  <c:v>0.27981827416794003</c:v>
                </c:pt>
                <c:pt idx="4">
                  <c:v>0.1326069269933996</c:v>
                </c:pt>
                <c:pt idx="5">
                  <c:v>0.12935123275175753</c:v>
                </c:pt>
                <c:pt idx="6">
                  <c:v>0.13053921298629331</c:v>
                </c:pt>
                <c:pt idx="7">
                  <c:v>0.13080110705681244</c:v>
                </c:pt>
                <c:pt idx="8">
                  <c:v>0.13058754662462371</c:v>
                </c:pt>
                <c:pt idx="9">
                  <c:v>0.12771976056676068</c:v>
                </c:pt>
                <c:pt idx="10">
                  <c:v>0.12497279019146636</c:v>
                </c:pt>
                <c:pt idx="11">
                  <c:v>0.13099523066604993</c:v>
                </c:pt>
                <c:pt idx="12">
                  <c:v>0.13182568075126999</c:v>
                </c:pt>
                <c:pt idx="13">
                  <c:v>0.12872780428195227</c:v>
                </c:pt>
                <c:pt idx="14">
                  <c:v>0.14855373207376177</c:v>
                </c:pt>
                <c:pt idx="15">
                  <c:v>0.12663964074468631</c:v>
                </c:pt>
                <c:pt idx="16">
                  <c:v>0.15028431771121672</c:v>
                </c:pt>
                <c:pt idx="17">
                  <c:v>0.22852208423137524</c:v>
                </c:pt>
                <c:pt idx="18">
                  <c:v>0.12175646009270101</c:v>
                </c:pt>
                <c:pt idx="19">
                  <c:v>0.12531808569584604</c:v>
                </c:pt>
                <c:pt idx="20">
                  <c:v>0.12300851098942503</c:v>
                </c:pt>
                <c:pt idx="21">
                  <c:v>0.12291546243811123</c:v>
                </c:pt>
                <c:pt idx="22">
                  <c:v>0.12346426190708283</c:v>
                </c:pt>
                <c:pt idx="23">
                  <c:v>0.12378527787395378</c:v>
                </c:pt>
                <c:pt idx="24">
                  <c:v>0.12466250406101824</c:v>
                </c:pt>
                <c:pt idx="25">
                  <c:v>0.13372674226222597</c:v>
                </c:pt>
                <c:pt idx="26">
                  <c:v>0.1271258232195904</c:v>
                </c:pt>
                <c:pt idx="27">
                  <c:v>0.12472251716863529</c:v>
                </c:pt>
                <c:pt idx="28">
                  <c:v>0.12329264465123536</c:v>
                </c:pt>
                <c:pt idx="29">
                  <c:v>0.1272899259220216</c:v>
                </c:pt>
                <c:pt idx="30">
                  <c:v>0.14410499929105378</c:v>
                </c:pt>
                <c:pt idx="31">
                  <c:v>0.1437878196924347</c:v>
                </c:pt>
                <c:pt idx="32">
                  <c:v>0.1423482716705162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0F-4734-9118-66AEC1EE7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catAx>
        <c:axId val="309857568"/>
        <c:scaling>
          <c:orientation val="minMax"/>
        </c:scaling>
        <c:delete val="0"/>
        <c:axPos val="b"/>
        <c:numFmt formatCode="&quot;$&quot;\ #,##0.00;\-&quot;$&quot;\ #,##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0139152"/>
        <c:crosses val="autoZero"/>
        <c:auto val="1"/>
        <c:lblAlgn val="ctr"/>
        <c:lblOffset val="100"/>
        <c:noMultiLvlLbl val="1"/>
      </c:cat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Evolución composición por mercado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DataEvolucion!$M$2</c:f>
              <c:strCache>
                <c:ptCount val="1"/>
                <c:pt idx="0">
                  <c:v>NULL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DataEvolucion!$L$3:$L$35</c:f>
              <c:numCache>
                <c:formatCode>m/d/yyyy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>
                  <c:v>42004</c:v>
                </c:pt>
                <c:pt idx="9">
                  <c:v>42035</c:v>
                </c:pt>
                <c:pt idx="10">
                  <c:v>42063</c:v>
                </c:pt>
                <c:pt idx="11">
                  <c:v>42094</c:v>
                </c:pt>
                <c:pt idx="12">
                  <c:v>42124</c:v>
                </c:pt>
                <c:pt idx="13">
                  <c:v>42155</c:v>
                </c:pt>
                <c:pt idx="14">
                  <c:v>42185</c:v>
                </c:pt>
                <c:pt idx="15">
                  <c:v>42216</c:v>
                </c:pt>
                <c:pt idx="16">
                  <c:v>42247</c:v>
                </c:pt>
                <c:pt idx="17">
                  <c:v>42277</c:v>
                </c:pt>
                <c:pt idx="18">
                  <c:v>42308</c:v>
                </c:pt>
                <c:pt idx="19">
                  <c:v>42338</c:v>
                </c:pt>
                <c:pt idx="20">
                  <c:v>42369</c:v>
                </c:pt>
                <c:pt idx="21">
                  <c:v>42400</c:v>
                </c:pt>
                <c:pt idx="22">
                  <c:v>42429</c:v>
                </c:pt>
                <c:pt idx="23">
                  <c:v>42460</c:v>
                </c:pt>
                <c:pt idx="24">
                  <c:v>42490</c:v>
                </c:pt>
                <c:pt idx="25">
                  <c:v>42521</c:v>
                </c:pt>
                <c:pt idx="26">
                  <c:v>42551</c:v>
                </c:pt>
                <c:pt idx="27">
                  <c:v>42582</c:v>
                </c:pt>
                <c:pt idx="28">
                  <c:v>42613</c:v>
                </c:pt>
                <c:pt idx="29">
                  <c:v>42643</c:v>
                </c:pt>
                <c:pt idx="30">
                  <c:v>42674</c:v>
                </c:pt>
                <c:pt idx="31">
                  <c:v>42704</c:v>
                </c:pt>
                <c:pt idx="32">
                  <c:v>42735</c:v>
                </c:pt>
              </c:numCache>
            </c:numRef>
          </c:cat>
          <c:val>
            <c:numRef>
              <c:f>DataEvolucion!$M$3:$M$35</c:f>
              <c:numCache>
                <c:formatCode>General</c:formatCode>
                <c:ptCount val="33"/>
                <c:pt idx="0">
                  <c:v>0</c:v>
                </c:pt>
                <c:pt idx="1">
                  <c:v>1.386406357585385E-2</c:v>
                </c:pt>
                <c:pt idx="2">
                  <c:v>1.3841260145056272E-2</c:v>
                </c:pt>
                <c:pt idx="3">
                  <c:v>1.7509192560126976E-2</c:v>
                </c:pt>
                <c:pt idx="4">
                  <c:v>5.7095991361163938E-2</c:v>
                </c:pt>
                <c:pt idx="5">
                  <c:v>5.4296654661514024E-2</c:v>
                </c:pt>
                <c:pt idx="6">
                  <c:v>5.0851360123618419E-2</c:v>
                </c:pt>
                <c:pt idx="7">
                  <c:v>5.0682441347716344E-2</c:v>
                </c:pt>
                <c:pt idx="8">
                  <c:v>5.0311185471292624E-2</c:v>
                </c:pt>
                <c:pt idx="9">
                  <c:v>2.6566830607969397E-2</c:v>
                </c:pt>
                <c:pt idx="10">
                  <c:v>2.4728436333353948E-2</c:v>
                </c:pt>
                <c:pt idx="11">
                  <c:v>1.2552452357347521E-3</c:v>
                </c:pt>
                <c:pt idx="12">
                  <c:v>1.2689255304793141E-3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F-4EEC-9F39-270D2ADC7FD2}"/>
            </c:ext>
          </c:extLst>
        </c:ser>
        <c:ser>
          <c:idx val="1"/>
          <c:order val="1"/>
          <c:tx>
            <c:strRef>
              <c:f>DataEvolucion!$N$2</c:f>
              <c:strCache>
                <c:ptCount val="1"/>
                <c:pt idx="0">
                  <c:v>Local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DataEvolucion!$L$3:$L$35</c:f>
              <c:numCache>
                <c:formatCode>m/d/yyyy</c:formatCode>
                <c:ptCount val="33"/>
                <c:pt idx="0">
                  <c:v>41754</c:v>
                </c:pt>
                <c:pt idx="1">
                  <c:v>41790</c:v>
                </c:pt>
                <c:pt idx="2">
                  <c:v>41820</c:v>
                </c:pt>
                <c:pt idx="3">
                  <c:v>41851</c:v>
                </c:pt>
                <c:pt idx="4">
                  <c:v>41882</c:v>
                </c:pt>
                <c:pt idx="5">
                  <c:v>41912</c:v>
                </c:pt>
                <c:pt idx="6">
                  <c:v>41943</c:v>
                </c:pt>
                <c:pt idx="7">
                  <c:v>41973</c:v>
                </c:pt>
                <c:pt idx="8">
                  <c:v>42004</c:v>
                </c:pt>
                <c:pt idx="9">
                  <c:v>42035</c:v>
                </c:pt>
                <c:pt idx="10">
                  <c:v>42063</c:v>
                </c:pt>
                <c:pt idx="11">
                  <c:v>42094</c:v>
                </c:pt>
                <c:pt idx="12">
                  <c:v>42124</c:v>
                </c:pt>
                <c:pt idx="13">
                  <c:v>42155</c:v>
                </c:pt>
                <c:pt idx="14">
                  <c:v>42185</c:v>
                </c:pt>
                <c:pt idx="15">
                  <c:v>42216</c:v>
                </c:pt>
                <c:pt idx="16">
                  <c:v>42247</c:v>
                </c:pt>
                <c:pt idx="17">
                  <c:v>42277</c:v>
                </c:pt>
                <c:pt idx="18">
                  <c:v>42308</c:v>
                </c:pt>
                <c:pt idx="19">
                  <c:v>42338</c:v>
                </c:pt>
                <c:pt idx="20">
                  <c:v>42369</c:v>
                </c:pt>
                <c:pt idx="21">
                  <c:v>42400</c:v>
                </c:pt>
                <c:pt idx="22">
                  <c:v>42429</c:v>
                </c:pt>
                <c:pt idx="23">
                  <c:v>42460</c:v>
                </c:pt>
                <c:pt idx="24">
                  <c:v>42490</c:v>
                </c:pt>
                <c:pt idx="25">
                  <c:v>42521</c:v>
                </c:pt>
                <c:pt idx="26">
                  <c:v>42551</c:v>
                </c:pt>
                <c:pt idx="27">
                  <c:v>42582</c:v>
                </c:pt>
                <c:pt idx="28">
                  <c:v>42613</c:v>
                </c:pt>
                <c:pt idx="29">
                  <c:v>42643</c:v>
                </c:pt>
                <c:pt idx="30">
                  <c:v>42674</c:v>
                </c:pt>
                <c:pt idx="31">
                  <c:v>42704</c:v>
                </c:pt>
                <c:pt idx="32">
                  <c:v>42735</c:v>
                </c:pt>
              </c:numCache>
            </c:numRef>
          </c:cat>
          <c:val>
            <c:numRef>
              <c:f>DataEvolucion!$N$3:$N$35</c:f>
              <c:numCache>
                <c:formatCode>General</c:formatCode>
                <c:ptCount val="33"/>
                <c:pt idx="0">
                  <c:v>1</c:v>
                </c:pt>
                <c:pt idx="1">
                  <c:v>0.9861359364241461</c:v>
                </c:pt>
                <c:pt idx="2">
                  <c:v>0.98615873985494396</c:v>
                </c:pt>
                <c:pt idx="3">
                  <c:v>0.98249080743987305</c:v>
                </c:pt>
                <c:pt idx="4">
                  <c:v>0.94290400863883572</c:v>
                </c:pt>
                <c:pt idx="5">
                  <c:v>0.94570334533848577</c:v>
                </c:pt>
                <c:pt idx="6">
                  <c:v>0.94914863987638165</c:v>
                </c:pt>
                <c:pt idx="7">
                  <c:v>0.9493175586522834</c:v>
                </c:pt>
                <c:pt idx="8">
                  <c:v>0.94968881452870724</c:v>
                </c:pt>
                <c:pt idx="9">
                  <c:v>0.97343316939203062</c:v>
                </c:pt>
                <c:pt idx="10">
                  <c:v>0.97527156366664614</c:v>
                </c:pt>
                <c:pt idx="11">
                  <c:v>0.99874475476426527</c:v>
                </c:pt>
                <c:pt idx="12">
                  <c:v>0.99873107446952081</c:v>
                </c:pt>
                <c:pt idx="13">
                  <c:v>1</c:v>
                </c:pt>
                <c:pt idx="14">
                  <c:v>1.0000000000000002</c:v>
                </c:pt>
                <c:pt idx="15">
                  <c:v>0.99999999999999989</c:v>
                </c:pt>
                <c:pt idx="16">
                  <c:v>1.0000000000000002</c:v>
                </c:pt>
                <c:pt idx="17">
                  <c:v>1.0000000000000002</c:v>
                </c:pt>
                <c:pt idx="18">
                  <c:v>0.99999999999999933</c:v>
                </c:pt>
                <c:pt idx="19">
                  <c:v>0.99999999999999978</c:v>
                </c:pt>
                <c:pt idx="20">
                  <c:v>1.0000000000000002</c:v>
                </c:pt>
                <c:pt idx="21">
                  <c:v>1</c:v>
                </c:pt>
                <c:pt idx="22">
                  <c:v>0.99999999999999989</c:v>
                </c:pt>
                <c:pt idx="23">
                  <c:v>1.0000000000000002</c:v>
                </c:pt>
                <c:pt idx="24">
                  <c:v>0.99999999999999967</c:v>
                </c:pt>
                <c:pt idx="25">
                  <c:v>1.0000000000000002</c:v>
                </c:pt>
                <c:pt idx="26">
                  <c:v>1.0000000000000002</c:v>
                </c:pt>
                <c:pt idx="27">
                  <c:v>0.99999999999999956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0.99999999999999956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CF-4EEC-9F39-270D2ADC7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857568"/>
        <c:axId val="310139152"/>
      </c:areaChart>
      <c:dateAx>
        <c:axId val="3098575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10139152"/>
        <c:crosses val="autoZero"/>
        <c:auto val="1"/>
        <c:lblOffset val="100"/>
        <c:baseTimeUnit val="months"/>
      </c:dateAx>
      <c:valAx>
        <c:axId val="310139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857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31751</xdr:colOff>
      <xdr:row>4</xdr:row>
      <xdr:rowOff>162983</xdr:rowOff>
    </xdr:from>
    <xdr:to>
      <xdr:col>26</xdr:col>
      <xdr:colOff>402167</xdr:colOff>
      <xdr:row>19</xdr:row>
      <xdr:rowOff>175683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C1A132E8-1AD6-475E-898C-769BC6C801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635000</xdr:colOff>
      <xdr:row>4</xdr:row>
      <xdr:rowOff>169332</xdr:rowOff>
    </xdr:from>
    <xdr:to>
      <xdr:col>30</xdr:col>
      <xdr:colOff>751416</xdr:colOff>
      <xdr:row>20</xdr:row>
      <xdr:rowOff>2116</xdr:rowOff>
    </xdr:to>
    <xdr:graphicFrame macro="">
      <xdr:nvGraphicFramePr>
        <xdr:cNvPr id="35" name="Gráfico 34">
          <a:extLst>
            <a:ext uri="{FF2B5EF4-FFF2-40B4-BE49-F238E27FC236}">
              <a16:creationId xmlns:a16="http://schemas.microsoft.com/office/drawing/2014/main" id="{E61350AA-6393-450C-875B-5C7AE2C35B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232833</xdr:colOff>
      <xdr:row>4</xdr:row>
      <xdr:rowOff>169333</xdr:rowOff>
    </xdr:from>
    <xdr:to>
      <xdr:col>35</xdr:col>
      <xdr:colOff>349249</xdr:colOff>
      <xdr:row>20</xdr:row>
      <xdr:rowOff>2117</xdr:rowOff>
    </xdr:to>
    <xdr:graphicFrame macro="">
      <xdr:nvGraphicFramePr>
        <xdr:cNvPr id="36" name="Gráfico 35">
          <a:extLst>
            <a:ext uri="{FF2B5EF4-FFF2-40B4-BE49-F238E27FC236}">
              <a16:creationId xmlns:a16="http://schemas.microsoft.com/office/drawing/2014/main" id="{DC39D452-08B5-4D5D-B8B6-18E135B9FF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35</xdr:col>
      <xdr:colOff>698500</xdr:colOff>
      <xdr:row>4</xdr:row>
      <xdr:rowOff>165099</xdr:rowOff>
    </xdr:from>
    <xdr:to>
      <xdr:col>39</xdr:col>
      <xdr:colOff>814916</xdr:colOff>
      <xdr:row>19</xdr:row>
      <xdr:rowOff>177799</xdr:rowOff>
    </xdr:to>
    <xdr:graphicFrame macro="">
      <xdr:nvGraphicFramePr>
        <xdr:cNvPr id="37" name="Gráfico 36">
          <a:extLst>
            <a:ext uri="{FF2B5EF4-FFF2-40B4-BE49-F238E27FC236}">
              <a16:creationId xmlns:a16="http://schemas.microsoft.com/office/drawing/2014/main" id="{63537E97-370F-4FC6-BC22-2F30C28EBE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0</xdr:colOff>
      <xdr:row>21</xdr:row>
      <xdr:rowOff>0</xdr:rowOff>
    </xdr:from>
    <xdr:to>
      <xdr:col>26</xdr:col>
      <xdr:colOff>370416</xdr:colOff>
      <xdr:row>36</xdr:row>
      <xdr:rowOff>23283</xdr:rowOff>
    </xdr:to>
    <xdr:graphicFrame macro="">
      <xdr:nvGraphicFramePr>
        <xdr:cNvPr id="38" name="Gráfico 37">
          <a:extLst>
            <a:ext uri="{FF2B5EF4-FFF2-40B4-BE49-F238E27FC236}">
              <a16:creationId xmlns:a16="http://schemas.microsoft.com/office/drawing/2014/main" id="{BFC52B5C-0F65-4EC3-8BEF-36285A955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603249</xdr:colOff>
      <xdr:row>21</xdr:row>
      <xdr:rowOff>6349</xdr:rowOff>
    </xdr:from>
    <xdr:to>
      <xdr:col>30</xdr:col>
      <xdr:colOff>719665</xdr:colOff>
      <xdr:row>36</xdr:row>
      <xdr:rowOff>29632</xdr:rowOff>
    </xdr:to>
    <xdr:graphicFrame macro="">
      <xdr:nvGraphicFramePr>
        <xdr:cNvPr id="39" name="Gráfico 38">
          <a:extLst>
            <a:ext uri="{FF2B5EF4-FFF2-40B4-BE49-F238E27FC236}">
              <a16:creationId xmlns:a16="http://schemas.microsoft.com/office/drawing/2014/main" id="{975CAC5E-AC4C-4EE8-B9A4-CF6433B4D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201082</xdr:colOff>
      <xdr:row>21</xdr:row>
      <xdr:rowOff>6350</xdr:rowOff>
    </xdr:from>
    <xdr:to>
      <xdr:col>35</xdr:col>
      <xdr:colOff>317498</xdr:colOff>
      <xdr:row>36</xdr:row>
      <xdr:rowOff>29633</xdr:rowOff>
    </xdr:to>
    <xdr:graphicFrame macro="">
      <xdr:nvGraphicFramePr>
        <xdr:cNvPr id="40" name="Gráfico 39">
          <a:extLst>
            <a:ext uri="{FF2B5EF4-FFF2-40B4-BE49-F238E27FC236}">
              <a16:creationId xmlns:a16="http://schemas.microsoft.com/office/drawing/2014/main" id="{538E726D-F03A-41F5-99A1-220A760A58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35</xdr:col>
      <xdr:colOff>666749</xdr:colOff>
      <xdr:row>21</xdr:row>
      <xdr:rowOff>2116</xdr:rowOff>
    </xdr:from>
    <xdr:to>
      <xdr:col>39</xdr:col>
      <xdr:colOff>783165</xdr:colOff>
      <xdr:row>36</xdr:row>
      <xdr:rowOff>25399</xdr:rowOff>
    </xdr:to>
    <xdr:graphicFrame macro="">
      <xdr:nvGraphicFramePr>
        <xdr:cNvPr id="41" name="Gráfico 40">
          <a:extLst>
            <a:ext uri="{FF2B5EF4-FFF2-40B4-BE49-F238E27FC236}">
              <a16:creationId xmlns:a16="http://schemas.microsoft.com/office/drawing/2014/main" id="{070A0C59-3CB8-4E36-8147-A3BC5710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0</xdr:colOff>
      <xdr:row>37</xdr:row>
      <xdr:rowOff>0</xdr:rowOff>
    </xdr:from>
    <xdr:to>
      <xdr:col>26</xdr:col>
      <xdr:colOff>370416</xdr:colOff>
      <xdr:row>50</xdr:row>
      <xdr:rowOff>139700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77DD8B7E-33FA-461A-8D37-45AE17013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26</xdr:col>
      <xdr:colOff>603249</xdr:colOff>
      <xdr:row>37</xdr:row>
      <xdr:rowOff>6349</xdr:rowOff>
    </xdr:from>
    <xdr:to>
      <xdr:col>30</xdr:col>
      <xdr:colOff>719665</xdr:colOff>
      <xdr:row>50</xdr:row>
      <xdr:rowOff>146049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CBB75159-FE0C-48EF-A772-A5A35DDBE9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31</xdr:col>
      <xdr:colOff>201082</xdr:colOff>
      <xdr:row>37</xdr:row>
      <xdr:rowOff>6350</xdr:rowOff>
    </xdr:from>
    <xdr:to>
      <xdr:col>35</xdr:col>
      <xdr:colOff>317498</xdr:colOff>
      <xdr:row>50</xdr:row>
      <xdr:rowOff>146050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CDF7F879-120D-413B-8741-DF54BDA0B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35</xdr:col>
      <xdr:colOff>666749</xdr:colOff>
      <xdr:row>37</xdr:row>
      <xdr:rowOff>2116</xdr:rowOff>
    </xdr:from>
    <xdr:to>
      <xdr:col>39</xdr:col>
      <xdr:colOff>783165</xdr:colOff>
      <xdr:row>50</xdr:row>
      <xdr:rowOff>141816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630767F8-6A84-4A61-8742-3E73648F7F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22</xdr:col>
      <xdr:colOff>0</xdr:colOff>
      <xdr:row>52</xdr:row>
      <xdr:rowOff>0</xdr:rowOff>
    </xdr:from>
    <xdr:to>
      <xdr:col>26</xdr:col>
      <xdr:colOff>370416</xdr:colOff>
      <xdr:row>66</xdr:row>
      <xdr:rowOff>12700</xdr:rowOff>
    </xdr:to>
    <xdr:graphicFrame macro="">
      <xdr:nvGraphicFramePr>
        <xdr:cNvPr id="46" name="Gráfico 45">
          <a:extLst>
            <a:ext uri="{FF2B5EF4-FFF2-40B4-BE49-F238E27FC236}">
              <a16:creationId xmlns:a16="http://schemas.microsoft.com/office/drawing/2014/main" id="{9D170B41-3C37-40B9-8CD6-89BA452CF2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26</xdr:col>
      <xdr:colOff>603249</xdr:colOff>
      <xdr:row>52</xdr:row>
      <xdr:rowOff>6349</xdr:rowOff>
    </xdr:from>
    <xdr:to>
      <xdr:col>30</xdr:col>
      <xdr:colOff>719665</xdr:colOff>
      <xdr:row>66</xdr:row>
      <xdr:rowOff>19049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C6D14C21-0D34-44CF-B8B8-7ED5A6CF26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201082</xdr:colOff>
      <xdr:row>52</xdr:row>
      <xdr:rowOff>6350</xdr:rowOff>
    </xdr:from>
    <xdr:to>
      <xdr:col>35</xdr:col>
      <xdr:colOff>317498</xdr:colOff>
      <xdr:row>66</xdr:row>
      <xdr:rowOff>19050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EFA588E-41CF-4F9B-8265-32218AFCF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35</xdr:col>
      <xdr:colOff>666749</xdr:colOff>
      <xdr:row>52</xdr:row>
      <xdr:rowOff>2116</xdr:rowOff>
    </xdr:from>
    <xdr:to>
      <xdr:col>39</xdr:col>
      <xdr:colOff>783165</xdr:colOff>
      <xdr:row>66</xdr:row>
      <xdr:rowOff>14816</xdr:rowOff>
    </xdr:to>
    <xdr:graphicFrame macro="">
      <xdr:nvGraphicFramePr>
        <xdr:cNvPr id="49" name="Gráfico 48">
          <a:extLst>
            <a:ext uri="{FF2B5EF4-FFF2-40B4-BE49-F238E27FC236}">
              <a16:creationId xmlns:a16="http://schemas.microsoft.com/office/drawing/2014/main" id="{4BE8106F-BAD4-4153-8926-8109944BC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804334</xdr:colOff>
      <xdr:row>1</xdr:row>
      <xdr:rowOff>173566</xdr:rowOff>
    </xdr:from>
    <xdr:to>
      <xdr:col>10</xdr:col>
      <xdr:colOff>698501</xdr:colOff>
      <xdr:row>17</xdr:row>
      <xdr:rowOff>6350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EE083E90-34BD-4A13-87A6-901A3559C9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1185333</xdr:colOff>
      <xdr:row>23</xdr:row>
      <xdr:rowOff>14817</xdr:rowOff>
    </xdr:from>
    <xdr:to>
      <xdr:col>16</xdr:col>
      <xdr:colOff>179917</xdr:colOff>
      <xdr:row>38</xdr:row>
      <xdr:rowOff>38100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4F3E6B79-1123-4B0B-A7A7-5E91C4D95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560917</xdr:colOff>
      <xdr:row>2</xdr:row>
      <xdr:rowOff>42334</xdr:rowOff>
    </xdr:from>
    <xdr:to>
      <xdr:col>21</xdr:col>
      <xdr:colOff>423333</xdr:colOff>
      <xdr:row>17</xdr:row>
      <xdr:rowOff>55034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84EDE37C-2A51-4EC5-8F2B-9651F0EFA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16</xdr:col>
      <xdr:colOff>539748</xdr:colOff>
      <xdr:row>23</xdr:row>
      <xdr:rowOff>57151</xdr:rowOff>
    </xdr:from>
    <xdr:to>
      <xdr:col>21</xdr:col>
      <xdr:colOff>687915</xdr:colOff>
      <xdr:row>35</xdr:row>
      <xdr:rowOff>116417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7AB3C8-49A1-4380-87BB-3FD6600D68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16</xdr:col>
      <xdr:colOff>391583</xdr:colOff>
      <xdr:row>35</xdr:row>
      <xdr:rowOff>152401</xdr:rowOff>
    </xdr:from>
    <xdr:to>
      <xdr:col>21</xdr:col>
      <xdr:colOff>867832</xdr:colOff>
      <xdr:row>48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FD3A05E-CC7E-48DF-92D6-44809243D6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2</xdr:row>
      <xdr:rowOff>85725</xdr:rowOff>
    </xdr:from>
    <xdr:to>
      <xdr:col>4</xdr:col>
      <xdr:colOff>962025</xdr:colOff>
      <xdr:row>17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999FFD-1225-413C-AEA3-0BB9819FB7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152400</xdr:colOff>
      <xdr:row>2</xdr:row>
      <xdr:rowOff>47625</xdr:rowOff>
    </xdr:from>
    <xdr:to>
      <xdr:col>11</xdr:col>
      <xdr:colOff>295275</xdr:colOff>
      <xdr:row>17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1F5747D-4D8D-442D-AD22-7B90481AA7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333375</xdr:colOff>
      <xdr:row>19</xdr:row>
      <xdr:rowOff>142875</xdr:rowOff>
    </xdr:from>
    <xdr:to>
      <xdr:col>4</xdr:col>
      <xdr:colOff>923925</xdr:colOff>
      <xdr:row>34</xdr:row>
      <xdr:rowOff>171450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E11220C-6D30-40AC-A000-A142411722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Credicorp Capital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597B7C"/>
    </a:accent1>
    <a:accent2>
      <a:srgbClr val="E87D1E"/>
    </a:accent2>
    <a:accent3>
      <a:srgbClr val="8D5615"/>
    </a:accent3>
    <a:accent4>
      <a:srgbClr val="9BB0B0"/>
    </a:accent4>
    <a:accent5>
      <a:srgbClr val="BCCACA"/>
    </a:accent5>
    <a:accent6>
      <a:srgbClr val="CA701B"/>
    </a:accent6>
    <a:hlink>
      <a:srgbClr val="0000FF"/>
    </a:hlink>
    <a:folHlink>
      <a:srgbClr val="80008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colorIMT">
    <a:dk1>
      <a:srgbClr val="000000"/>
    </a:dk1>
    <a:lt1>
      <a:srgbClr val="FFFFFF"/>
    </a:lt1>
    <a:dk2>
      <a:srgbClr val="002B45"/>
    </a:dk2>
    <a:lt2>
      <a:srgbClr val="142636"/>
    </a:lt2>
    <a:accent1>
      <a:srgbClr val="B5C4D5"/>
    </a:accent1>
    <a:accent2>
      <a:srgbClr val="5B727F"/>
    </a:accent2>
    <a:accent3>
      <a:srgbClr val="1F4150"/>
    </a:accent3>
    <a:accent4>
      <a:srgbClr val="169FB1"/>
    </a:accent4>
    <a:accent5>
      <a:srgbClr val="1F4381"/>
    </a:accent5>
    <a:accent6>
      <a:srgbClr val="5543B4"/>
    </a:accent6>
    <a:hlink>
      <a:srgbClr val="0000FF"/>
    </a:hlink>
    <a:folHlink>
      <a:srgbClr val="FF0000"/>
    </a:folHlink>
  </a:clrScheme>
  <a:fontScheme name="Clásico de Office 2">
    <a:maj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ajorFont>
    <a:minorFont>
      <a:latin typeface="Arial"/>
      <a:ea typeface=""/>
      <a:cs typeface=""/>
      <a:font script="Jpan" typeface="ＭＳ Ｐゴシック"/>
      <a:font script="Hang" typeface="굴림"/>
      <a:font script="Hans" typeface="黑体"/>
      <a:font script="Hant" typeface="微軟正黑體"/>
      <a:font script="Arab" typeface="Arial"/>
      <a:font script="Hebr" typeface="Arial"/>
      <a:font script="Thai" typeface="Cordia New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E23"/>
  <sheetViews>
    <sheetView workbookViewId="0">
      <selection activeCell="B2" sqref="B2"/>
    </sheetView>
  </sheetViews>
  <sheetFormatPr baseColWidth="10" defaultRowHeight="14.25" x14ac:dyDescent="0.2"/>
  <cols>
    <col min="1" max="1" width="16.5" customWidth="1"/>
    <col min="2" max="2" width="14" bestFit="1" customWidth="1"/>
  </cols>
  <sheetData>
    <row r="2" spans="1:5" x14ac:dyDescent="0.2">
      <c r="A2" t="s">
        <v>0</v>
      </c>
      <c r="B2" t="s">
        <v>95</v>
      </c>
    </row>
    <row r="3" spans="1:5" x14ac:dyDescent="0.2">
      <c r="A3" t="s">
        <v>1</v>
      </c>
      <c r="B3" s="1">
        <v>41753</v>
      </c>
    </row>
    <row r="4" spans="1:5" x14ac:dyDescent="0.2">
      <c r="A4" t="s">
        <v>2</v>
      </c>
      <c r="B4" s="1">
        <v>42735</v>
      </c>
    </row>
    <row r="5" spans="1:5" x14ac:dyDescent="0.2">
      <c r="A5" t="s">
        <v>3</v>
      </c>
      <c r="B5" t="s">
        <v>90</v>
      </c>
    </row>
    <row r="7" spans="1:5" x14ac:dyDescent="0.2">
      <c r="E7" s="3"/>
    </row>
    <row r="23" spans="4:4" x14ac:dyDescent="0.2">
      <c r="D23" s="2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2" tint="0.249977111117893"/>
  </sheetPr>
  <dimension ref="B1:AN109"/>
  <sheetViews>
    <sheetView zoomScale="90" zoomScaleNormal="90" workbookViewId="0"/>
  </sheetViews>
  <sheetFormatPr baseColWidth="10" defaultRowHeight="14.25" x14ac:dyDescent="0.2"/>
  <cols>
    <col min="1" max="1" width="19.25" customWidth="1"/>
    <col min="2" max="2" width="38" customWidth="1"/>
    <col min="3" max="3" width="22.25" bestFit="1" customWidth="1"/>
    <col min="4" max="4" width="11.5" customWidth="1"/>
    <col min="5" max="6" width="11.875" customWidth="1"/>
    <col min="7" max="7" width="15.625" customWidth="1"/>
    <col min="8" max="22" width="8.625" customWidth="1"/>
    <col min="23" max="23" width="7.625" bestFit="1" customWidth="1"/>
  </cols>
  <sheetData>
    <row r="1" spans="2:40" x14ac:dyDescent="0.2">
      <c r="G1" s="12"/>
      <c r="H1" s="12"/>
    </row>
    <row r="2" spans="2:40" ht="14.25" customHeight="1" x14ac:dyDescent="0.2">
      <c r="B2" s="73" t="s">
        <v>66</v>
      </c>
      <c r="C2" s="74" t="s">
        <v>535</v>
      </c>
      <c r="E2" s="12"/>
      <c r="F2" s="12"/>
      <c r="G2" s="12"/>
      <c r="U2" s="72"/>
      <c r="V2" s="72"/>
      <c r="W2" s="163" t="s">
        <v>64</v>
      </c>
      <c r="X2" s="163"/>
      <c r="Y2" s="163"/>
      <c r="Z2" s="163"/>
      <c r="AA2" s="163"/>
      <c r="AB2" s="163"/>
      <c r="AC2" s="163"/>
      <c r="AD2" s="163"/>
      <c r="AE2" s="163"/>
      <c r="AF2" s="163"/>
      <c r="AG2" s="163"/>
      <c r="AH2" s="163"/>
      <c r="AI2" s="163"/>
      <c r="AJ2" s="163"/>
      <c r="AK2" s="163"/>
      <c r="AL2" s="163"/>
      <c r="AM2" s="163"/>
      <c r="AN2" s="163"/>
    </row>
    <row r="3" spans="2:40" ht="14.25" customHeight="1" x14ac:dyDescent="0.2">
      <c r="B3" s="75" t="s">
        <v>67</v>
      </c>
      <c r="C3" s="76" t="s">
        <v>536</v>
      </c>
      <c r="U3" s="72"/>
      <c r="V3" s="72"/>
      <c r="W3" s="163"/>
      <c r="X3" s="163"/>
      <c r="Y3" s="163"/>
      <c r="Z3" s="163"/>
      <c r="AA3" s="163"/>
      <c r="AB3" s="163"/>
      <c r="AC3" s="163"/>
      <c r="AD3" s="163"/>
      <c r="AE3" s="163"/>
      <c r="AF3" s="163"/>
      <c r="AG3" s="163"/>
      <c r="AH3" s="163"/>
      <c r="AI3" s="163"/>
      <c r="AJ3" s="163"/>
      <c r="AK3" s="163"/>
      <c r="AL3" s="163"/>
      <c r="AM3" s="163"/>
      <c r="AN3" s="163"/>
    </row>
    <row r="4" spans="2:40" ht="14.25" customHeight="1" x14ac:dyDescent="0.2">
      <c r="B4" s="73" t="s">
        <v>68</v>
      </c>
      <c r="C4" s="74">
        <v>9</v>
      </c>
      <c r="U4" s="72"/>
      <c r="V4" s="72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63"/>
      <c r="AJ4" s="163"/>
      <c r="AK4" s="163"/>
      <c r="AL4" s="163"/>
      <c r="AM4" s="163"/>
      <c r="AN4" s="163"/>
    </row>
    <row r="5" spans="2:40" x14ac:dyDescent="0.2">
      <c r="B5" s="75" t="s">
        <v>69</v>
      </c>
      <c r="C5" s="76" t="s">
        <v>537</v>
      </c>
    </row>
    <row r="6" spans="2:40" x14ac:dyDescent="0.2">
      <c r="B6" s="73" t="s">
        <v>70</v>
      </c>
      <c r="C6" s="74" t="s">
        <v>538</v>
      </c>
    </row>
    <row r="7" spans="2:40" x14ac:dyDescent="0.2">
      <c r="B7" s="75" t="s">
        <v>71</v>
      </c>
      <c r="C7" s="77" t="s">
        <v>539</v>
      </c>
    </row>
    <row r="8" spans="2:40" x14ac:dyDescent="0.2">
      <c r="B8" s="73" t="s">
        <v>72</v>
      </c>
      <c r="C8" s="78">
        <v>20123150427</v>
      </c>
    </row>
    <row r="9" spans="2:40" x14ac:dyDescent="0.2">
      <c r="B9" s="75" t="s">
        <v>73</v>
      </c>
      <c r="C9" s="76"/>
    </row>
    <row r="10" spans="2:40" x14ac:dyDescent="0.2">
      <c r="B10" s="73" t="s">
        <v>74</v>
      </c>
      <c r="C10" s="74"/>
    </row>
    <row r="12" spans="2:40" ht="15" customHeight="1" x14ac:dyDescent="0.2">
      <c r="B12" s="164" t="s">
        <v>20</v>
      </c>
      <c r="C12" s="164"/>
      <c r="D12" s="164"/>
      <c r="E12" s="164"/>
    </row>
    <row r="13" spans="2:40" ht="15" customHeight="1" x14ac:dyDescent="0.2">
      <c r="B13" s="18"/>
      <c r="C13" s="18"/>
      <c r="D13" s="19"/>
      <c r="E13" s="23"/>
    </row>
    <row r="14" spans="2:40" ht="15" customHeight="1" x14ac:dyDescent="0.2">
      <c r="B14" s="20"/>
      <c r="C14" s="20"/>
      <c r="D14" s="20" t="s">
        <v>43</v>
      </c>
      <c r="E14" s="20" t="s">
        <v>60</v>
      </c>
      <c r="M14" t="s">
        <v>61</v>
      </c>
      <c r="N14" t="s">
        <v>62</v>
      </c>
    </row>
    <row r="15" spans="2:40" x14ac:dyDescent="0.2">
      <c r="B15" s="172" t="str">
        <f xml:space="preserve"> "Rentabilidad " &amp; TEXT(DATE(YEAR(Datos!E4), MONTH(Datos!E4),DAY(Datos!E4)), "mmm - YYYY" )</f>
        <v>Rentabilidad dic - YYYY</v>
      </c>
      <c r="C15" s="173"/>
      <c r="D15" s="21">
        <f>Datos!F4</f>
        <v>1.4409869513608786E-2</v>
      </c>
      <c r="E15" s="115">
        <f>Datos!G4</f>
        <v>1.7049646543868757E-2</v>
      </c>
      <c r="L15" t="s">
        <v>57</v>
      </c>
      <c r="M15" s="48">
        <f>D18</f>
        <v>0.17140410000000039</v>
      </c>
      <c r="N15" s="48">
        <f>E18</f>
        <v>0.19735314606817878</v>
      </c>
    </row>
    <row r="16" spans="2:40" x14ac:dyDescent="0.2">
      <c r="B16" s="170" t="s">
        <v>21</v>
      </c>
      <c r="C16" s="171"/>
      <c r="D16" s="22">
        <f>Datos!J4</f>
        <v>6.847043619965909E-2</v>
      </c>
      <c r="E16" s="24">
        <f>Datos!K4</f>
        <v>7.3417053623140216E-2</v>
      </c>
      <c r="L16" t="s">
        <v>63</v>
      </c>
      <c r="M16" s="48">
        <f t="array" ref="M16">PRODUCT(1+Datos!J4:J6)-1</f>
        <v>0.17140409999999995</v>
      </c>
      <c r="N16" s="48">
        <f t="array" ref="N16">PRODUCT(1+Datos!K4:K6)-1</f>
        <v>0.19735314606817855</v>
      </c>
    </row>
    <row r="17" spans="2:20" x14ac:dyDescent="0.2">
      <c r="B17" s="170" t="s">
        <v>22</v>
      </c>
      <c r="C17" s="171"/>
      <c r="D17" s="22">
        <f t="array" ref="D17">PRODUCT(1+Datos!F4:F1000)^(365/(Control!$B$4-Control!$B$3))-1</f>
        <v>6.0565846753215746E-2</v>
      </c>
      <c r="E17" s="24">
        <f t="array" ref="E17">PRODUCT(1+Datos!G4:G1000)^(365/(Control!$B$4-Control!$B$3))-1</f>
        <v>6.923819758499028E-2</v>
      </c>
    </row>
    <row r="18" spans="2:20" x14ac:dyDescent="0.2">
      <c r="B18" s="170" t="str">
        <f>"Rentabilidad desde  " &amp; TEXT(DATE(YEAR(Control!B3), MONTH(Control!B3),DAY(Control!B3)), "mmm - YYYY" )</f>
        <v>Rentabilidad desde  abr - YYYY</v>
      </c>
      <c r="C18" s="171"/>
      <c r="D18" s="22">
        <f t="array" ref="D18">PRODUCT(1+Datos!F4:F10000)-1</f>
        <v>0.17140410000000039</v>
      </c>
      <c r="E18" s="24">
        <f t="array" ref="E18">PRODUCT(1+Datos!G4:G10000)-1</f>
        <v>0.19735314606817878</v>
      </c>
    </row>
    <row r="19" spans="2:20" x14ac:dyDescent="0.2">
      <c r="B19" s="170" t="s">
        <v>23</v>
      </c>
      <c r="C19" s="171"/>
      <c r="D19" s="22">
        <f>IFERROR(AVERAGEIF(Datos!F4:F10000,"&lt;0"),"--")</f>
        <v>-3.633731498325053E-3</v>
      </c>
      <c r="E19" s="24">
        <f>IFERROR(AVERAGEIF(Datos!G4:G10000,"&lt;0"),"--")</f>
        <v>-3.5129254150899846E-3</v>
      </c>
    </row>
    <row r="20" spans="2:20" x14ac:dyDescent="0.2">
      <c r="B20" s="170" t="s">
        <v>24</v>
      </c>
      <c r="C20" s="171"/>
      <c r="D20" s="22">
        <f>IFERROR(AVERAGEIF(Datos!F4:F1000,"&gt;0"),"--")</f>
        <v>7.0988012143097159E-3</v>
      </c>
      <c r="E20" s="24">
        <f>IFERROR(AVERAGEIF(Datos!G4:G1000,"&gt;0"),"--")</f>
        <v>7.0970887848626884E-3</v>
      </c>
    </row>
    <row r="21" spans="2:20" x14ac:dyDescent="0.2">
      <c r="B21" s="170" t="s">
        <v>25</v>
      </c>
      <c r="C21" s="171"/>
      <c r="D21" s="22">
        <f>AVERAGE(Datos!F4:F10000)</f>
        <v>4.8222033661750683E-3</v>
      </c>
      <c r="E21" s="24">
        <f>AVERAGE(Datos!G4:G10000)</f>
        <v>5.4895108757789498E-3</v>
      </c>
      <c r="S21" t="s">
        <v>80</v>
      </c>
      <c r="T21" t="s">
        <v>81</v>
      </c>
    </row>
    <row r="22" spans="2:20" x14ac:dyDescent="0.2">
      <c r="B22" s="170" t="s">
        <v>26</v>
      </c>
      <c r="C22" s="171"/>
      <c r="D22" s="22">
        <f>COUNTIF(Datos!F4:F10000,"&gt;0")/COUNTA(Datos!F4:F10000)</f>
        <v>0.78787878787878785</v>
      </c>
      <c r="E22" s="24">
        <f>COUNTIF(Datos!G4:G10000,"&gt;0")/COUNTA(Datos!G4:G10000)</f>
        <v>0.84848484848484851</v>
      </c>
      <c r="R22" t="s">
        <v>57</v>
      </c>
      <c r="S22" s="114">
        <f>D16</f>
        <v>6.847043619965909E-2</v>
      </c>
      <c r="T22" s="114">
        <f>E16</f>
        <v>7.3417053623140216E-2</v>
      </c>
    </row>
    <row r="23" spans="2:20" x14ac:dyDescent="0.2">
      <c r="B23" s="170" t="s">
        <v>27</v>
      </c>
      <c r="C23" s="171"/>
      <c r="D23" s="22">
        <f>COUNTIF(Datos!F4:F10000,"&lt;0")/COUNTA(Datos!F4:F10000)</f>
        <v>0.21212121212121213</v>
      </c>
      <c r="E23" s="24">
        <f>COUNTIF(Datos!G4:G10000,"&lt;0")/COUNTA(Datos!G4:G10000)</f>
        <v>0.15151515151515152</v>
      </c>
      <c r="I23" s="164" t="s">
        <v>65</v>
      </c>
      <c r="J23" s="164"/>
      <c r="K23" s="164"/>
    </row>
    <row r="24" spans="2:20" x14ac:dyDescent="0.2">
      <c r="B24" s="170" t="s">
        <v>28</v>
      </c>
      <c r="C24" s="171"/>
      <c r="D24" s="22">
        <f>MIN(Datos!F4:F10000)</f>
        <v>-8.4249575553529965E-3</v>
      </c>
      <c r="E24" s="24">
        <f>MIN(Datos!G4:G10000)</f>
        <v>-7.569303339868716E-3</v>
      </c>
    </row>
    <row r="25" spans="2:20" x14ac:dyDescent="0.2">
      <c r="B25" s="170" t="s">
        <v>29</v>
      </c>
      <c r="C25" s="171"/>
      <c r="D25" s="22">
        <f>Datos!Q7</f>
        <v>1.3226460438670627E-2</v>
      </c>
      <c r="E25" s="24">
        <f>Datos!Q8</f>
        <v>1.2168088728242783E-2</v>
      </c>
    </row>
    <row r="26" spans="2:20" ht="15" thickBot="1" x14ac:dyDescent="0.25"/>
    <row r="27" spans="2:20" ht="15" thickTop="1" x14ac:dyDescent="0.2">
      <c r="B27" s="167" t="s">
        <v>30</v>
      </c>
      <c r="C27" s="167"/>
      <c r="D27" s="168"/>
      <c r="E27" s="25"/>
    </row>
    <row r="28" spans="2:20" x14ac:dyDescent="0.2">
      <c r="B28" s="20"/>
      <c r="C28" s="26" t="s">
        <v>13</v>
      </c>
      <c r="D28" s="20" t="s">
        <v>14</v>
      </c>
      <c r="E28" s="20" t="s">
        <v>34</v>
      </c>
    </row>
    <row r="29" spans="2:20" x14ac:dyDescent="0.2">
      <c r="B29" s="27" t="s">
        <v>31</v>
      </c>
      <c r="C29" s="28">
        <f>IF(Datos!N3="","",Datos!N3)</f>
        <v>4.186897239980357E-3</v>
      </c>
      <c r="D29" s="29">
        <f>IF(Datos!N4="","",Datos!N4)</f>
        <v>0.87517617276913529</v>
      </c>
      <c r="E29" s="30">
        <f>IF(Datos!N5="","",Datos!N5)</f>
        <v>5.9168276203749176E-3</v>
      </c>
    </row>
    <row r="30" spans="2:20" x14ac:dyDescent="0.2">
      <c r="B30" s="27" t="s">
        <v>32</v>
      </c>
      <c r="C30" s="28">
        <f>IF(Datos!O3="","",Datos!O3)</f>
        <v>-4.126441842114074E-4</v>
      </c>
      <c r="D30" s="29">
        <f>IF(Datos!O4="","",Datos!O4)</f>
        <v>0.9165323809985042</v>
      </c>
      <c r="E30" s="28">
        <f>IF(Datos!O5="","",Datos!O5)</f>
        <v>6.6458102701713023E-3</v>
      </c>
    </row>
    <row r="31" spans="2:20" x14ac:dyDescent="0.2">
      <c r="B31" s="31" t="s">
        <v>33</v>
      </c>
      <c r="C31" s="32">
        <f>IF(Datos!Q3="","",Datos!Q3)</f>
        <v>-7.4442144736547647E-4</v>
      </c>
      <c r="D31" s="33">
        <f>IF(Datos!Q4="","",Datos!Q4)</f>
        <v>0.88888529380373926</v>
      </c>
      <c r="E31" s="34">
        <f>IF(Datos!Q5="","",Datos!Q5)</f>
        <v>7.7041342118780972E-3</v>
      </c>
    </row>
    <row r="33" spans="2:13" x14ac:dyDescent="0.2">
      <c r="B33" s="166" t="s">
        <v>35</v>
      </c>
      <c r="C33" s="166"/>
      <c r="D33" s="166"/>
      <c r="E33" s="35" t="s">
        <v>36</v>
      </c>
    </row>
    <row r="34" spans="2:13" x14ac:dyDescent="0.2">
      <c r="B34" s="169" t="s">
        <v>37</v>
      </c>
      <c r="C34" s="169"/>
      <c r="D34" s="169"/>
      <c r="E34" s="36">
        <f>SUMIFS(CarteraCompleta!S2:S1000,CarteraCompleta!I2:I1000, "Bono Corporativo") + SUMIFS(CarteraCompleta!S2:S1000,CarteraCompleta!I2:I1000, "Accion") + SUMIFS(CarteraCompleta!S2:S1000,CarteraCompleta!I2:I1000, "Factura")</f>
        <v>0.99907166671173286</v>
      </c>
    </row>
    <row r="35" spans="2:13" x14ac:dyDescent="0.2">
      <c r="B35" s="165" t="s">
        <v>38</v>
      </c>
      <c r="C35" s="165"/>
      <c r="D35" s="165"/>
      <c r="E35" s="37">
        <f>1-E34</f>
        <v>9.2833328826713579E-4</v>
      </c>
    </row>
    <row r="37" spans="2:13" x14ac:dyDescent="0.2">
      <c r="B37" s="166" t="s">
        <v>39</v>
      </c>
      <c r="C37" s="166"/>
      <c r="D37" s="166"/>
      <c r="E37" s="35" t="s">
        <v>40</v>
      </c>
    </row>
    <row r="38" spans="2:13" x14ac:dyDescent="0.2">
      <c r="B38" s="165" t="s">
        <v>41</v>
      </c>
      <c r="C38" s="165"/>
      <c r="D38" s="165"/>
      <c r="E38" s="22">
        <f>(SUMPRODUCT(CarteraCompleta!S2:S1000,CarteraCompleta!G2:G1000)/SUM(CarteraCompleta!S2:S1000))/100</f>
        <v>2.504454341919694E-2</v>
      </c>
    </row>
    <row r="39" spans="2:13" ht="15" customHeight="1" x14ac:dyDescent="0.2">
      <c r="B39" s="165" t="s">
        <v>42</v>
      </c>
      <c r="C39" s="165"/>
      <c r="D39" s="165"/>
      <c r="E39" s="22"/>
    </row>
    <row r="40" spans="2:13" x14ac:dyDescent="0.2">
      <c r="B40" s="165" t="s">
        <v>19</v>
      </c>
      <c r="C40" s="165"/>
      <c r="D40" s="165"/>
      <c r="E40" s="116">
        <f>SUMPRODUCT(CarteraCompleta!S2:S1000,CarteraCompleta!F2:F1000)/SUM(CarteraCompleta!S2:S1000)</f>
        <v>2.4560150927290398</v>
      </c>
      <c r="L40" t="s">
        <v>82</v>
      </c>
      <c r="M40" t="s">
        <v>83</v>
      </c>
    </row>
    <row r="41" spans="2:13" x14ac:dyDescent="0.2">
      <c r="K41" t="s">
        <v>57</v>
      </c>
      <c r="L41">
        <f>Datos!Q7</f>
        <v>1.3226460438670627E-2</v>
      </c>
      <c r="M41">
        <f>Datos!Q8</f>
        <v>1.2168088728242783E-2</v>
      </c>
    </row>
    <row r="42" spans="2:13" x14ac:dyDescent="0.2">
      <c r="B42" s="166" t="s">
        <v>18</v>
      </c>
      <c r="C42" s="166"/>
      <c r="D42" s="166"/>
      <c r="E42" s="35" t="s">
        <v>36</v>
      </c>
    </row>
    <row r="43" spans="2:13" x14ac:dyDescent="0.2">
      <c r="B43" s="165" t="str">
        <f>IF(ResumenCarteraRF!AK2="","",ResumenCarteraRF!AK2)</f>
        <v>UF</v>
      </c>
      <c r="C43" s="165"/>
      <c r="D43" s="165"/>
      <c r="E43" s="37">
        <f>IF(ResumenCarteraRF!AM2="","",ResumenCarteraRF!AM2)</f>
        <v>0.85765172832948333</v>
      </c>
    </row>
    <row r="44" spans="2:13" x14ac:dyDescent="0.2">
      <c r="B44" s="165" t="str">
        <f>IF(ResumenCarteraRF!AK3="","",ResumenCarteraRF!AK3)</f>
        <v>$</v>
      </c>
      <c r="C44" s="165"/>
      <c r="D44" s="165"/>
      <c r="E44" s="37">
        <f>IF(ResumenCarteraRF!AM3="","",ResumenCarteraRF!AM3)</f>
        <v>0.14234827167051617</v>
      </c>
    </row>
    <row r="45" spans="2:13" x14ac:dyDescent="0.2">
      <c r="B45" s="165" t="str">
        <f>IF(ResumenCarteraRF!AK4="","",ResumenCarteraRF!AK4)</f>
        <v/>
      </c>
      <c r="C45" s="165"/>
      <c r="D45" s="165"/>
      <c r="E45" s="37" t="str">
        <f>IF(ResumenCarteraRF!AM4="","",ResumenCarteraRF!AM4)</f>
        <v/>
      </c>
    </row>
    <row r="46" spans="2:13" x14ac:dyDescent="0.2">
      <c r="B46" s="165" t="str">
        <f>IF(ResumenCarteraRF!AK5="","",ResumenCarteraRF!AK5)</f>
        <v/>
      </c>
      <c r="C46" s="165"/>
      <c r="D46" s="165"/>
      <c r="E46" s="37" t="str">
        <f>IF(ResumenCarteraRF!AM5="","",ResumenCarteraRF!AM5)</f>
        <v/>
      </c>
    </row>
    <row r="47" spans="2:13" x14ac:dyDescent="0.2">
      <c r="B47" s="165" t="str">
        <f>IF(ResumenCarteraRF!AK6="","",ResumenCarteraRF!AK6)</f>
        <v/>
      </c>
      <c r="C47" s="165"/>
      <c r="D47" s="165"/>
      <c r="E47" s="37" t="str">
        <f>IF(ResumenCarteraRF!AM6="","",ResumenCarteraRF!AM6)</f>
        <v/>
      </c>
    </row>
    <row r="48" spans="2:13" x14ac:dyDescent="0.2">
      <c r="B48" s="165" t="str">
        <f>IF(ResumenCarteraRF!AK7="","",ResumenCarteraRF!AK7)</f>
        <v/>
      </c>
      <c r="C48" s="165"/>
      <c r="D48" s="165"/>
      <c r="E48" s="37" t="str">
        <f>IF(ResumenCarteraRF!AM7="","",ResumenCarteraRF!AM7)</f>
        <v/>
      </c>
    </row>
    <row r="49" spans="2:22" x14ac:dyDescent="0.2">
      <c r="B49" s="165" t="str">
        <f>IF(ResumenCarteraRF!AK8="","",ResumenCarteraRF!AK8)</f>
        <v/>
      </c>
      <c r="C49" s="165"/>
      <c r="D49" s="165"/>
      <c r="E49" s="37" t="str">
        <f>IF(ResumenCarteraRF!AM8="","",ResumenCarteraRF!AM8)</f>
        <v/>
      </c>
      <c r="G49" s="164" t="s">
        <v>44</v>
      </c>
      <c r="H49" s="164"/>
      <c r="I49" s="164"/>
      <c r="J49" s="164"/>
    </row>
    <row r="50" spans="2:22" ht="22.5" x14ac:dyDescent="0.2">
      <c r="B50" s="165" t="str">
        <f>IF(ResumenCarteraRF!AK9="","",ResumenCarteraRF!AK9)</f>
        <v/>
      </c>
      <c r="C50" s="165"/>
      <c r="D50" s="165"/>
      <c r="E50" s="37" t="str">
        <f>IF(ResumenCarteraRF!AM9="","",ResumenCarteraRF!AM9)</f>
        <v/>
      </c>
      <c r="G50" s="53"/>
      <c r="H50" s="20" t="s">
        <v>45</v>
      </c>
      <c r="I50" s="20" t="s">
        <v>46</v>
      </c>
      <c r="J50" s="20" t="s">
        <v>47</v>
      </c>
      <c r="K50" s="20" t="s">
        <v>48</v>
      </c>
      <c r="L50" s="20" t="s">
        <v>49</v>
      </c>
      <c r="M50" s="20" t="s">
        <v>50</v>
      </c>
      <c r="N50" s="20" t="s">
        <v>51</v>
      </c>
      <c r="O50" s="20" t="s">
        <v>52</v>
      </c>
      <c r="P50" s="20" t="s">
        <v>53</v>
      </c>
      <c r="Q50" s="20" t="s">
        <v>54</v>
      </c>
      <c r="R50" s="20" t="s">
        <v>55</v>
      </c>
      <c r="S50" s="20" t="s">
        <v>56</v>
      </c>
      <c r="T50" s="20" t="s">
        <v>57</v>
      </c>
      <c r="U50" s="20" t="s">
        <v>58</v>
      </c>
      <c r="V50" s="20" t="s">
        <v>59</v>
      </c>
    </row>
    <row r="51" spans="2:22" x14ac:dyDescent="0.2">
      <c r="G51" s="54" t="str">
        <f>"CC "&amp;Datos!I6</f>
        <v>CC 2014</v>
      </c>
      <c r="H51" s="55" t="str">
        <f>IFERROR(VLOOKUP(DATE(Datos!$I$6,MONTH(DATEVALUE(H$50&amp;"1")),1),Datos!$E$4:$F$1000,2,FALSE),"")</f>
        <v/>
      </c>
      <c r="I51" s="55" t="str">
        <f>IFERROR(VLOOKUP(DATE(Datos!$I$6,MONTH(DATEVALUE(I$50&amp;"1")),1),Datos!$E$4:$F$1000,2,FALSE),"")</f>
        <v/>
      </c>
      <c r="J51" s="55" t="str">
        <f>IFERROR(VLOOKUP(DATE(Datos!$I$6,MONTH(DATEVALUE(J$50&amp;"1")),1),Datos!$E$4:$F$1000,2,FALSE),"")</f>
        <v/>
      </c>
      <c r="K51" s="55">
        <f>IFERROR(VLOOKUP(DATE(Datos!$I$6,MONTH(DATEVALUE(K$50&amp;"1")),1),Datos!$E$4:$F$1000,2,FALSE),"")</f>
        <v>7.8109999999997903E-4</v>
      </c>
      <c r="L51" s="55">
        <f>IFERROR(VLOOKUP(DATE(Datos!$I$6,MONTH(DATEVALUE(L$50&amp;"1")),1),Datos!$E$4:$F$1000,2,FALSE),"")</f>
        <v>7.8103992971090275E-3</v>
      </c>
      <c r="M51" s="55">
        <f>IFERROR(VLOOKUP(DATE(Datos!$I$6,MONTH(DATEVALUE(M$50&amp;"1")),1),Datos!$E$4:$F$1000,2,FALSE),"")</f>
        <v>2.7018703990571158E-3</v>
      </c>
      <c r="N51" s="55">
        <f>IFERROR(VLOOKUP(DATE(Datos!$I$6,MONTH(DATEVALUE(N$50&amp;"1")),1),Datos!$E$4:$F$1000,2,FALSE),"")</f>
        <v>6.5226460357312721E-3</v>
      </c>
      <c r="O51" s="55">
        <f>IFERROR(VLOOKUP(DATE(Datos!$I$6,MONTH(DATEVALUE(O$50&amp;"1")),1),Datos!$E$4:$F$1000,2,FALSE),"")</f>
        <v>1.4764040210657026E-2</v>
      </c>
      <c r="P51" s="55">
        <f>IFERROR(VLOOKUP(DATE(Datos!$I$6,MONTH(DATEVALUE(P$50&amp;"1")),1),Datos!$E$4:$F$1000,2,FALSE),"")</f>
        <v>-4.8930836582449233E-3</v>
      </c>
      <c r="Q51" s="55">
        <f>IFERROR(VLOOKUP(DATE(Datos!$I$6,MONTH(DATEVALUE(Q$50&amp;"1")),1),Datos!$E$4:$F$1000,2,FALSE),"")</f>
        <v>4.1852584922463798E-4</v>
      </c>
      <c r="R51" s="55">
        <f>IFERROR(VLOOKUP(DATE(Datos!$I$6,MONTH(DATEVALUE(R$50&amp;"1")),1),Datos!$E$4:$F$1000,2,FALSE),"")</f>
        <v>9.5621641317806816E-3</v>
      </c>
      <c r="S51" s="55">
        <f>IFERROR(VLOOKUP(DATE(Datos!$I$6,MONTH(DATEVALUE(S$50&amp;"1")),1),Datos!$E$4:$F$1000,2,FALSE),"")</f>
        <v>1.2055983456062958E-3</v>
      </c>
      <c r="T51" s="55">
        <f t="array" ref="T51">IF(SUM(IF(H51:S51&lt;&gt;"",1,0))&gt;0,PRODUCT(1+IF(H51:S51&lt;&gt;"",H51:S51,0))-1,"")</f>
        <v>3.9408299999999841E-2</v>
      </c>
      <c r="U51" s="55">
        <f t="array" ref="U51">IFERROR(PRODUCT(1+IF(H51:S51&lt;&gt;"",H51:S51,0))^(12/SUM(IF(H51:S51&lt;&gt;"",1,0)))-1,"")</f>
        <v>5.2886540550956873E-2</v>
      </c>
      <c r="V51" s="55">
        <f>IF(COUNT(H51:S51)&gt;=2,HLOOKUP(Datos!I6,Datos!R2:AG8,6,FALSE),"")</f>
        <v>1.3972104507826906E-2</v>
      </c>
    </row>
    <row r="52" spans="2:22" x14ac:dyDescent="0.2">
      <c r="B52" s="166" t="s">
        <v>84</v>
      </c>
      <c r="C52" s="166"/>
      <c r="D52" s="166"/>
      <c r="E52" s="35" t="s">
        <v>36</v>
      </c>
      <c r="G52" s="56" t="str">
        <f>"Cartera Neutral "&amp; Datos!I6</f>
        <v>Cartera Neutral 2014</v>
      </c>
      <c r="H52" s="57" t="str">
        <f>IFERROR(VLOOKUP(DATE(Datos!$I$6,MONTH(DATEVALUE(H$50&amp;"1")),1),Datos!$E$4:$G$1000,3,FALSE),"")</f>
        <v/>
      </c>
      <c r="I52" s="57" t="str">
        <f>IFERROR(VLOOKUP(DATE(Datos!$I$6,MONTH(DATEVALUE(I$50&amp;"1")),1),Datos!$E$4:$G$1000,3,FALSE),"")</f>
        <v/>
      </c>
      <c r="J52" s="57" t="str">
        <f>IFERROR(VLOOKUP(DATE(Datos!$I$6,MONTH(DATEVALUE(J$50&amp;"1")),1),Datos!$E$4:$G$1000,3,FALSE),"")</f>
        <v/>
      </c>
      <c r="K52" s="57">
        <f>IFERROR(VLOOKUP(DATE(Datos!$I$6,MONTH(DATEVALUE(K$50&amp;"1")),1),Datos!$E$4:$G$1000,3,FALSE),"")</f>
        <v>2.0412986971407587E-3</v>
      </c>
      <c r="L52" s="57">
        <f>IFERROR(VLOOKUP(DATE(Datos!$I$6,MONTH(DATEVALUE(L$50&amp;"1")),1),Datos!$E$4:$G$1000,3,FALSE),"")</f>
        <v>1.6181394699101626E-2</v>
      </c>
      <c r="M52" s="57">
        <f>IFERROR(VLOOKUP(DATE(Datos!$I$6,MONTH(DATEVALUE(M$50&amp;"1")),1),Datos!$E$4:$G$1000,3,FALSE),"")</f>
        <v>2.2036151716202657E-3</v>
      </c>
      <c r="N52" s="57">
        <f>IFERROR(VLOOKUP(DATE(Datos!$I$6,MONTH(DATEVALUE(N$50&amp;"1")),1),Datos!$E$4:$G$1000,3,FALSE),"")</f>
        <v>6.4913442103828878E-3</v>
      </c>
      <c r="O52" s="57">
        <f>IFERROR(VLOOKUP(DATE(Datos!$I$6,MONTH(DATEVALUE(O$50&amp;"1")),1),Datos!$E$4:$G$1000,3,FALSE),"")</f>
        <v>1.2945080999890335E-2</v>
      </c>
      <c r="P52" s="57">
        <f>IFERROR(VLOOKUP(DATE(Datos!$I$6,MONTH(DATEVALUE(P$50&amp;"1")),1),Datos!$E$4:$G$1000,3,FALSE),"")</f>
        <v>-4.9777170439091467E-4</v>
      </c>
      <c r="Q52" s="57">
        <f>IFERROR(VLOOKUP(DATE(Datos!$I$6,MONTH(DATEVALUE(Q$50&amp;"1")),1),Datos!$E$4:$G$1000,3,FALSE),"")</f>
        <v>5.2775902324309065E-4</v>
      </c>
      <c r="R52" s="57">
        <f>IFERROR(VLOOKUP(DATE(Datos!$I$6,MONTH(DATEVALUE(R$50&amp;"1")),1),Datos!$E$4:$G$1000,3,FALSE),"")</f>
        <v>8.7160089704001464E-3</v>
      </c>
      <c r="S52" s="57">
        <f>IFERROR(VLOOKUP(DATE(Datos!$I$6,MONTH(DATEVALUE(S$50&amp;"1")),1),Datos!$E$4:$G$1000,3,FALSE),"")</f>
        <v>4.716131370792187E-4</v>
      </c>
      <c r="T52" s="57">
        <f t="array" ref="T52">IF(SUM(IF(H52:S52&lt;&gt;"",1,0))&gt;0,PRODUCT(1+IF(H52:S52&lt;&gt;"",H52:S52,0))-1,"")</f>
        <v>5.001465991417553E-2</v>
      </c>
      <c r="U52" s="57">
        <f t="array" ref="U52">IFERROR(PRODUCT(1+IF(H52:S52&lt;&gt;"",H52:S52,0))^(12/SUM(IF(H52:S52&lt;&gt;"",1,0)))-1,"")</f>
        <v>6.7236041746304931E-2</v>
      </c>
      <c r="V52" s="55">
        <f>IF(COUNT(H52:S52)&gt;=2,HLOOKUP(Datos!I6,Datos!R2:AG8,7,FALSE),"")</f>
        <v>1.2104580261657458E-2</v>
      </c>
    </row>
    <row r="53" spans="2:22" x14ac:dyDescent="0.2">
      <c r="B53" s="165" t="str">
        <f>IF(ResumenCartera!M2="","",ResumenCartera!M2)</f>
        <v>Itau/Corpbanca</v>
      </c>
      <c r="C53" s="165"/>
      <c r="D53" s="165"/>
      <c r="E53" s="117">
        <f>IF(ResumenCartera!O2="","",ResumenCartera!O2)</f>
        <v>8.9841699858264623E-2</v>
      </c>
      <c r="G53" s="58" t="str">
        <f>"CC "&amp;Datos!I5</f>
        <v>CC 2015</v>
      </c>
      <c r="H53" s="59">
        <f>IFERROR(VLOOKUP(DATE(Datos!$I$5,MONTH(DATEVALUE(H$50&amp;"1")),1),Datos!$E$4:$F$1000,2,FALSE),"")</f>
        <v>9.7033090846012637E-3</v>
      </c>
      <c r="I53" s="59">
        <f>IFERROR(VLOOKUP(DATE(Datos!$I$5,MONTH(DATEVALUE(I$50&amp;"1")),1),Datos!$E$4:$F$1000,2,FALSE),"")</f>
        <v>1.0387100831448226E-2</v>
      </c>
      <c r="J53" s="59">
        <f>IFERROR(VLOOKUP(DATE(Datos!$I$5,MONTH(DATEVALUE(J$50&amp;"1")),1),Datos!$E$4:$F$1000,2,FALSE),"")</f>
        <v>9.3090764650765045E-3</v>
      </c>
      <c r="K53" s="59">
        <f>IFERROR(VLOOKUP(DATE(Datos!$I$5,MONTH(DATEVALUE(K$50&amp;"1")),1),Datos!$E$4:$F$1000,2,FALSE),"")</f>
        <v>-4.1391559952591583E-3</v>
      </c>
      <c r="L53" s="59">
        <f>IFERROR(VLOOKUP(DATE(Datos!$I$5,MONTH(DATEVALUE(L$50&amp;"1")),1),Datos!$E$4:$F$1000,2,FALSE),"")</f>
        <v>5.6617501840106055E-3</v>
      </c>
      <c r="M53" s="59">
        <f>IFERROR(VLOOKUP(DATE(Datos!$I$5,MONTH(DATEVALUE(M$50&amp;"1")),1),Datos!$E$4:$F$1000,2,FALSE),"")</f>
        <v>7.3827913993380623E-3</v>
      </c>
      <c r="N53" s="59">
        <f>IFERROR(VLOOKUP(DATE(Datos!$I$5,MONTH(DATEVALUE(N$50&amp;"1")),1),Datos!$E$4:$F$1000,2,FALSE),"")</f>
        <v>1.236432013650135E-2</v>
      </c>
      <c r="O53" s="59">
        <f>IFERROR(VLOOKUP(DATE(Datos!$I$5,MONTH(DATEVALUE(O$50&amp;"1")),1),Datos!$E$4:$F$1000,2,FALSE),"")</f>
        <v>8.1404386209500412E-3</v>
      </c>
      <c r="P53" s="59">
        <f>IFERROR(VLOOKUP(DATE(Datos!$I$5,MONTH(DATEVALUE(P$50&amp;"1")),1),Datos!$E$4:$F$1000,2,FALSE),"")</f>
        <v>-1.4639296907227317E-3</v>
      </c>
      <c r="Q53" s="59">
        <f>IFERROR(VLOOKUP(DATE(Datos!$I$5,MONTH(DATEVALUE(Q$50&amp;"1")),1),Datos!$E$4:$F$1000,2,FALSE),"")</f>
        <v>2.3291096449029602E-4</v>
      </c>
      <c r="R53" s="59">
        <f>IFERROR(VLOOKUP(DATE(Datos!$I$5,MONTH(DATEVALUE(R$50&amp;"1")),1),Datos!$E$4:$F$1000,2,FALSE),"")</f>
        <v>-3.8648947629305042E-4</v>
      </c>
      <c r="S53" s="59">
        <f>IFERROR(VLOOKUP(DATE(Datos!$I$5,MONTH(DATEVALUE(S$50&amp;"1")),1),Datos!$E$4:$F$1000,2,FALSE),"")</f>
        <v>-3.5573687977131785E-3</v>
      </c>
      <c r="T53" s="59">
        <f t="array" ref="T53">IF(SUM(IF(H53:S53&lt;&gt;"",1,0))&gt;0,PRODUCT(1+IF(H53:S53&lt;&gt;"",H53:S53,0))-1,"")</f>
        <v>5.477068058817669E-2</v>
      </c>
      <c r="U53" s="59">
        <f t="array" ref="U53">IFERROR(PRODUCT(1+IF(H53:S53&lt;&gt;"",H53:S53,0))^(12/SUM(IF(H53:S53&lt;&gt;"",1,0)))-1,"")</f>
        <v>5.477068058817669E-2</v>
      </c>
      <c r="V53" s="59">
        <f>IF(COUNT(H53:S53)&gt;=2,HLOOKUP(Datos!I5,Datos!R2:AG8,6,FALSE),"")</f>
        <v>1.3098367277120673E-2</v>
      </c>
    </row>
    <row r="54" spans="2:22" x14ac:dyDescent="0.2">
      <c r="B54" s="165" t="str">
        <f>IF(ResumenCartera!M3="","",ResumenCartera!M3)</f>
        <v>Banco BBVA</v>
      </c>
      <c r="C54" s="165"/>
      <c r="D54" s="165"/>
      <c r="E54" s="117">
        <f>IF(ResumenCartera!O3="","",ResumenCartera!O3)</f>
        <v>7.8742514959827967E-2</v>
      </c>
      <c r="G54" s="56" t="str">
        <f>"Cartera Neutral "&amp;Datos!I5</f>
        <v>Cartera Neutral 2015</v>
      </c>
      <c r="H54" s="57">
        <f>IFERROR(VLOOKUP(DATE(Datos!$I$5,MONTH(DATEVALUE(H$50&amp;"1")),1),Datos!$E$4:$G$1000,3,FALSE),"")</f>
        <v>9.8765290458995292E-3</v>
      </c>
      <c r="I54" s="57">
        <f>IFERROR(VLOOKUP(DATE(Datos!$I$5,MONTH(DATEVALUE(I$50&amp;"1")),1),Datos!$E$4:$G$1000,3,FALSE),"")</f>
        <v>1.0346036864013142E-2</v>
      </c>
      <c r="J54" s="57">
        <f>IFERROR(VLOOKUP(DATE(Datos!$I$5,MONTH(DATEVALUE(J$50&amp;"1")),1),Datos!$E$4:$G$1000,3,FALSE),"")</f>
        <v>9.5622276996321087E-3</v>
      </c>
      <c r="K54" s="57">
        <f>IFERROR(VLOOKUP(DATE(Datos!$I$5,MONTH(DATEVALUE(K$50&amp;"1")),1),Datos!$E$4:$G$1000,3,FALSE),"")</f>
        <v>-3.254451315454765E-3</v>
      </c>
      <c r="L54" s="57">
        <f>IFERROR(VLOOKUP(DATE(Datos!$I$5,MONTH(DATEVALUE(L$50&amp;"1")),1),Datos!$E$4:$G$1000,3,FALSE),"")</f>
        <v>5.9887028943066412E-3</v>
      </c>
      <c r="M54" s="57">
        <f>IFERROR(VLOOKUP(DATE(Datos!$I$5,MONTH(DATEVALUE(M$50&amp;"1")),1),Datos!$E$4:$G$1000,3,FALSE),"")</f>
        <v>8.0930658952349521E-3</v>
      </c>
      <c r="N54" s="57">
        <f>IFERROR(VLOOKUP(DATE(Datos!$I$5,MONTH(DATEVALUE(N$50&amp;"1")),1),Datos!$E$4:$G$1000,3,FALSE),"")</f>
        <v>1.1223580979124348E-2</v>
      </c>
      <c r="O54" s="57">
        <f>IFERROR(VLOOKUP(DATE(Datos!$I$5,MONTH(DATEVALUE(O$50&amp;"1")),1),Datos!$E$4:$G$1000,3,FALSE),"")</f>
        <v>8.3326182282623673E-3</v>
      </c>
      <c r="P54" s="57">
        <f>IFERROR(VLOOKUP(DATE(Datos!$I$5,MONTH(DATEVALUE(P$50&amp;"1")),1),Datos!$E$4:$G$1000,3,FALSE),"")</f>
        <v>5.0780187124632725E-4</v>
      </c>
      <c r="Q54" s="57">
        <f>IFERROR(VLOOKUP(DATE(Datos!$I$5,MONTH(DATEVALUE(Q$50&amp;"1")),1),Datos!$E$4:$G$1000,3,FALSE),"")</f>
        <v>9.9882734872069889E-4</v>
      </c>
      <c r="R54" s="57">
        <f>IFERROR(VLOOKUP(DATE(Datos!$I$5,MONTH(DATEVALUE(R$50&amp;"1")),1),Datos!$E$4:$G$1000,3,FALSE),"")</f>
        <v>9.8269271922690749E-4</v>
      </c>
      <c r="S54" s="57">
        <f>IFERROR(VLOOKUP(DATE(Datos!$I$5,MONTH(DATEVALUE(S$50&amp;"1")),1),Datos!$E$4:$G$1000,3,FALSE),"")</f>
        <v>-1.8926939725911751E-3</v>
      </c>
      <c r="T54" s="57">
        <f t="array" ref="T54">IF(SUM(IF(H54:S54&lt;&gt;"",1,0))&gt;0,PRODUCT(1+IF(H54:S54&lt;&gt;"",H54:S54,0))-1,"")</f>
        <v>6.2327456777441448E-2</v>
      </c>
      <c r="U54" s="57">
        <f t="array" ref="U54">IFERROR(PRODUCT(1+IF(H54:S54&lt;&gt;"",H54:S54,0))^(12/SUM(IF(H54:S54&lt;&gt;"",1,0)))-1,"")</f>
        <v>6.2327456777441448E-2</v>
      </c>
      <c r="V54" s="57">
        <f>IF(COUNT(H54:S54)&gt;=2,HLOOKUP(Datos!I5,Datos!R2:AG8,7,FALSE),"")</f>
        <v>1.1118922443061889E-2</v>
      </c>
    </row>
    <row r="55" spans="2:22" x14ac:dyDescent="0.2">
      <c r="B55" s="165" t="str">
        <f>IF(ResumenCartera!M4="","",ResumenCartera!M4)</f>
        <v>Scotiabank</v>
      </c>
      <c r="C55" s="165"/>
      <c r="D55" s="165"/>
      <c r="E55" s="117">
        <f>IF(ResumenCartera!O4="","",ResumenCartera!O4)</f>
        <v>7.8507161326707417E-2</v>
      </c>
      <c r="G55" s="60" t="str">
        <f>"CC "&amp;Datos!I4</f>
        <v>CC 2016</v>
      </c>
      <c r="H55" s="61">
        <f>IFERROR(VLOOKUP(DATE(Datos!$I$4,MONTH(DATEVALUE(H$50&amp;"1")),1),Datos!$E$4:$F$1000,2,FALSE),"")</f>
        <v>1.1678612806605093E-2</v>
      </c>
      <c r="I55" s="61">
        <f>IFERROR(VLOOKUP(DATE(Datos!$I$4,MONTH(DATEVALUE(I$50&amp;"1")),1),Datos!$E$4:$F$1000,2,FALSE),"")</f>
        <v>1.0060847984084242E-2</v>
      </c>
      <c r="J55" s="61">
        <f>IFERROR(VLOOKUP(DATE(Datos!$I$4,MONTH(DATEVALUE(J$50&amp;"1")),1),Datos!$E$4:$F$1000,2,FALSE),"")</f>
        <v>4.3433901633491701E-3</v>
      </c>
      <c r="K55" s="61">
        <f>IFERROR(VLOOKUP(DATE(Datos!$I$4,MONTH(DATEVALUE(K$50&amp;"1")),1),Datos!$E$4:$F$1000,2,FALSE),"")</f>
        <v>4.0375379310733095E-3</v>
      </c>
      <c r="L55" s="61">
        <f>IFERROR(VLOOKUP(DATE(Datos!$I$4,MONTH(DATEVALUE(L$50&amp;"1")),1),Datos!$E$4:$F$1000,2,FALSE),"")</f>
        <v>8.9870947274199864E-3</v>
      </c>
      <c r="M55" s="61">
        <f>IFERROR(VLOOKUP(DATE(Datos!$I$4,MONTH(DATEVALUE(M$50&amp;"1")),1),Datos!$E$4:$F$1000,2,FALSE),"")</f>
        <v>4.3609680333120959E-3</v>
      </c>
      <c r="N55" s="61">
        <f>IFERROR(VLOOKUP(DATE(Datos!$I$4,MONTH(DATEVALUE(N$50&amp;"1")),1),Datos!$E$4:$F$1000,2,FALSE),"")</f>
        <v>4.4641465017807302E-3</v>
      </c>
      <c r="O55" s="61">
        <f>IFERROR(VLOOKUP(DATE(Datos!$I$4,MONTH(DATEVALUE(O$50&amp;"1")),1),Datos!$E$4:$F$1000,2,FALSE),"")</f>
        <v>8.9277453008114183E-3</v>
      </c>
      <c r="P55" s="61">
        <f>IFERROR(VLOOKUP(DATE(Datos!$I$4,MONTH(DATEVALUE(P$50&amp;"1")),1),Datos!$E$4:$F$1000,2,FALSE),"")</f>
        <v>6.3505766544253994E-3</v>
      </c>
      <c r="Q55" s="61">
        <f>IFERROR(VLOOKUP(DATE(Datos!$I$4,MONTH(DATEVALUE(Q$50&amp;"1")),1),Datos!$E$4:$F$1000,2,FALSE),"")</f>
        <v>-2.5711353146893323E-3</v>
      </c>
      <c r="R55" s="61">
        <f>IFERROR(VLOOKUP(DATE(Datos!$I$4,MONTH(DATEVALUE(R$50&amp;"1")),1),Datos!$E$4:$F$1000,2,FALSE),"")</f>
        <v>-8.4249575553529965E-3</v>
      </c>
      <c r="S55" s="61">
        <f>IFERROR(VLOOKUP(DATE(Datos!$I$4,MONTH(DATEVALUE(S$50&amp;"1")),1),Datos!$E$4:$F$1000,2,FALSE),"")</f>
        <v>1.4409869513608786E-2</v>
      </c>
      <c r="T55" s="61">
        <f t="array" ref="T55">IF(SUM(IF(H55:S55&lt;&gt;"",1,0))&gt;0,PRODUCT(1+IF(H55:S55&lt;&gt;"",H55:S55,0))-1,"")</f>
        <v>6.847043619965909E-2</v>
      </c>
      <c r="U55" s="61">
        <f t="array" ref="U55">IFERROR(PRODUCT(1+IF(H55:S55&lt;&gt;"",H55:S55,0))^(12/SUM(IF(H55:S55&lt;&gt;"",1,0)))-1,"")</f>
        <v>6.847043619965909E-2</v>
      </c>
      <c r="V55" s="61">
        <f>IF(COUNT(H55:S55)&gt;=2,HLOOKUP(Datos!I4,Datos!R2:AG8,6,FALSE),"")</f>
        <v>1.3012374452042339E-2</v>
      </c>
    </row>
    <row r="56" spans="2:22" x14ac:dyDescent="0.2">
      <c r="B56" s="165" t="str">
        <f>IF(ResumenCartera!M5="","",ResumenCartera!M5)</f>
        <v>BCI</v>
      </c>
      <c r="C56" s="165"/>
      <c r="D56" s="165"/>
      <c r="E56" s="117">
        <f>IF(ResumenCartera!O5="","",ResumenCartera!O5)</f>
        <v>7.7362395948049473E-2</v>
      </c>
      <c r="G56" s="60" t="str">
        <f>"Cartera Neutral "&amp;Datos!I4</f>
        <v>Cartera Neutral 2016</v>
      </c>
      <c r="H56" s="61">
        <f>IFERROR(VLOOKUP(DATE(Datos!$I$4,MONTH(DATEVALUE(H$50&amp;"1")),1),Datos!$E$4:$G$1000,3,FALSE),"")</f>
        <v>1.2257842232443084E-2</v>
      </c>
      <c r="I56" s="61">
        <f>IFERROR(VLOOKUP(DATE(Datos!$I$4,MONTH(DATEVALUE(I$50&amp;"1")),1),Datos!$E$4:$G$1000,3,FALSE),"")</f>
        <v>1.0118983792628544E-2</v>
      </c>
      <c r="J56" s="61">
        <f>IFERROR(VLOOKUP(DATE(Datos!$I$4,MONTH(DATEVALUE(J$50&amp;"1")),1),Datos!$E$4:$G$1000,3,FALSE),"")</f>
        <v>4.5974199259299908E-3</v>
      </c>
      <c r="K56" s="61">
        <f>IFERROR(VLOOKUP(DATE(Datos!$I$4,MONTH(DATEVALUE(K$50&amp;"1")),1),Datos!$E$4:$G$1000,3,FALSE),"")</f>
        <v>3.5847254047276511E-3</v>
      </c>
      <c r="L56" s="61">
        <f>IFERROR(VLOOKUP(DATE(Datos!$I$4,MONTH(DATEVALUE(L$50&amp;"1")),1),Datos!$E$4:$G$1000,3,FALSE),"")</f>
        <v>8.7650150079672251E-3</v>
      </c>
      <c r="M56" s="61">
        <f>IFERROR(VLOOKUP(DATE(Datos!$I$4,MONTH(DATEVALUE(M$50&amp;"1")),1),Datos!$E$4:$G$1000,3,FALSE),"")</f>
        <v>5.1891655073363907E-3</v>
      </c>
      <c r="N56" s="61">
        <f>IFERROR(VLOOKUP(DATE(Datos!$I$4,MONTH(DATEVALUE(N$50&amp;"1")),1),Datos!$E$4:$G$1000,3,FALSE),"")</f>
        <v>4.5151742857234556E-3</v>
      </c>
      <c r="O56" s="61">
        <f>IFERROR(VLOOKUP(DATE(Datos!$I$4,MONTH(DATEVALUE(O$50&amp;"1")),1),Datos!$E$4:$G$1000,3,FALSE),"")</f>
        <v>1.0107344836978838E-2</v>
      </c>
      <c r="P56" s="61">
        <f>IFERROR(VLOOKUP(DATE(Datos!$I$4,MONTH(DATEVALUE(P$50&amp;"1")),1),Datos!$E$4:$G$1000,3,FALSE),"")</f>
        <v>7.0429699840259818E-3</v>
      </c>
      <c r="Q56" s="61">
        <f>IFERROR(VLOOKUP(DATE(Datos!$I$4,MONTH(DATEVALUE(Q$50&amp;"1")),1),Datos!$E$4:$G$1000,3,FALSE),"")</f>
        <v>-4.3504067431443527E-3</v>
      </c>
      <c r="R56" s="61">
        <f>IFERROR(VLOOKUP(DATE(Datos!$I$4,MONTH(DATEVALUE(R$50&amp;"1")),1),Datos!$E$4:$G$1000,3,FALSE),"")</f>
        <v>-7.569303339868716E-3</v>
      </c>
      <c r="S56" s="61">
        <f>IFERROR(VLOOKUP(DATE(Datos!$I$4,MONTH(DATEVALUE(S$50&amp;"1")),1),Datos!$E$4:$G$1000,3,FALSE),"")</f>
        <v>1.7049646543868757E-2</v>
      </c>
      <c r="T56" s="61">
        <f t="array" ref="T56">IF(SUM(IF(H56:S56&lt;&gt;"",1,0))&gt;0,PRODUCT(1+IF(H56:S56&lt;&gt;"",H56:S56,0))-1,"")</f>
        <v>7.3417053623140438E-2</v>
      </c>
      <c r="U56" s="61">
        <f t="array" ref="U56">IFERROR(PRODUCT(1+IF(H56:S56&lt;&gt;"",H56:S56,0))^(12/SUM(IF(H56:S56&lt;&gt;"",1,0)))-1,"")</f>
        <v>7.3417053623140438E-2</v>
      </c>
      <c r="V56" s="61">
        <f>IF(COUNT(H56:S56)&gt;=2,HLOOKUP(Datos!I4,Datos!R2:AG8,7,FALSE),"")</f>
        <v>1.3344853903039666E-2</v>
      </c>
    </row>
    <row r="57" spans="2:22" x14ac:dyDescent="0.2">
      <c r="B57" s="165" t="str">
        <f>IF(ResumenCartera!M6="","",ResumenCartera!M6)</f>
        <v>Banco de Chile</v>
      </c>
      <c r="C57" s="165"/>
      <c r="D57" s="165"/>
      <c r="E57" s="117">
        <f>IF(ResumenCartera!O6="","",ResumenCartera!O6)</f>
        <v>7.3786908515016542E-2</v>
      </c>
    </row>
    <row r="58" spans="2:22" x14ac:dyDescent="0.2">
      <c r="B58" s="165" t="str">
        <f>IF(ResumenCartera!M7="","",ResumenCartera!M7)</f>
        <v>Banco Estado</v>
      </c>
      <c r="C58" s="165"/>
      <c r="D58" s="165"/>
      <c r="E58" s="117">
        <f>IF(ResumenCartera!O7="","",ResumenCartera!O7)</f>
        <v>6.6145134161529007E-2</v>
      </c>
    </row>
    <row r="59" spans="2:22" ht="22.5" x14ac:dyDescent="0.2">
      <c r="B59" s="165" t="str">
        <f>IF(ResumenCartera!M8="","",ResumenCartera!M8)</f>
        <v>ENAP</v>
      </c>
      <c r="C59" s="165"/>
      <c r="D59" s="165"/>
      <c r="E59" s="117">
        <f>IF(ResumenCartera!O8="","",ResumenCartera!O8)</f>
        <v>5.8551484047224309E-2</v>
      </c>
      <c r="G59" s="53"/>
      <c r="H59" s="20" t="s">
        <v>45</v>
      </c>
      <c r="I59" s="20" t="s">
        <v>46</v>
      </c>
      <c r="J59" s="20" t="s">
        <v>47</v>
      </c>
      <c r="K59" s="20" t="s">
        <v>48</v>
      </c>
      <c r="L59" s="20" t="s">
        <v>49</v>
      </c>
      <c r="M59" s="20" t="s">
        <v>50</v>
      </c>
      <c r="N59" s="20" t="s">
        <v>51</v>
      </c>
      <c r="O59" s="20" t="s">
        <v>52</v>
      </c>
      <c r="P59" s="20" t="s">
        <v>53</v>
      </c>
      <c r="Q59" s="20" t="s">
        <v>54</v>
      </c>
      <c r="R59" s="20" t="s">
        <v>55</v>
      </c>
      <c r="S59" s="20" t="s">
        <v>56</v>
      </c>
      <c r="T59" s="20" t="s">
        <v>57</v>
      </c>
      <c r="U59" s="20" t="s">
        <v>58</v>
      </c>
      <c r="V59" s="20" t="s">
        <v>59</v>
      </c>
    </row>
    <row r="60" spans="2:22" x14ac:dyDescent="0.2">
      <c r="B60" s="165" t="str">
        <f>IF(ResumenCartera!M9="","",ResumenCartera!M9)</f>
        <v>San José Tecnocontrol</v>
      </c>
      <c r="C60" s="165"/>
      <c r="D60" s="165"/>
      <c r="E60" s="117">
        <f>IF(ResumenCartera!O9="","",ResumenCartera!O9)</f>
        <v>5.5659202125084184E-2</v>
      </c>
      <c r="G60" s="54" t="str">
        <f>G51</f>
        <v>CC 2014</v>
      </c>
      <c r="H60" s="55" t="str">
        <f t="shared" ref="H60:V60" si="0">H51</f>
        <v/>
      </c>
      <c r="I60" s="55" t="str">
        <f t="shared" si="0"/>
        <v/>
      </c>
      <c r="J60" s="55" t="str">
        <f t="shared" si="0"/>
        <v/>
      </c>
      <c r="K60" s="55">
        <f t="shared" si="0"/>
        <v>7.8109999999997903E-4</v>
      </c>
      <c r="L60" s="55">
        <f t="shared" si="0"/>
        <v>7.8103992971090275E-3</v>
      </c>
      <c r="M60" s="55">
        <f t="shared" si="0"/>
        <v>2.7018703990571158E-3</v>
      </c>
      <c r="N60" s="55">
        <f t="shared" si="0"/>
        <v>6.5226460357312721E-3</v>
      </c>
      <c r="O60" s="55">
        <f t="shared" si="0"/>
        <v>1.4764040210657026E-2</v>
      </c>
      <c r="P60" s="55">
        <f t="shared" si="0"/>
        <v>-4.8930836582449233E-3</v>
      </c>
      <c r="Q60" s="55">
        <f t="shared" si="0"/>
        <v>4.1852584922463798E-4</v>
      </c>
      <c r="R60" s="55">
        <f t="shared" si="0"/>
        <v>9.5621641317806816E-3</v>
      </c>
      <c r="S60" s="55">
        <f t="shared" si="0"/>
        <v>1.2055983456062958E-3</v>
      </c>
      <c r="T60" s="55">
        <f t="shared" si="0"/>
        <v>3.9408299999999841E-2</v>
      </c>
      <c r="U60" s="55">
        <f t="shared" si="0"/>
        <v>5.2886540550956873E-2</v>
      </c>
      <c r="V60" s="55">
        <f t="shared" si="0"/>
        <v>1.3972104507826906E-2</v>
      </c>
    </row>
    <row r="61" spans="2:22" x14ac:dyDescent="0.2">
      <c r="B61" s="165" t="str">
        <f>IF(ResumenCartera!M10="","",ResumenCartera!M10)</f>
        <v>Banco Santander</v>
      </c>
      <c r="C61" s="165"/>
      <c r="D61" s="165"/>
      <c r="E61" s="117">
        <f>IF(ResumenCartera!O10="","",ResumenCartera!O10)</f>
        <v>5.4094147495932492E-2</v>
      </c>
      <c r="G61" s="54" t="str">
        <f>G52</f>
        <v>Cartera Neutral 2014</v>
      </c>
      <c r="H61" s="55" t="str">
        <f t="shared" ref="H61:V61" si="1">H52</f>
        <v/>
      </c>
      <c r="I61" s="55" t="str">
        <f t="shared" si="1"/>
        <v/>
      </c>
      <c r="J61" s="55" t="str">
        <f t="shared" si="1"/>
        <v/>
      </c>
      <c r="K61" s="55">
        <f t="shared" si="1"/>
        <v>2.0412986971407587E-3</v>
      </c>
      <c r="L61" s="55">
        <f t="shared" si="1"/>
        <v>1.6181394699101626E-2</v>
      </c>
      <c r="M61" s="55">
        <f t="shared" si="1"/>
        <v>2.2036151716202657E-3</v>
      </c>
      <c r="N61" s="55">
        <f t="shared" si="1"/>
        <v>6.4913442103828878E-3</v>
      </c>
      <c r="O61" s="55">
        <f t="shared" si="1"/>
        <v>1.2945080999890335E-2</v>
      </c>
      <c r="P61" s="55">
        <f t="shared" si="1"/>
        <v>-4.9777170439091467E-4</v>
      </c>
      <c r="Q61" s="55">
        <f t="shared" si="1"/>
        <v>5.2775902324309065E-4</v>
      </c>
      <c r="R61" s="55">
        <f t="shared" si="1"/>
        <v>8.7160089704001464E-3</v>
      </c>
      <c r="S61" s="55">
        <f t="shared" si="1"/>
        <v>4.716131370792187E-4</v>
      </c>
      <c r="T61" s="55">
        <f t="shared" si="1"/>
        <v>5.001465991417553E-2</v>
      </c>
      <c r="U61" s="55">
        <f t="shared" si="1"/>
        <v>6.7236041746304931E-2</v>
      </c>
      <c r="V61" s="55">
        <f t="shared" si="1"/>
        <v>1.2104580261657458E-2</v>
      </c>
    </row>
    <row r="62" spans="2:22" x14ac:dyDescent="0.2">
      <c r="B62" s="165" t="str">
        <f>IF(ResumenCartera!M11="","",ResumenCartera!M11)</f>
        <v>Forum Servicios Financieros S.A.</v>
      </c>
      <c r="C62" s="165"/>
      <c r="D62" s="165"/>
      <c r="E62" s="117">
        <f>IF(ResumenCartera!O11="","",ResumenCartera!O11)</f>
        <v>5.2476287106783724E-2</v>
      </c>
    </row>
    <row r="63" spans="2:22" ht="22.5" x14ac:dyDescent="0.2">
      <c r="B63" s="165" t="str">
        <f>IF(ResumenCartera!M12="","",ResumenCartera!M12)</f>
        <v>Banco Security</v>
      </c>
      <c r="C63" s="165"/>
      <c r="D63" s="165"/>
      <c r="E63" s="117">
        <f>IF(ResumenCartera!O12="","",ResumenCartera!O12)</f>
        <v>4.251498083514213E-2</v>
      </c>
      <c r="G63" s="53"/>
      <c r="H63" s="20" t="s">
        <v>45</v>
      </c>
      <c r="I63" s="20" t="s">
        <v>46</v>
      </c>
      <c r="J63" s="20" t="s">
        <v>47</v>
      </c>
      <c r="K63" s="20" t="s">
        <v>48</v>
      </c>
      <c r="L63" s="20" t="s">
        <v>49</v>
      </c>
      <c r="M63" s="20" t="s">
        <v>50</v>
      </c>
      <c r="N63" s="20" t="s">
        <v>51</v>
      </c>
      <c r="O63" s="20" t="s">
        <v>52</v>
      </c>
      <c r="P63" s="20" t="s">
        <v>53</v>
      </c>
      <c r="Q63" s="20" t="s">
        <v>54</v>
      </c>
      <c r="R63" s="20" t="s">
        <v>55</v>
      </c>
      <c r="S63" s="20" t="s">
        <v>56</v>
      </c>
      <c r="T63" s="20" t="s">
        <v>57</v>
      </c>
      <c r="U63" s="20" t="s">
        <v>58</v>
      </c>
      <c r="V63" s="20" t="s">
        <v>59</v>
      </c>
    </row>
    <row r="64" spans="2:22" x14ac:dyDescent="0.2">
      <c r="B64" s="165"/>
      <c r="C64" s="165"/>
      <c r="D64" s="165"/>
      <c r="E64" s="117"/>
      <c r="G64" s="54" t="str">
        <f>G53</f>
        <v>CC 2015</v>
      </c>
      <c r="H64" s="55">
        <f t="shared" ref="H64:V64" si="2">H53</f>
        <v>9.7033090846012637E-3</v>
      </c>
      <c r="I64" s="55">
        <f t="shared" si="2"/>
        <v>1.0387100831448226E-2</v>
      </c>
      <c r="J64" s="55">
        <f t="shared" si="2"/>
        <v>9.3090764650765045E-3</v>
      </c>
      <c r="K64" s="55">
        <f t="shared" si="2"/>
        <v>-4.1391559952591583E-3</v>
      </c>
      <c r="L64" s="55">
        <f t="shared" si="2"/>
        <v>5.6617501840106055E-3</v>
      </c>
      <c r="M64" s="55">
        <f t="shared" si="2"/>
        <v>7.3827913993380623E-3</v>
      </c>
      <c r="N64" s="55">
        <f t="shared" si="2"/>
        <v>1.236432013650135E-2</v>
      </c>
      <c r="O64" s="55">
        <f t="shared" si="2"/>
        <v>8.1404386209500412E-3</v>
      </c>
      <c r="P64" s="55">
        <f t="shared" si="2"/>
        <v>-1.4639296907227317E-3</v>
      </c>
      <c r="Q64" s="55">
        <f t="shared" si="2"/>
        <v>2.3291096449029602E-4</v>
      </c>
      <c r="R64" s="55">
        <f t="shared" si="2"/>
        <v>-3.8648947629305042E-4</v>
      </c>
      <c r="S64" s="55">
        <f t="shared" si="2"/>
        <v>-3.5573687977131785E-3</v>
      </c>
      <c r="T64" s="55">
        <f t="shared" si="2"/>
        <v>5.477068058817669E-2</v>
      </c>
      <c r="U64" s="55">
        <f t="shared" si="2"/>
        <v>5.477068058817669E-2</v>
      </c>
      <c r="V64" s="55">
        <f t="shared" si="2"/>
        <v>1.3098367277120673E-2</v>
      </c>
    </row>
    <row r="65" spans="2:22" x14ac:dyDescent="0.2">
      <c r="G65" s="54" t="str">
        <f>G54</f>
        <v>Cartera Neutral 2015</v>
      </c>
      <c r="H65" s="55">
        <f t="shared" ref="H65:V65" si="3">H54</f>
        <v>9.8765290458995292E-3</v>
      </c>
      <c r="I65" s="55">
        <f t="shared" si="3"/>
        <v>1.0346036864013142E-2</v>
      </c>
      <c r="J65" s="55">
        <f t="shared" si="3"/>
        <v>9.5622276996321087E-3</v>
      </c>
      <c r="K65" s="55">
        <f t="shared" si="3"/>
        <v>-3.254451315454765E-3</v>
      </c>
      <c r="L65" s="55">
        <f t="shared" si="3"/>
        <v>5.9887028943066412E-3</v>
      </c>
      <c r="M65" s="55">
        <f t="shared" si="3"/>
        <v>8.0930658952349521E-3</v>
      </c>
      <c r="N65" s="55">
        <f t="shared" si="3"/>
        <v>1.1223580979124348E-2</v>
      </c>
      <c r="O65" s="55">
        <f t="shared" si="3"/>
        <v>8.3326182282623673E-3</v>
      </c>
      <c r="P65" s="55">
        <f t="shared" si="3"/>
        <v>5.0780187124632725E-4</v>
      </c>
      <c r="Q65" s="55">
        <f t="shared" si="3"/>
        <v>9.9882734872069889E-4</v>
      </c>
      <c r="R65" s="55">
        <f t="shared" si="3"/>
        <v>9.8269271922690749E-4</v>
      </c>
      <c r="S65" s="55">
        <f t="shared" si="3"/>
        <v>-1.8926939725911751E-3</v>
      </c>
      <c r="T65" s="55">
        <f t="shared" si="3"/>
        <v>6.2327456777441448E-2</v>
      </c>
      <c r="U65" s="55">
        <f t="shared" si="3"/>
        <v>6.2327456777441448E-2</v>
      </c>
      <c r="V65" s="55">
        <f t="shared" si="3"/>
        <v>1.1118922443061889E-2</v>
      </c>
    </row>
    <row r="66" spans="2:22" x14ac:dyDescent="0.2">
      <c r="B66" s="166" t="s">
        <v>85</v>
      </c>
      <c r="C66" s="166"/>
      <c r="D66" s="166"/>
      <c r="E66" s="35" t="s">
        <v>36</v>
      </c>
    </row>
    <row r="67" spans="2:22" ht="22.5" x14ac:dyDescent="0.2">
      <c r="B67" s="165" t="str">
        <f>IF(ResumenCarteraRF!Y2="","",ResumenCarteraRF!Y2)</f>
        <v>AA</v>
      </c>
      <c r="C67" s="165"/>
      <c r="D67" s="165"/>
      <c r="E67" s="117">
        <f>IF(ResumenCarteraRF!AA2="","",ResumenCarteraRF!AA2)</f>
        <v>0.35354651846667423</v>
      </c>
      <c r="G67" s="53"/>
      <c r="H67" s="20" t="s">
        <v>45</v>
      </c>
      <c r="I67" s="20" t="s">
        <v>46</v>
      </c>
      <c r="J67" s="20" t="s">
        <v>47</v>
      </c>
      <c r="K67" s="20" t="s">
        <v>48</v>
      </c>
      <c r="L67" s="20" t="s">
        <v>49</v>
      </c>
      <c r="M67" s="20" t="s">
        <v>50</v>
      </c>
      <c r="N67" s="20" t="s">
        <v>51</v>
      </c>
      <c r="O67" s="20" t="s">
        <v>52</v>
      </c>
      <c r="P67" s="20" t="s">
        <v>53</v>
      </c>
      <c r="Q67" s="20" t="s">
        <v>54</v>
      </c>
      <c r="R67" s="20" t="s">
        <v>55</v>
      </c>
      <c r="S67" s="20" t="s">
        <v>56</v>
      </c>
      <c r="T67" s="20" t="s">
        <v>57</v>
      </c>
      <c r="U67" s="20" t="s">
        <v>58</v>
      </c>
      <c r="V67" s="20" t="s">
        <v>59</v>
      </c>
    </row>
    <row r="68" spans="2:22" x14ac:dyDescent="0.2">
      <c r="B68" s="165" t="str">
        <f>IF(ResumenCarteraRF!Y3="","",ResumenCarteraRF!Y3)</f>
        <v>AAA</v>
      </c>
      <c r="C68" s="165"/>
      <c r="D68" s="165"/>
      <c r="E68" s="117">
        <f>IF(ResumenCarteraRF!AA3="","",ResumenCarteraRF!AA3)</f>
        <v>0.32819255362426958</v>
      </c>
      <c r="G68" s="54" t="str">
        <f>G55</f>
        <v>CC 2016</v>
      </c>
      <c r="H68" s="55">
        <f t="shared" ref="H68:V68" si="4">H55</f>
        <v>1.1678612806605093E-2</v>
      </c>
      <c r="I68" s="55">
        <f t="shared" si="4"/>
        <v>1.0060847984084242E-2</v>
      </c>
      <c r="J68" s="55">
        <f t="shared" si="4"/>
        <v>4.3433901633491701E-3</v>
      </c>
      <c r="K68" s="55">
        <f t="shared" si="4"/>
        <v>4.0375379310733095E-3</v>
      </c>
      <c r="L68" s="55">
        <f t="shared" si="4"/>
        <v>8.9870947274199864E-3</v>
      </c>
      <c r="M68" s="55">
        <f t="shared" si="4"/>
        <v>4.3609680333120959E-3</v>
      </c>
      <c r="N68" s="55">
        <f t="shared" si="4"/>
        <v>4.4641465017807302E-3</v>
      </c>
      <c r="O68" s="55">
        <f t="shared" si="4"/>
        <v>8.9277453008114183E-3</v>
      </c>
      <c r="P68" s="55">
        <f t="shared" si="4"/>
        <v>6.3505766544253994E-3</v>
      </c>
      <c r="Q68" s="55">
        <f t="shared" si="4"/>
        <v>-2.5711353146893323E-3</v>
      </c>
      <c r="R68" s="55">
        <f t="shared" si="4"/>
        <v>-8.4249575553529965E-3</v>
      </c>
      <c r="S68" s="55">
        <f t="shared" si="4"/>
        <v>1.4409869513608786E-2</v>
      </c>
      <c r="T68" s="55">
        <f t="shared" si="4"/>
        <v>6.847043619965909E-2</v>
      </c>
      <c r="U68" s="55">
        <f t="shared" si="4"/>
        <v>6.847043619965909E-2</v>
      </c>
      <c r="V68" s="55">
        <f t="shared" si="4"/>
        <v>1.3012374452042339E-2</v>
      </c>
    </row>
    <row r="69" spans="2:22" x14ac:dyDescent="0.2">
      <c r="B69" s="165" t="str">
        <f>IF(ResumenCarteraRF!Y4="","",ResumenCarteraRF!Y4)</f>
        <v>AA-</v>
      </c>
      <c r="C69" s="165"/>
      <c r="D69" s="165"/>
      <c r="E69" s="117">
        <f>IF(ResumenCarteraRF!AA4="","",ResumenCarteraRF!AA4)</f>
        <v>0.16327801071165046</v>
      </c>
      <c r="G69" s="54" t="str">
        <f>G56</f>
        <v>Cartera Neutral 2016</v>
      </c>
      <c r="H69" s="55">
        <f t="shared" ref="H69:V69" si="5">H56</f>
        <v>1.2257842232443084E-2</v>
      </c>
      <c r="I69" s="55">
        <f t="shared" si="5"/>
        <v>1.0118983792628544E-2</v>
      </c>
      <c r="J69" s="55">
        <f t="shared" si="5"/>
        <v>4.5974199259299908E-3</v>
      </c>
      <c r="K69" s="55">
        <f t="shared" si="5"/>
        <v>3.5847254047276511E-3</v>
      </c>
      <c r="L69" s="55">
        <f t="shared" si="5"/>
        <v>8.7650150079672251E-3</v>
      </c>
      <c r="M69" s="55">
        <f t="shared" si="5"/>
        <v>5.1891655073363907E-3</v>
      </c>
      <c r="N69" s="55">
        <f t="shared" si="5"/>
        <v>4.5151742857234556E-3</v>
      </c>
      <c r="O69" s="55">
        <f t="shared" si="5"/>
        <v>1.0107344836978838E-2</v>
      </c>
      <c r="P69" s="55">
        <f t="shared" si="5"/>
        <v>7.0429699840259818E-3</v>
      </c>
      <c r="Q69" s="55">
        <f t="shared" si="5"/>
        <v>-4.3504067431443527E-3</v>
      </c>
      <c r="R69" s="55">
        <f t="shared" si="5"/>
        <v>-7.569303339868716E-3</v>
      </c>
      <c r="S69" s="55">
        <f t="shared" si="5"/>
        <v>1.7049646543868757E-2</v>
      </c>
      <c r="T69" s="55">
        <f t="shared" si="5"/>
        <v>7.3417053623140438E-2</v>
      </c>
      <c r="U69" s="55">
        <f t="shared" si="5"/>
        <v>7.3417053623140438E-2</v>
      </c>
      <c r="V69" s="55">
        <f t="shared" si="5"/>
        <v>1.3344853903039666E-2</v>
      </c>
    </row>
    <row r="70" spans="2:22" x14ac:dyDescent="0.2">
      <c r="B70" s="165" t="str">
        <f>IF(ResumenCarteraRF!Y5="","",ResumenCarteraRF!Y5)</f>
        <v>AA+</v>
      </c>
      <c r="C70" s="165"/>
      <c r="D70" s="165"/>
      <c r="E70" s="117">
        <f>IF(ResumenCarteraRF!AA5="","",ResumenCarteraRF!AA5)</f>
        <v>0.15405452825750762</v>
      </c>
    </row>
    <row r="71" spans="2:22" x14ac:dyDescent="0.2">
      <c r="B71" s="165" t="str">
        <f>IF(ResumenCarteraRF!Y6="","",ResumenCarteraRF!Y6)</f>
        <v>N/A</v>
      </c>
      <c r="C71" s="165"/>
      <c r="D71" s="165"/>
      <c r="E71" s="117">
        <f>IF(ResumenCarteraRF!AA6="","",ResumenCarteraRF!AA6)</f>
        <v>9.2838893989801786E-4</v>
      </c>
    </row>
    <row r="72" spans="2:22" x14ac:dyDescent="0.2">
      <c r="B72" s="165" t="str">
        <f>IF(ResumenCarteraRF!Y7="","",ResumenCarteraRF!Y7)</f>
        <v/>
      </c>
      <c r="C72" s="165"/>
      <c r="D72" s="165"/>
      <c r="E72" s="117" t="str">
        <f>IF(ResumenCarteraRF!AA7="","",ResumenCarteraRF!AA7)</f>
        <v/>
      </c>
    </row>
    <row r="73" spans="2:22" x14ac:dyDescent="0.2">
      <c r="B73" s="165" t="str">
        <f>IF(ResumenCarteraRF!Y8="","",ResumenCarteraRF!Y8)</f>
        <v/>
      </c>
      <c r="C73" s="165"/>
      <c r="D73" s="165"/>
      <c r="E73" s="117" t="str">
        <f>IF(ResumenCarteraRF!AA8="","",ResumenCarteraRF!AA8)</f>
        <v/>
      </c>
    </row>
    <row r="74" spans="2:22" x14ac:dyDescent="0.2">
      <c r="B74" s="165" t="str">
        <f>IF(ResumenCarteraRF!Y9="","",ResumenCarteraRF!Y9)</f>
        <v/>
      </c>
      <c r="C74" s="165"/>
      <c r="D74" s="165"/>
      <c r="E74" s="117" t="str">
        <f>IF(ResumenCarteraRF!AA9="","",ResumenCarteraRF!AA9)</f>
        <v/>
      </c>
    </row>
    <row r="75" spans="2:22" x14ac:dyDescent="0.2">
      <c r="B75" s="165" t="str">
        <f>IF(ResumenCarteraRF!Y10="","",ResumenCarteraRF!Y10)</f>
        <v/>
      </c>
      <c r="C75" s="165"/>
      <c r="D75" s="165"/>
      <c r="E75" s="117" t="str">
        <f>IF(ResumenCarteraRF!AA10="","",ResumenCarteraRF!AA10)</f>
        <v/>
      </c>
    </row>
    <row r="76" spans="2:22" x14ac:dyDescent="0.2">
      <c r="B76" s="165" t="str">
        <f>IF(ResumenCarteraRF!Y11="","",ResumenCarteraRF!Y11)</f>
        <v/>
      </c>
      <c r="C76" s="165"/>
      <c r="D76" s="165"/>
      <c r="E76" s="117" t="str">
        <f>IF(ResumenCarteraRF!AA11="","",ResumenCarteraRF!AA11)</f>
        <v/>
      </c>
    </row>
    <row r="77" spans="2:22" x14ac:dyDescent="0.2">
      <c r="B77" s="165" t="str">
        <f>IF(ResumenCarteraRF!Y12="","",ResumenCarteraRF!Y12)</f>
        <v/>
      </c>
      <c r="C77" s="165"/>
      <c r="D77" s="165"/>
      <c r="E77" s="117" t="str">
        <f>IF(ResumenCarteraRF!AA12="","",ResumenCarteraRF!AA12)</f>
        <v/>
      </c>
    </row>
    <row r="78" spans="2:22" x14ac:dyDescent="0.2">
      <c r="B78" s="165" t="str">
        <f>IF(ResumenCarteraRF!Y13="","",ResumenCarteraRF!Y13)</f>
        <v/>
      </c>
      <c r="C78" s="165"/>
      <c r="D78" s="165"/>
      <c r="E78" s="117" t="str">
        <f>IF(ResumenCarteraRF!AA13="","",ResumenCarteraRF!AA13)</f>
        <v/>
      </c>
    </row>
    <row r="79" spans="2:22" x14ac:dyDescent="0.2">
      <c r="B79" s="165" t="str">
        <f>IF(ResumenCarteraRF!Y14="","",ResumenCarteraRF!Y14)</f>
        <v/>
      </c>
      <c r="C79" s="165"/>
      <c r="D79" s="165"/>
      <c r="E79" s="117" t="str">
        <f>IF(ResumenCarteraRF!AA14="","",ResumenCarteraRF!AA14)</f>
        <v/>
      </c>
    </row>
    <row r="80" spans="2:22" x14ac:dyDescent="0.2">
      <c r="B80" s="165" t="str">
        <f>IF(ResumenCarteraRF!Y15="","",ResumenCarteraRF!Y15)</f>
        <v/>
      </c>
      <c r="C80" s="165"/>
      <c r="D80" s="165"/>
      <c r="E80" s="117" t="str">
        <f>IF(ResumenCarteraRF!AA15="","",ResumenCarteraRF!AA15)</f>
        <v/>
      </c>
    </row>
    <row r="82" spans="2:5" x14ac:dyDescent="0.2">
      <c r="B82" s="144"/>
      <c r="C82" s="144" t="s">
        <v>89</v>
      </c>
      <c r="D82" s="144" t="s">
        <v>43</v>
      </c>
      <c r="E82" s="35" t="s">
        <v>60</v>
      </c>
    </row>
    <row r="83" spans="2:5" x14ac:dyDescent="0.2">
      <c r="B83" s="145" t="str">
        <f>IF('Cartera-Neutral'!A3="","",'Cartera-Neutral'!A3)</f>
        <v>Renta Fija Local</v>
      </c>
      <c r="C83" s="146">
        <f>IF('Cartera-Neutral'!B3="","",'Cartera-Neutral'!B3)</f>
        <v>20083992386</v>
      </c>
      <c r="D83" s="147">
        <f>IF('Cartera-Neutral'!C3="","",'Cartera-Neutral'!C3)</f>
        <v>0.99907161106010145</v>
      </c>
      <c r="E83" s="147">
        <f>IF('Cartera-Neutral'!D3="","",'Cartera-Neutral'!D3)</f>
        <v>1</v>
      </c>
    </row>
    <row r="84" spans="2:5" x14ac:dyDescent="0.2">
      <c r="B84" s="145" t="str">
        <f>IF('Cartera-Neutral'!A4="","",'Cartera-Neutral'!A4)</f>
        <v>Liquidez $</v>
      </c>
      <c r="C84" s="146">
        <f>IF('Cartera-Neutral'!B4="","",'Cartera-Neutral'!B4)</f>
        <v>18663083</v>
      </c>
      <c r="D84" s="147">
        <f>IF('Cartera-Neutral'!C4="","",'Cartera-Neutral'!C4)</f>
        <v>9.2838893989801786E-4</v>
      </c>
      <c r="E84" s="147">
        <f>IF('Cartera-Neutral'!D4="","",'Cartera-Neutral'!D4)</f>
        <v>0</v>
      </c>
    </row>
    <row r="85" spans="2:5" x14ac:dyDescent="0.2">
      <c r="B85" s="145" t="str">
        <f>IF('Cartera-Neutral'!A5="","",'Cartera-Neutral'!A5)</f>
        <v/>
      </c>
      <c r="C85" s="146" t="str">
        <f>IF('Cartera-Neutral'!B5="","",'Cartera-Neutral'!B5)</f>
        <v/>
      </c>
      <c r="D85" s="147" t="str">
        <f>IF('Cartera-Neutral'!C5="","",'Cartera-Neutral'!C5)</f>
        <v/>
      </c>
      <c r="E85" s="147" t="str">
        <f>IF('Cartera-Neutral'!D5="","",'Cartera-Neutral'!D5)</f>
        <v/>
      </c>
    </row>
    <row r="86" spans="2:5" x14ac:dyDescent="0.2">
      <c r="B86" s="145" t="str">
        <f>IF('Cartera-Neutral'!A6="","",'Cartera-Neutral'!A6)</f>
        <v/>
      </c>
      <c r="C86" s="146" t="str">
        <f>IF('Cartera-Neutral'!B6="","",'Cartera-Neutral'!B6)</f>
        <v/>
      </c>
      <c r="D86" s="147" t="str">
        <f>IF('Cartera-Neutral'!C6="","",'Cartera-Neutral'!C6)</f>
        <v/>
      </c>
      <c r="E86" s="147" t="str">
        <f>IF('Cartera-Neutral'!D6="","",'Cartera-Neutral'!D6)</f>
        <v/>
      </c>
    </row>
    <row r="87" spans="2:5" x14ac:dyDescent="0.2">
      <c r="B87" s="145" t="str">
        <f>IF('Cartera-Neutral'!A7="","",'Cartera-Neutral'!A7)</f>
        <v/>
      </c>
      <c r="C87" s="146" t="str">
        <f>IF('Cartera-Neutral'!B7="","",'Cartera-Neutral'!B7)</f>
        <v/>
      </c>
      <c r="D87" s="147" t="str">
        <f>IF('Cartera-Neutral'!C7="","",'Cartera-Neutral'!C7)</f>
        <v/>
      </c>
      <c r="E87" s="147" t="str">
        <f>IF('Cartera-Neutral'!D7="","",'Cartera-Neutral'!D7)</f>
        <v/>
      </c>
    </row>
    <row r="88" spans="2:5" x14ac:dyDescent="0.2">
      <c r="B88" s="145" t="str">
        <f>IF('Cartera-Neutral'!A8="","",'Cartera-Neutral'!A8)</f>
        <v/>
      </c>
      <c r="C88" s="146" t="str">
        <f>IF('Cartera-Neutral'!B8="","",'Cartera-Neutral'!B8)</f>
        <v/>
      </c>
      <c r="D88" s="147" t="str">
        <f>IF('Cartera-Neutral'!C8="","",'Cartera-Neutral'!C8)</f>
        <v/>
      </c>
      <c r="E88" s="147" t="str">
        <f>IF('Cartera-Neutral'!D8="","",'Cartera-Neutral'!D8)</f>
        <v/>
      </c>
    </row>
    <row r="89" spans="2:5" x14ac:dyDescent="0.2">
      <c r="B89" s="145" t="str">
        <f>IF('Cartera-Neutral'!A9="","",'Cartera-Neutral'!A9)</f>
        <v/>
      </c>
      <c r="C89" s="146" t="str">
        <f>IF('Cartera-Neutral'!B9="","",'Cartera-Neutral'!B9)</f>
        <v/>
      </c>
      <c r="D89" s="147" t="str">
        <f>IF('Cartera-Neutral'!C9="","",'Cartera-Neutral'!C9)</f>
        <v/>
      </c>
      <c r="E89" s="147" t="str">
        <f>IF('Cartera-Neutral'!D9="","",'Cartera-Neutral'!D9)</f>
        <v/>
      </c>
    </row>
    <row r="90" spans="2:5" x14ac:dyDescent="0.2">
      <c r="B90" s="145" t="str">
        <f>IF('Cartera-Neutral'!A10="","",'Cartera-Neutral'!A10)</f>
        <v/>
      </c>
      <c r="C90" s="146" t="str">
        <f>IF('Cartera-Neutral'!B10="","",'Cartera-Neutral'!B10)</f>
        <v/>
      </c>
      <c r="D90" s="147" t="str">
        <f>IF('Cartera-Neutral'!C10="","",'Cartera-Neutral'!C10)</f>
        <v/>
      </c>
      <c r="E90" s="147" t="str">
        <f>IF('Cartera-Neutral'!D10="","",'Cartera-Neutral'!D10)</f>
        <v/>
      </c>
    </row>
    <row r="91" spans="2:5" x14ac:dyDescent="0.2">
      <c r="B91" s="145" t="str">
        <f>IF('Cartera-Neutral'!A11="","",'Cartera-Neutral'!A11)</f>
        <v/>
      </c>
      <c r="C91" s="146" t="str">
        <f>IF('Cartera-Neutral'!B11="","",'Cartera-Neutral'!B11)</f>
        <v/>
      </c>
      <c r="D91" s="147" t="str">
        <f>IF('Cartera-Neutral'!C11="","",'Cartera-Neutral'!C11)</f>
        <v/>
      </c>
      <c r="E91" s="147" t="str">
        <f>IF('Cartera-Neutral'!D11="","",'Cartera-Neutral'!D11)</f>
        <v/>
      </c>
    </row>
    <row r="92" spans="2:5" x14ac:dyDescent="0.2">
      <c r="B92" s="145" t="str">
        <f>IF('Cartera-Neutral'!A12="","",'Cartera-Neutral'!A12)</f>
        <v/>
      </c>
      <c r="C92" s="146" t="str">
        <f>IF('Cartera-Neutral'!B12="","",'Cartera-Neutral'!B12)</f>
        <v/>
      </c>
      <c r="D92" s="147" t="str">
        <f>IF('Cartera-Neutral'!C12="","",'Cartera-Neutral'!C12)</f>
        <v/>
      </c>
      <c r="E92" s="147" t="str">
        <f>IF('Cartera-Neutral'!D12="","",'Cartera-Neutral'!D12)</f>
        <v/>
      </c>
    </row>
    <row r="93" spans="2:5" x14ac:dyDescent="0.2">
      <c r="B93" s="145" t="str">
        <f>IF('Cartera-Neutral'!A13="","",'Cartera-Neutral'!A13)</f>
        <v/>
      </c>
      <c r="C93" s="146" t="str">
        <f>IF('Cartera-Neutral'!B13="","",'Cartera-Neutral'!B13)</f>
        <v/>
      </c>
      <c r="D93" s="147" t="str">
        <f>IF('Cartera-Neutral'!C13="","",'Cartera-Neutral'!C13)</f>
        <v/>
      </c>
      <c r="E93" s="147" t="str">
        <f>IF('Cartera-Neutral'!D13="","",'Cartera-Neutral'!D13)</f>
        <v/>
      </c>
    </row>
    <row r="94" spans="2:5" x14ac:dyDescent="0.2">
      <c r="B94" s="145" t="str">
        <f>IF('Cartera-Neutral'!A14="","",'Cartera-Neutral'!A14)</f>
        <v/>
      </c>
      <c r="C94" s="146" t="str">
        <f>IF('Cartera-Neutral'!B14="","",'Cartera-Neutral'!B14)</f>
        <v/>
      </c>
      <c r="D94" s="147" t="str">
        <f>IF('Cartera-Neutral'!C14="","",'Cartera-Neutral'!C14)</f>
        <v/>
      </c>
      <c r="E94" s="147" t="str">
        <f>IF('Cartera-Neutral'!D14="","",'Cartera-Neutral'!D14)</f>
        <v/>
      </c>
    </row>
    <row r="96" spans="2:5" x14ac:dyDescent="0.2">
      <c r="B96" s="144"/>
      <c r="C96" s="144" t="s">
        <v>89</v>
      </c>
      <c r="D96" s="174" t="s">
        <v>36</v>
      </c>
      <c r="E96" s="174"/>
    </row>
    <row r="97" spans="2:5" x14ac:dyDescent="0.2">
      <c r="B97" s="145" t="str">
        <f>IF(ResumenCartera!E2="","",ResumenCartera!E2)</f>
        <v>Bono Corporativo Bajo Riesgo Corto</v>
      </c>
      <c r="C97" s="146">
        <f>IF(ResumenCartera!F2="","",ResumenCartera!F2)</f>
        <v>18142902770</v>
      </c>
      <c r="D97" s="175">
        <f>IF(ResumenCartera!G2="","",ResumenCartera!G2)</f>
        <v>0.90251274504395151</v>
      </c>
      <c r="E97" s="176"/>
    </row>
    <row r="98" spans="2:5" x14ac:dyDescent="0.2">
      <c r="B98" s="145" t="str">
        <f>IF(ResumenCartera!E3="","",ResumenCartera!E3)</f>
        <v>Bono Corporativo Bajo Riesgo Largo</v>
      </c>
      <c r="C98" s="146">
        <f>IF(ResumenCartera!F3="","",ResumenCartera!F3)</f>
        <v>1941089616</v>
      </c>
      <c r="D98" s="175">
        <f>IF(ResumenCartera!G3="","",ResumenCartera!G3)</f>
        <v>9.6558866016150185E-2</v>
      </c>
      <c r="E98" s="176"/>
    </row>
    <row r="99" spans="2:5" x14ac:dyDescent="0.2">
      <c r="B99" s="145" t="str">
        <f>IF(ResumenCartera!E4="","",ResumenCartera!E4)</f>
        <v>Liquidez $</v>
      </c>
      <c r="C99" s="146">
        <f>IF(ResumenCartera!F4="","",ResumenCartera!F4)</f>
        <v>18663083</v>
      </c>
      <c r="D99" s="175">
        <f>IF(ResumenCartera!G4="","",ResumenCartera!G4)</f>
        <v>9.2838893989801786E-4</v>
      </c>
      <c r="E99" s="176"/>
    </row>
    <row r="100" spans="2:5" x14ac:dyDescent="0.2">
      <c r="B100" s="145" t="str">
        <f>IF(ResumenCartera!E5="","",ResumenCartera!E5)</f>
        <v/>
      </c>
      <c r="C100" s="146" t="str">
        <f>IF(ResumenCartera!F5="","",ResumenCartera!F5)</f>
        <v/>
      </c>
      <c r="D100" s="175" t="str">
        <f>IF(ResumenCartera!G5="","",ResumenCartera!G5)</f>
        <v/>
      </c>
      <c r="E100" s="176"/>
    </row>
    <row r="101" spans="2:5" x14ac:dyDescent="0.2">
      <c r="B101" s="145" t="str">
        <f>IF(ResumenCartera!E6="","",ResumenCartera!E6)</f>
        <v/>
      </c>
      <c r="C101" s="146" t="str">
        <f>IF(ResumenCartera!F6="","",ResumenCartera!F6)</f>
        <v/>
      </c>
      <c r="D101" s="175" t="str">
        <f>IF(ResumenCartera!G6="","",ResumenCartera!G6)</f>
        <v/>
      </c>
      <c r="E101" s="176"/>
    </row>
    <row r="102" spans="2:5" x14ac:dyDescent="0.2">
      <c r="B102" s="145" t="str">
        <f>IF(ResumenCartera!E7="","",ResumenCartera!E7)</f>
        <v/>
      </c>
      <c r="C102" s="146" t="str">
        <f>IF(ResumenCartera!F7="","",ResumenCartera!F7)</f>
        <v/>
      </c>
      <c r="D102" s="175" t="str">
        <f>IF(ResumenCartera!G7="","",ResumenCartera!G7)</f>
        <v/>
      </c>
      <c r="E102" s="176"/>
    </row>
    <row r="103" spans="2:5" x14ac:dyDescent="0.2">
      <c r="B103" s="145" t="str">
        <f>IF(ResumenCartera!E8="","",ResumenCartera!E8)</f>
        <v/>
      </c>
      <c r="C103" s="146" t="str">
        <f>IF(ResumenCartera!F8="","",ResumenCartera!F8)</f>
        <v/>
      </c>
      <c r="D103" s="175" t="str">
        <f>IF(ResumenCartera!G8="","",ResumenCartera!G8)</f>
        <v/>
      </c>
      <c r="E103" s="176"/>
    </row>
    <row r="104" spans="2:5" x14ac:dyDescent="0.2">
      <c r="B104" s="145" t="str">
        <f>IF(ResumenCartera!E9="","",ResumenCartera!E9)</f>
        <v/>
      </c>
      <c r="C104" s="146" t="str">
        <f>IF(ResumenCartera!F9="","",ResumenCartera!F9)</f>
        <v/>
      </c>
      <c r="D104" s="175" t="str">
        <f>IF(ResumenCartera!G9="","",ResumenCartera!G9)</f>
        <v/>
      </c>
      <c r="E104" s="176"/>
    </row>
    <row r="105" spans="2:5" x14ac:dyDescent="0.2">
      <c r="B105" s="145" t="str">
        <f>IF(ResumenCartera!E10="","",ResumenCartera!E10)</f>
        <v/>
      </c>
      <c r="C105" s="146" t="str">
        <f>IF(ResumenCartera!F10="","",ResumenCartera!F10)</f>
        <v/>
      </c>
      <c r="D105" s="175" t="str">
        <f>IF(ResumenCartera!G10="","",ResumenCartera!G10)</f>
        <v/>
      </c>
      <c r="E105" s="176"/>
    </row>
    <row r="106" spans="2:5" x14ac:dyDescent="0.2">
      <c r="B106" s="145" t="str">
        <f>IF(ResumenCartera!E11="","",ResumenCartera!E11)</f>
        <v/>
      </c>
      <c r="C106" s="146" t="str">
        <f>IF(ResumenCartera!F11="","",ResumenCartera!F11)</f>
        <v/>
      </c>
      <c r="D106" s="175" t="str">
        <f>IF(ResumenCartera!G11="","",ResumenCartera!G11)</f>
        <v/>
      </c>
      <c r="E106" s="176"/>
    </row>
    <row r="107" spans="2:5" x14ac:dyDescent="0.2">
      <c r="B107" s="145" t="str">
        <f>IF(ResumenCartera!E12="","",ResumenCartera!E12)</f>
        <v/>
      </c>
      <c r="C107" s="146" t="str">
        <f>IF(ResumenCartera!F12="","",ResumenCartera!F12)</f>
        <v/>
      </c>
      <c r="D107" s="175" t="str">
        <f>IF(ResumenCartera!G12="","",ResumenCartera!G12)</f>
        <v/>
      </c>
      <c r="E107" s="176"/>
    </row>
    <row r="108" spans="2:5" x14ac:dyDescent="0.2">
      <c r="B108" s="145" t="str">
        <f>IF(ResumenCartera!E13="","",ResumenCartera!E13)</f>
        <v/>
      </c>
      <c r="C108" s="146" t="str">
        <f>IF(ResumenCartera!F13="","",ResumenCartera!F13)</f>
        <v/>
      </c>
      <c r="D108" s="175" t="str">
        <f>IF(ResumenCartera!G13="","",ResumenCartera!G13)</f>
        <v/>
      </c>
      <c r="E108" s="176"/>
    </row>
    <row r="109" spans="2:5" x14ac:dyDescent="0.2">
      <c r="D109" s="177"/>
      <c r="E109" s="178"/>
    </row>
  </sheetData>
  <mergeCells count="74">
    <mergeCell ref="D106:E106"/>
    <mergeCell ref="D107:E107"/>
    <mergeCell ref="D108:E108"/>
    <mergeCell ref="D109:E109"/>
    <mergeCell ref="D101:E101"/>
    <mergeCell ref="D102:E102"/>
    <mergeCell ref="D103:E103"/>
    <mergeCell ref="D104:E104"/>
    <mergeCell ref="D105:E105"/>
    <mergeCell ref="D96:E96"/>
    <mergeCell ref="D97:E97"/>
    <mergeCell ref="D98:E98"/>
    <mergeCell ref="D99:E99"/>
    <mergeCell ref="D100:E100"/>
    <mergeCell ref="B67:D67"/>
    <mergeCell ref="B66:D66"/>
    <mergeCell ref="B68:D68"/>
    <mergeCell ref="B69:D69"/>
    <mergeCell ref="B80:D80"/>
    <mergeCell ref="B75:D75"/>
    <mergeCell ref="B76:D76"/>
    <mergeCell ref="B77:D77"/>
    <mergeCell ref="B78:D78"/>
    <mergeCell ref="B79:D79"/>
    <mergeCell ref="B70:D70"/>
    <mergeCell ref="B71:D71"/>
    <mergeCell ref="B72:D72"/>
    <mergeCell ref="B73:D73"/>
    <mergeCell ref="B74:D74"/>
    <mergeCell ref="B50:D50"/>
    <mergeCell ref="B45:D45"/>
    <mergeCell ref="B46:D46"/>
    <mergeCell ref="B47:D47"/>
    <mergeCell ref="B48:D48"/>
    <mergeCell ref="B49:D49"/>
    <mergeCell ref="B52:D52"/>
    <mergeCell ref="B53:D53"/>
    <mergeCell ref="B54:D54"/>
    <mergeCell ref="B55:D55"/>
    <mergeCell ref="B56:D56"/>
    <mergeCell ref="B62:D62"/>
    <mergeCell ref="B63:D63"/>
    <mergeCell ref="B64:D64"/>
    <mergeCell ref="B57:D57"/>
    <mergeCell ref="B58:D58"/>
    <mergeCell ref="B59:D59"/>
    <mergeCell ref="B60:D60"/>
    <mergeCell ref="B61:D61"/>
    <mergeCell ref="B12:E12"/>
    <mergeCell ref="B15:C15"/>
    <mergeCell ref="B16:C16"/>
    <mergeCell ref="B17:C17"/>
    <mergeCell ref="B18:C18"/>
    <mergeCell ref="B23:C23"/>
    <mergeCell ref="B24:C24"/>
    <mergeCell ref="B25:C25"/>
    <mergeCell ref="B19:C19"/>
    <mergeCell ref="B20:C20"/>
    <mergeCell ref="W2:AN4"/>
    <mergeCell ref="I23:K23"/>
    <mergeCell ref="G49:J49"/>
    <mergeCell ref="B44:D44"/>
    <mergeCell ref="B39:D39"/>
    <mergeCell ref="B40:D40"/>
    <mergeCell ref="B37:D37"/>
    <mergeCell ref="B38:D38"/>
    <mergeCell ref="B42:D42"/>
    <mergeCell ref="B43:D43"/>
    <mergeCell ref="B27:D27"/>
    <mergeCell ref="B33:D33"/>
    <mergeCell ref="B34:D34"/>
    <mergeCell ref="B35:D35"/>
    <mergeCell ref="B21:C21"/>
    <mergeCell ref="B22:C22"/>
  </mergeCells>
  <conditionalFormatting sqref="H60:V61">
    <cfRule type="cellIs" dxfId="10" priority="18" operator="lessThan">
      <formula>0</formula>
    </cfRule>
  </conditionalFormatting>
  <conditionalFormatting sqref="H64:V65">
    <cfRule type="cellIs" dxfId="9" priority="17" operator="lessThan">
      <formula>0</formula>
    </cfRule>
  </conditionalFormatting>
  <conditionalFormatting sqref="H68:V69">
    <cfRule type="cellIs" dxfId="8" priority="16" operator="lessThan">
      <formula>0</formula>
    </cfRule>
  </conditionalFormatting>
  <conditionalFormatting sqref="D15:E25">
    <cfRule type="cellIs" dxfId="7" priority="8" operator="lessThan">
      <formula>0</formula>
    </cfRule>
  </conditionalFormatting>
  <conditionalFormatting sqref="E34">
    <cfRule type="cellIs" dxfId="6" priority="7" operator="lessThan">
      <formula>0</formula>
    </cfRule>
  </conditionalFormatting>
  <conditionalFormatting sqref="E35">
    <cfRule type="cellIs" dxfId="5" priority="6" operator="lessThan">
      <formula>0</formula>
    </cfRule>
  </conditionalFormatting>
  <conditionalFormatting sqref="E38 E40">
    <cfRule type="cellIs" dxfId="4" priority="5" operator="lessThan">
      <formula>0</formula>
    </cfRule>
  </conditionalFormatting>
  <conditionalFormatting sqref="E39">
    <cfRule type="cellIs" dxfId="3" priority="4" operator="lessThan">
      <formula>0</formula>
    </cfRule>
  </conditionalFormatting>
  <conditionalFormatting sqref="E43 E45 E47 E49">
    <cfRule type="cellIs" dxfId="2" priority="3" operator="lessThan">
      <formula>0</formula>
    </cfRule>
  </conditionalFormatting>
  <conditionalFormatting sqref="E44 E46 E48 E50">
    <cfRule type="cellIs" dxfId="1" priority="2" operator="lessThan">
      <formula>0</formula>
    </cfRule>
  </conditionalFormatting>
  <conditionalFormatting sqref="H51:V5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92D050"/>
  </sheetPr>
  <dimension ref="A2:K10"/>
  <sheetViews>
    <sheetView workbookViewId="0"/>
  </sheetViews>
  <sheetFormatPr baseColWidth="10" defaultRowHeight="14.25" x14ac:dyDescent="0.2"/>
  <cols>
    <col min="1" max="1" width="14.125" style="15" bestFit="1" customWidth="1"/>
    <col min="2" max="2" width="11" style="15"/>
    <col min="3" max="3" width="16.125" style="15" customWidth="1"/>
    <col min="4" max="4" width="11" style="15"/>
    <col min="5" max="5" width="14.125" style="15" bestFit="1" customWidth="1"/>
    <col min="6" max="8" width="11" style="15"/>
    <col min="9" max="9" width="14.125" style="15" bestFit="1" customWidth="1"/>
    <col min="10" max="16384" width="11" style="15"/>
  </cols>
  <sheetData>
    <row r="2" spans="1:11" x14ac:dyDescent="0.2">
      <c r="A2" s="111"/>
    </row>
    <row r="3" spans="1:11" x14ac:dyDescent="0.2">
      <c r="A3" s="112"/>
      <c r="B3" s="12"/>
      <c r="C3" s="12"/>
      <c r="E3" s="112"/>
      <c r="F3" s="12"/>
      <c r="G3" s="12"/>
      <c r="I3" s="112"/>
      <c r="J3" s="12"/>
      <c r="K3" s="12"/>
    </row>
    <row r="4" spans="1:11" x14ac:dyDescent="0.2">
      <c r="A4" s="1"/>
      <c r="B4" s="12"/>
      <c r="C4" s="12"/>
      <c r="E4" s="1"/>
      <c r="F4" s="12"/>
      <c r="G4" s="12"/>
      <c r="I4" s="1"/>
      <c r="J4" s="12"/>
      <c r="K4" s="12"/>
    </row>
    <row r="5" spans="1:11" x14ac:dyDescent="0.2">
      <c r="A5" s="1"/>
      <c r="B5" s="12"/>
      <c r="C5" s="12"/>
      <c r="E5" s="1"/>
      <c r="F5" s="12"/>
      <c r="G5" s="12"/>
      <c r="I5" s="1"/>
      <c r="J5" s="12"/>
      <c r="K5" s="12"/>
    </row>
    <row r="6" spans="1:11" x14ac:dyDescent="0.2">
      <c r="A6" s="1"/>
      <c r="B6" s="12"/>
      <c r="C6" s="12"/>
      <c r="E6" s="1"/>
      <c r="F6" s="12"/>
      <c r="G6" s="12"/>
      <c r="I6" s="1"/>
      <c r="J6" s="12"/>
      <c r="K6" s="12"/>
    </row>
    <row r="7" spans="1:11" x14ac:dyDescent="0.2">
      <c r="A7" s="1"/>
      <c r="B7" s="12"/>
      <c r="C7" s="12"/>
      <c r="E7" s="1"/>
      <c r="F7" s="12"/>
      <c r="G7" s="12"/>
      <c r="I7" s="1"/>
      <c r="J7" s="12"/>
      <c r="K7" s="12"/>
    </row>
    <row r="8" spans="1:11" x14ac:dyDescent="0.2">
      <c r="A8" s="1"/>
      <c r="B8" s="12"/>
      <c r="C8" s="12"/>
      <c r="E8" s="1"/>
      <c r="F8" s="12"/>
      <c r="G8" s="12"/>
      <c r="I8" s="1"/>
      <c r="J8" s="12"/>
      <c r="K8" s="12"/>
    </row>
    <row r="9" spans="1:11" x14ac:dyDescent="0.2">
      <c r="A9" s="1"/>
      <c r="B9" s="12"/>
      <c r="C9" s="12"/>
      <c r="E9" s="1"/>
      <c r="F9" s="12"/>
      <c r="G9" s="12"/>
      <c r="I9" s="1"/>
      <c r="J9" s="12"/>
      <c r="K9" s="12"/>
    </row>
    <row r="10" spans="1:11" x14ac:dyDescent="0.2">
      <c r="A10" s="1"/>
      <c r="B10" s="12"/>
      <c r="C10" s="12"/>
      <c r="E10" s="1"/>
      <c r="F10" s="12"/>
      <c r="G10" s="12"/>
      <c r="I10" s="1"/>
      <c r="J10" s="12"/>
      <c r="K10" s="12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B0F0"/>
  </sheetPr>
  <dimension ref="B1:K1003"/>
  <sheetViews>
    <sheetView workbookViewId="0"/>
  </sheetViews>
  <sheetFormatPr baseColWidth="10" defaultRowHeight="14.25" x14ac:dyDescent="0.2"/>
  <cols>
    <col min="1" max="1" width="11" customWidth="1"/>
    <col min="2" max="2" width="15.25" style="1" bestFit="1" customWidth="1"/>
    <col min="4" max="4" width="11" style="80"/>
    <col min="5" max="5" width="11" style="82"/>
    <col min="6" max="6" width="12" bestFit="1" customWidth="1"/>
    <col min="7" max="7" width="15.25" bestFit="1" customWidth="1"/>
    <col min="8" max="8" width="14" bestFit="1" customWidth="1"/>
  </cols>
  <sheetData>
    <row r="1" spans="2:11" ht="15" thickTop="1" x14ac:dyDescent="0.2">
      <c r="B1" s="167" t="s">
        <v>75</v>
      </c>
      <c r="C1" s="167"/>
      <c r="D1" s="168"/>
      <c r="G1" s="167" t="s">
        <v>76</v>
      </c>
      <c r="H1" s="167"/>
      <c r="I1" s="168"/>
    </row>
    <row r="2" spans="2:11" x14ac:dyDescent="0.2">
      <c r="B2" s="26" t="s">
        <v>7</v>
      </c>
      <c r="C2" s="26" t="s">
        <v>87</v>
      </c>
      <c r="D2" s="81" t="s">
        <v>88</v>
      </c>
      <c r="E2" s="83" t="s">
        <v>89</v>
      </c>
      <c r="G2" s="26" t="s">
        <v>7</v>
      </c>
      <c r="H2" s="26" t="s">
        <v>87</v>
      </c>
      <c r="I2" s="81" t="s">
        <v>88</v>
      </c>
      <c r="J2" s="83" t="s">
        <v>89</v>
      </c>
    </row>
    <row r="3" spans="2:11" x14ac:dyDescent="0.2">
      <c r="B3" s="79"/>
      <c r="C3" s="28"/>
      <c r="D3" s="29"/>
      <c r="E3" s="84"/>
      <c r="G3" s="79"/>
      <c r="H3" s="28"/>
      <c r="I3" s="29"/>
      <c r="J3" s="84"/>
    </row>
    <row r="4" spans="2:11" x14ac:dyDescent="0.2">
      <c r="B4" s="79"/>
      <c r="C4" s="28"/>
      <c r="D4" s="29"/>
      <c r="E4" s="85"/>
      <c r="G4" s="79"/>
      <c r="H4" s="28"/>
      <c r="I4" s="29"/>
      <c r="J4" s="85"/>
    </row>
    <row r="5" spans="2:11" x14ac:dyDescent="0.2">
      <c r="B5" s="79"/>
      <c r="C5" s="28"/>
      <c r="D5" s="29"/>
      <c r="E5" s="84"/>
      <c r="G5" s="79"/>
      <c r="H5" s="28"/>
      <c r="I5" s="29"/>
      <c r="J5" s="84"/>
    </row>
    <row r="6" spans="2:11" x14ac:dyDescent="0.2">
      <c r="B6" s="79"/>
      <c r="C6" s="28"/>
      <c r="D6" s="29"/>
      <c r="E6" s="85"/>
      <c r="G6" s="79"/>
      <c r="H6" s="28"/>
      <c r="I6" s="29"/>
      <c r="J6" s="85"/>
    </row>
    <row r="7" spans="2:11" x14ac:dyDescent="0.2">
      <c r="B7" s="79"/>
      <c r="C7" s="28"/>
      <c r="D7" s="29"/>
      <c r="E7" s="85"/>
      <c r="G7" s="79"/>
      <c r="H7" s="28"/>
      <c r="I7" s="29"/>
      <c r="J7" s="85"/>
    </row>
    <row r="8" spans="2:11" x14ac:dyDescent="0.2">
      <c r="B8" s="79"/>
      <c r="C8" s="28"/>
      <c r="D8" s="29"/>
      <c r="E8" s="84"/>
      <c r="G8" s="79"/>
      <c r="H8" s="28"/>
      <c r="I8" s="29"/>
      <c r="J8" s="84"/>
    </row>
    <row r="9" spans="2:11" x14ac:dyDescent="0.2">
      <c r="B9" s="79"/>
      <c r="C9" s="28"/>
      <c r="D9" s="29"/>
      <c r="E9" s="85"/>
      <c r="G9" s="79"/>
      <c r="H9" s="28"/>
      <c r="I9" s="29"/>
      <c r="J9" s="85"/>
    </row>
    <row r="10" spans="2:11" x14ac:dyDescent="0.2">
      <c r="B10" s="79"/>
      <c r="C10" s="28"/>
      <c r="D10" s="29"/>
      <c r="E10" s="84"/>
      <c r="G10" s="79"/>
      <c r="H10" s="28"/>
      <c r="I10" s="29"/>
      <c r="J10" s="84"/>
    </row>
    <row r="11" spans="2:11" x14ac:dyDescent="0.2">
      <c r="B11" s="79"/>
      <c r="C11" s="28"/>
      <c r="D11" s="29"/>
      <c r="E11" s="85"/>
      <c r="G11" s="79"/>
      <c r="H11" s="28"/>
      <c r="I11" s="29"/>
      <c r="J11" s="85"/>
    </row>
    <row r="12" spans="2:11" x14ac:dyDescent="0.2">
      <c r="B12" s="79"/>
      <c r="C12" s="28"/>
      <c r="D12" s="29"/>
      <c r="E12" s="85"/>
      <c r="G12" s="79"/>
      <c r="H12" s="28"/>
      <c r="I12" s="29"/>
      <c r="J12" s="85"/>
    </row>
    <row r="13" spans="2:11" x14ac:dyDescent="0.2">
      <c r="B13" s="79"/>
      <c r="C13" s="28"/>
      <c r="D13" s="29"/>
      <c r="E13" s="84"/>
      <c r="G13" s="79"/>
      <c r="H13" s="28"/>
      <c r="I13" s="29"/>
      <c r="J13" s="84"/>
    </row>
    <row r="14" spans="2:11" x14ac:dyDescent="0.2">
      <c r="B14" s="79"/>
      <c r="C14" s="28"/>
      <c r="D14" s="29"/>
      <c r="E14" s="85"/>
      <c r="G14" s="79"/>
      <c r="H14" s="28"/>
      <c r="I14" s="29"/>
      <c r="J14" s="85"/>
    </row>
    <row r="15" spans="2:11" x14ac:dyDescent="0.2">
      <c r="B15" s="79"/>
      <c r="C15" s="28"/>
      <c r="D15" s="29"/>
      <c r="E15" s="84"/>
      <c r="G15" s="79"/>
      <c r="H15" s="28"/>
      <c r="I15" s="29"/>
      <c r="J15" s="84"/>
      <c r="K15" s="12"/>
    </row>
    <row r="16" spans="2:11" x14ac:dyDescent="0.2">
      <c r="B16" s="79"/>
      <c r="C16" s="28"/>
      <c r="D16" s="29"/>
      <c r="E16" s="85"/>
      <c r="G16" s="79"/>
      <c r="H16" s="28"/>
      <c r="I16" s="29"/>
      <c r="J16" s="85"/>
    </row>
    <row r="17" spans="2:10" x14ac:dyDescent="0.2">
      <c r="B17" s="79"/>
      <c r="C17" s="28"/>
      <c r="D17" s="29"/>
      <c r="E17" s="85"/>
      <c r="G17" s="79"/>
      <c r="H17" s="28"/>
      <c r="I17" s="29"/>
      <c r="J17" s="85"/>
    </row>
    <row r="18" spans="2:10" x14ac:dyDescent="0.2">
      <c r="B18" s="79"/>
      <c r="C18" s="28"/>
      <c r="D18" s="29"/>
      <c r="E18" s="84"/>
      <c r="G18" s="79"/>
      <c r="H18" s="28"/>
      <c r="I18" s="29"/>
      <c r="J18" s="84"/>
    </row>
    <row r="19" spans="2:10" x14ac:dyDescent="0.2">
      <c r="B19" s="79"/>
      <c r="C19" s="28"/>
      <c r="D19" s="29"/>
      <c r="E19" s="85"/>
      <c r="G19" s="79"/>
      <c r="H19" s="28"/>
      <c r="I19" s="29"/>
      <c r="J19" s="85"/>
    </row>
    <row r="20" spans="2:10" x14ac:dyDescent="0.2">
      <c r="B20" s="79"/>
      <c r="C20" s="28"/>
      <c r="D20" s="29"/>
      <c r="E20" s="84"/>
      <c r="G20" s="79"/>
      <c r="H20" s="28"/>
      <c r="I20" s="29"/>
      <c r="J20" s="84"/>
    </row>
    <row r="21" spans="2:10" x14ac:dyDescent="0.2">
      <c r="B21" s="79"/>
      <c r="C21" s="28"/>
      <c r="D21" s="29"/>
      <c r="E21" s="85"/>
      <c r="G21" s="79"/>
      <c r="H21" s="28"/>
      <c r="I21" s="29"/>
      <c r="J21" s="85"/>
    </row>
    <row r="22" spans="2:10" x14ac:dyDescent="0.2">
      <c r="B22" s="79"/>
      <c r="C22" s="28"/>
      <c r="D22" s="29"/>
      <c r="E22" s="84"/>
      <c r="G22" s="79"/>
      <c r="H22" s="28"/>
      <c r="I22" s="29"/>
      <c r="J22" s="85"/>
    </row>
    <row r="23" spans="2:10" x14ac:dyDescent="0.2">
      <c r="B23" s="79"/>
      <c r="C23" s="28"/>
      <c r="D23" s="29"/>
      <c r="E23" s="85"/>
      <c r="G23" s="79"/>
      <c r="H23" s="28"/>
      <c r="I23" s="29"/>
      <c r="J23" s="84"/>
    </row>
    <row r="24" spans="2:10" x14ac:dyDescent="0.2">
      <c r="B24" s="79"/>
      <c r="C24" s="28"/>
      <c r="D24" s="29"/>
      <c r="E24" s="84"/>
      <c r="G24" s="79"/>
      <c r="H24" s="28"/>
      <c r="I24" s="29"/>
      <c r="J24" s="85"/>
    </row>
    <row r="25" spans="2:10" x14ac:dyDescent="0.2">
      <c r="B25" s="79"/>
      <c r="C25" s="28"/>
      <c r="D25" s="29"/>
      <c r="E25" s="85"/>
      <c r="G25" s="79"/>
      <c r="H25" s="28"/>
      <c r="I25" s="29"/>
      <c r="J25" s="84"/>
    </row>
    <row r="26" spans="2:10" x14ac:dyDescent="0.2">
      <c r="B26" s="79"/>
      <c r="C26" s="28"/>
      <c r="D26" s="29"/>
      <c r="E26" s="85"/>
      <c r="G26" s="79"/>
      <c r="H26" s="28"/>
      <c r="I26" s="29"/>
      <c r="J26" s="85"/>
    </row>
    <row r="27" spans="2:10" x14ac:dyDescent="0.2">
      <c r="B27" s="79"/>
      <c r="C27" s="28"/>
      <c r="D27" s="29"/>
      <c r="E27" s="84"/>
      <c r="G27" s="79"/>
      <c r="H27" s="28"/>
      <c r="I27" s="29"/>
      <c r="J27" s="85"/>
    </row>
    <row r="28" spans="2:10" x14ac:dyDescent="0.2">
      <c r="B28" s="79"/>
      <c r="C28" s="28"/>
      <c r="D28" s="29"/>
      <c r="E28" s="85"/>
      <c r="G28" s="79"/>
      <c r="H28" s="28"/>
      <c r="I28" s="29"/>
      <c r="J28" s="84"/>
    </row>
    <row r="29" spans="2:10" x14ac:dyDescent="0.2">
      <c r="B29" s="79"/>
      <c r="C29" s="28"/>
      <c r="D29" s="29"/>
      <c r="E29" s="84"/>
      <c r="G29" s="79"/>
      <c r="H29" s="28"/>
      <c r="I29" s="29"/>
      <c r="J29" s="85"/>
    </row>
    <row r="30" spans="2:10" x14ac:dyDescent="0.2">
      <c r="B30" s="79"/>
      <c r="C30" s="28"/>
      <c r="D30" s="29"/>
      <c r="E30" s="85"/>
      <c r="G30" s="79"/>
      <c r="H30" s="28"/>
      <c r="I30" s="29"/>
      <c r="J30" s="84"/>
    </row>
    <row r="31" spans="2:10" x14ac:dyDescent="0.2">
      <c r="B31" s="79"/>
      <c r="C31" s="28"/>
      <c r="D31" s="29"/>
      <c r="E31" s="85"/>
      <c r="G31" s="79"/>
      <c r="H31" s="28"/>
      <c r="I31" s="29"/>
      <c r="J31" s="85"/>
    </row>
    <row r="32" spans="2:10" x14ac:dyDescent="0.2">
      <c r="B32" s="79"/>
      <c r="C32" s="28"/>
      <c r="D32" s="29"/>
      <c r="E32" s="84"/>
      <c r="G32" s="79"/>
      <c r="H32" s="28"/>
      <c r="I32" s="29"/>
      <c r="J32" s="85"/>
    </row>
    <row r="33" spans="2:10" x14ac:dyDescent="0.2">
      <c r="B33" s="79"/>
      <c r="C33" s="28"/>
      <c r="D33" s="29"/>
      <c r="E33" s="85"/>
      <c r="G33" s="79"/>
      <c r="H33" s="28"/>
      <c r="I33" s="29"/>
      <c r="J33" s="84"/>
    </row>
    <row r="34" spans="2:10" x14ac:dyDescent="0.2">
      <c r="B34" s="79"/>
      <c r="C34" s="28"/>
      <c r="D34" s="29"/>
      <c r="E34" s="84"/>
      <c r="G34" s="79"/>
      <c r="H34" s="28"/>
      <c r="I34" s="29"/>
      <c r="J34" s="85"/>
    </row>
    <row r="35" spans="2:10" x14ac:dyDescent="0.2">
      <c r="B35" s="79"/>
      <c r="C35" s="28"/>
      <c r="D35" s="29"/>
      <c r="E35" s="85"/>
      <c r="G35" s="79"/>
      <c r="H35" s="28"/>
      <c r="I35" s="29"/>
      <c r="J35" s="84"/>
    </row>
    <row r="36" spans="2:10" x14ac:dyDescent="0.2">
      <c r="B36" s="79"/>
      <c r="C36" s="28"/>
      <c r="D36" s="29"/>
      <c r="E36" s="84"/>
      <c r="G36" s="79"/>
      <c r="H36" s="28"/>
      <c r="I36" s="29"/>
      <c r="J36" s="85"/>
    </row>
    <row r="37" spans="2:10" x14ac:dyDescent="0.2">
      <c r="B37" s="79"/>
      <c r="C37" s="28"/>
      <c r="D37" s="29"/>
      <c r="E37" s="85"/>
      <c r="G37" s="79"/>
      <c r="H37" s="28"/>
      <c r="I37" s="29"/>
      <c r="J37" s="85"/>
    </row>
    <row r="38" spans="2:10" x14ac:dyDescent="0.2">
      <c r="B38" s="79"/>
      <c r="C38" s="28"/>
      <c r="D38" s="29"/>
      <c r="E38" s="85"/>
      <c r="G38" s="79"/>
      <c r="H38" s="28"/>
      <c r="I38" s="29"/>
      <c r="J38" s="84"/>
    </row>
    <row r="39" spans="2:10" x14ac:dyDescent="0.2">
      <c r="B39" s="79"/>
      <c r="C39" s="28"/>
      <c r="D39" s="29"/>
      <c r="E39" s="84"/>
      <c r="G39" s="79"/>
      <c r="H39" s="28"/>
      <c r="I39" s="29"/>
      <c r="J39" s="85"/>
    </row>
    <row r="40" spans="2:10" x14ac:dyDescent="0.2">
      <c r="B40" s="79"/>
      <c r="C40" s="28"/>
      <c r="D40" s="29"/>
      <c r="E40" s="85"/>
      <c r="G40" s="79"/>
      <c r="H40" s="28"/>
      <c r="I40" s="29"/>
      <c r="J40" s="84"/>
    </row>
    <row r="41" spans="2:10" x14ac:dyDescent="0.2">
      <c r="B41" s="79"/>
      <c r="C41" s="28"/>
      <c r="D41" s="29"/>
      <c r="E41" s="84"/>
      <c r="G41" s="79"/>
      <c r="H41" s="28"/>
      <c r="I41" s="29"/>
      <c r="J41" s="85"/>
    </row>
    <row r="42" spans="2:10" x14ac:dyDescent="0.2">
      <c r="B42" s="79"/>
      <c r="C42" s="28"/>
      <c r="D42" s="29"/>
      <c r="E42" s="85"/>
      <c r="G42" s="79"/>
      <c r="H42" s="28"/>
      <c r="I42" s="29"/>
      <c r="J42" s="85"/>
    </row>
    <row r="43" spans="2:10" x14ac:dyDescent="0.2">
      <c r="B43" s="79"/>
      <c r="C43" s="28"/>
      <c r="D43" s="29"/>
      <c r="E43" s="85"/>
      <c r="G43" s="79"/>
      <c r="H43" s="28"/>
      <c r="I43" s="29"/>
      <c r="J43" s="84"/>
    </row>
    <row r="44" spans="2:10" x14ac:dyDescent="0.2">
      <c r="B44" s="79"/>
      <c r="C44" s="86"/>
      <c r="D44" s="29"/>
      <c r="E44" s="84"/>
      <c r="G44" s="79"/>
      <c r="H44" s="28"/>
      <c r="I44" s="29"/>
      <c r="J44" s="85"/>
    </row>
    <row r="45" spans="2:10" x14ac:dyDescent="0.2">
      <c r="B45" s="79"/>
      <c r="C45" s="86"/>
      <c r="D45" s="29"/>
      <c r="E45" s="85"/>
      <c r="G45" s="79"/>
      <c r="H45" s="28"/>
      <c r="I45" s="29"/>
      <c r="J45" s="84"/>
    </row>
    <row r="46" spans="2:10" x14ac:dyDescent="0.2">
      <c r="B46" s="79"/>
      <c r="C46" s="86"/>
      <c r="D46" s="29"/>
      <c r="E46" s="84"/>
      <c r="G46" s="79"/>
      <c r="H46" s="28"/>
      <c r="I46" s="29"/>
      <c r="J46" s="85"/>
    </row>
    <row r="47" spans="2:10" x14ac:dyDescent="0.2">
      <c r="B47" s="79"/>
      <c r="C47" s="28"/>
      <c r="D47" s="29"/>
      <c r="E47" s="85"/>
      <c r="G47" s="79"/>
      <c r="H47" s="28"/>
      <c r="I47" s="29"/>
      <c r="J47" s="85"/>
    </row>
    <row r="48" spans="2:10" x14ac:dyDescent="0.2">
      <c r="B48" s="79"/>
      <c r="C48" s="28"/>
      <c r="D48" s="29"/>
      <c r="E48" s="84"/>
      <c r="G48" s="79"/>
      <c r="H48" s="28"/>
      <c r="I48" s="29"/>
      <c r="J48" s="84"/>
    </row>
    <row r="49" spans="2:10" x14ac:dyDescent="0.2">
      <c r="B49" s="79"/>
      <c r="C49" s="28"/>
      <c r="D49" s="29"/>
      <c r="E49" s="85"/>
      <c r="G49" s="79"/>
      <c r="H49" s="28"/>
      <c r="I49" s="29"/>
      <c r="J49" s="85"/>
    </row>
    <row r="50" spans="2:10" x14ac:dyDescent="0.2">
      <c r="B50" s="79"/>
      <c r="C50" s="28"/>
      <c r="D50" s="29"/>
      <c r="E50" s="85"/>
      <c r="G50" s="79"/>
      <c r="H50" s="28"/>
      <c r="I50" s="29"/>
      <c r="J50" s="84"/>
    </row>
    <row r="51" spans="2:10" x14ac:dyDescent="0.2">
      <c r="B51" s="79"/>
      <c r="C51" s="28"/>
      <c r="D51" s="29"/>
      <c r="E51" s="84"/>
      <c r="G51" s="79"/>
      <c r="H51" s="28"/>
      <c r="I51" s="29"/>
      <c r="J51" s="85"/>
    </row>
    <row r="52" spans="2:10" x14ac:dyDescent="0.2">
      <c r="B52" s="79"/>
      <c r="C52" s="28"/>
      <c r="D52" s="29"/>
      <c r="E52" s="85"/>
      <c r="G52" s="79"/>
      <c r="H52" s="28"/>
      <c r="I52" s="29"/>
      <c r="J52" s="85"/>
    </row>
    <row r="53" spans="2:10" x14ac:dyDescent="0.2">
      <c r="B53" s="79"/>
      <c r="C53" s="28"/>
      <c r="D53" s="29"/>
      <c r="E53" s="84"/>
      <c r="G53" s="79"/>
      <c r="H53" s="28"/>
      <c r="I53" s="29"/>
      <c r="J53" s="84"/>
    </row>
    <row r="54" spans="2:10" x14ac:dyDescent="0.2">
      <c r="B54" s="79"/>
      <c r="C54" s="28"/>
      <c r="D54" s="29"/>
      <c r="E54" s="85"/>
      <c r="G54" s="79"/>
      <c r="H54" s="28"/>
      <c r="I54" s="29"/>
      <c r="J54" s="85"/>
    </row>
    <row r="55" spans="2:10" x14ac:dyDescent="0.2">
      <c r="B55" s="79"/>
      <c r="C55" s="28"/>
      <c r="D55" s="29"/>
      <c r="E55" s="85"/>
      <c r="G55" s="79"/>
      <c r="H55" s="28"/>
      <c r="I55" s="29"/>
      <c r="J55" s="84"/>
    </row>
    <row r="56" spans="2:10" x14ac:dyDescent="0.2">
      <c r="B56" s="79"/>
      <c r="C56" s="28"/>
      <c r="D56" s="29"/>
      <c r="E56" s="84"/>
      <c r="G56" s="79"/>
      <c r="H56" s="28"/>
      <c r="I56" s="29"/>
      <c r="J56" s="85"/>
    </row>
    <row r="57" spans="2:10" x14ac:dyDescent="0.2">
      <c r="B57" s="79"/>
      <c r="C57" s="28"/>
      <c r="D57" s="29"/>
      <c r="E57" s="85"/>
      <c r="G57" s="79"/>
      <c r="H57" s="28"/>
      <c r="I57" s="29"/>
      <c r="J57" s="85"/>
    </row>
    <row r="58" spans="2:10" x14ac:dyDescent="0.2">
      <c r="B58" s="79"/>
      <c r="C58" s="28"/>
      <c r="D58" s="29"/>
      <c r="E58" s="84"/>
      <c r="G58" s="79"/>
      <c r="H58" s="28"/>
      <c r="I58" s="29"/>
      <c r="J58" s="84"/>
    </row>
    <row r="59" spans="2:10" x14ac:dyDescent="0.2">
      <c r="B59" s="79"/>
      <c r="C59" s="28"/>
      <c r="D59" s="29"/>
      <c r="E59" s="85"/>
      <c r="G59" s="79"/>
      <c r="H59" s="28"/>
      <c r="I59" s="29"/>
      <c r="J59" s="85"/>
    </row>
    <row r="60" spans="2:10" x14ac:dyDescent="0.2">
      <c r="B60" s="79"/>
      <c r="C60" s="28"/>
      <c r="D60" s="29"/>
      <c r="E60" s="84"/>
      <c r="G60" s="79"/>
      <c r="H60" s="28"/>
      <c r="I60" s="29"/>
      <c r="J60" s="84"/>
    </row>
    <row r="61" spans="2:10" x14ac:dyDescent="0.2">
      <c r="B61" s="79"/>
      <c r="C61" s="28"/>
      <c r="D61" s="29"/>
      <c r="E61" s="85"/>
      <c r="G61" s="79"/>
      <c r="H61" s="28"/>
      <c r="I61" s="29"/>
      <c r="J61" s="85"/>
    </row>
    <row r="62" spans="2:10" x14ac:dyDescent="0.2">
      <c r="B62" s="79"/>
      <c r="C62" s="28"/>
      <c r="D62" s="29"/>
      <c r="E62" s="85"/>
      <c r="G62" s="79"/>
      <c r="H62" s="28"/>
      <c r="I62" s="29"/>
      <c r="J62" s="85"/>
    </row>
    <row r="63" spans="2:10" x14ac:dyDescent="0.2">
      <c r="B63" s="79"/>
      <c r="C63" s="28"/>
      <c r="D63" s="29"/>
      <c r="E63" s="84"/>
      <c r="G63" s="79"/>
      <c r="H63" s="28"/>
      <c r="I63" s="29"/>
      <c r="J63" s="84"/>
    </row>
    <row r="64" spans="2:10" x14ac:dyDescent="0.2">
      <c r="B64" s="79"/>
      <c r="C64" s="28"/>
      <c r="D64" s="29"/>
      <c r="E64" s="85"/>
      <c r="G64" s="79"/>
      <c r="H64" s="28"/>
      <c r="I64" s="29"/>
      <c r="J64" s="85"/>
    </row>
    <row r="65" spans="2:10" x14ac:dyDescent="0.2">
      <c r="B65" s="79"/>
      <c r="C65" s="28"/>
      <c r="D65" s="29"/>
      <c r="E65" s="84"/>
      <c r="G65" s="79"/>
      <c r="H65" s="28"/>
      <c r="I65" s="29"/>
      <c r="J65" s="84"/>
    </row>
    <row r="66" spans="2:10" x14ac:dyDescent="0.2">
      <c r="B66" s="79"/>
      <c r="C66" s="28"/>
      <c r="D66" s="29"/>
      <c r="E66" s="85"/>
      <c r="G66" s="79"/>
      <c r="H66" s="28"/>
      <c r="I66" s="29"/>
      <c r="J66" s="85"/>
    </row>
    <row r="67" spans="2:10" x14ac:dyDescent="0.2">
      <c r="B67" s="79"/>
      <c r="C67" s="28"/>
      <c r="D67" s="29"/>
      <c r="E67" s="85"/>
      <c r="G67" s="79"/>
      <c r="H67" s="28"/>
      <c r="I67" s="29"/>
      <c r="J67" s="85"/>
    </row>
    <row r="68" spans="2:10" x14ac:dyDescent="0.2">
      <c r="B68" s="79"/>
      <c r="C68" s="28"/>
      <c r="D68" s="29"/>
      <c r="E68" s="84"/>
      <c r="G68" s="79"/>
      <c r="H68" s="28"/>
      <c r="I68" s="29"/>
      <c r="J68" s="84"/>
    </row>
    <row r="69" spans="2:10" x14ac:dyDescent="0.2">
      <c r="B69" s="79"/>
      <c r="C69" s="28"/>
      <c r="D69" s="29"/>
      <c r="E69" s="85"/>
      <c r="G69" s="79"/>
      <c r="H69" s="28"/>
      <c r="I69" s="29"/>
      <c r="J69" s="85"/>
    </row>
    <row r="70" spans="2:10" x14ac:dyDescent="0.2">
      <c r="B70" s="79"/>
      <c r="C70" s="28"/>
      <c r="D70" s="29"/>
      <c r="E70" s="84"/>
      <c r="G70" s="79"/>
      <c r="H70" s="28"/>
      <c r="I70" s="29"/>
      <c r="J70" s="84"/>
    </row>
    <row r="71" spans="2:10" x14ac:dyDescent="0.2">
      <c r="B71" s="79"/>
      <c r="C71" s="28"/>
      <c r="D71" s="29"/>
      <c r="E71" s="85"/>
      <c r="G71" s="79"/>
      <c r="H71" s="28"/>
      <c r="I71" s="29"/>
      <c r="J71" s="85"/>
    </row>
    <row r="72" spans="2:10" x14ac:dyDescent="0.2">
      <c r="B72" s="79"/>
      <c r="C72" s="28"/>
      <c r="D72" s="29"/>
      <c r="E72" s="84"/>
      <c r="G72" s="79"/>
      <c r="H72" s="28"/>
      <c r="I72" s="29"/>
      <c r="J72" s="85"/>
    </row>
    <row r="73" spans="2:10" x14ac:dyDescent="0.2">
      <c r="B73" s="79"/>
      <c r="C73" s="28"/>
      <c r="D73" s="29"/>
      <c r="E73" s="85"/>
      <c r="G73" s="79"/>
      <c r="H73" s="28"/>
      <c r="I73" s="29"/>
      <c r="J73" s="84"/>
    </row>
    <row r="74" spans="2:10" x14ac:dyDescent="0.2">
      <c r="B74" s="79"/>
      <c r="C74" s="28"/>
      <c r="D74" s="29"/>
      <c r="E74" s="85"/>
      <c r="G74" s="79"/>
      <c r="H74" s="28"/>
      <c r="I74" s="29"/>
      <c r="J74" s="85"/>
    </row>
    <row r="75" spans="2:10" x14ac:dyDescent="0.2">
      <c r="B75" s="79"/>
      <c r="C75" s="28"/>
      <c r="D75" s="29"/>
      <c r="E75" s="84"/>
      <c r="G75" s="79"/>
      <c r="H75" s="28"/>
      <c r="I75" s="29"/>
      <c r="J75" s="84"/>
    </row>
    <row r="76" spans="2:10" x14ac:dyDescent="0.2">
      <c r="B76" s="79"/>
      <c r="C76" s="28"/>
      <c r="D76" s="29"/>
      <c r="E76" s="85"/>
      <c r="G76" s="79"/>
      <c r="H76" s="28"/>
      <c r="I76" s="29"/>
      <c r="J76" s="85"/>
    </row>
    <row r="77" spans="2:10" x14ac:dyDescent="0.2">
      <c r="B77" s="79"/>
      <c r="C77" s="28"/>
      <c r="D77" s="29"/>
      <c r="E77" s="84"/>
      <c r="G77" s="79"/>
      <c r="H77" s="28"/>
      <c r="I77" s="29"/>
      <c r="J77" s="85"/>
    </row>
    <row r="78" spans="2:10" x14ac:dyDescent="0.2">
      <c r="B78" s="79"/>
      <c r="C78" s="28"/>
      <c r="D78" s="29"/>
      <c r="E78" s="85"/>
      <c r="G78" s="79"/>
      <c r="H78" s="28"/>
      <c r="I78" s="29"/>
      <c r="J78" s="84"/>
    </row>
    <row r="79" spans="2:10" x14ac:dyDescent="0.2">
      <c r="B79" s="79"/>
      <c r="C79" s="28"/>
      <c r="D79" s="29"/>
      <c r="E79" s="85"/>
      <c r="G79" s="79"/>
      <c r="H79" s="28"/>
      <c r="I79" s="29"/>
      <c r="J79" s="85"/>
    </row>
    <row r="80" spans="2:10" x14ac:dyDescent="0.2">
      <c r="B80" s="79"/>
      <c r="C80" s="28"/>
      <c r="D80" s="29"/>
      <c r="E80" s="84"/>
      <c r="G80" s="79"/>
      <c r="H80" s="28"/>
      <c r="I80" s="29"/>
      <c r="J80" s="84"/>
    </row>
    <row r="81" spans="2:10" x14ac:dyDescent="0.2">
      <c r="B81" s="79"/>
      <c r="C81" s="28"/>
      <c r="D81" s="29"/>
      <c r="E81" s="85"/>
      <c r="G81" s="79"/>
      <c r="H81" s="28"/>
      <c r="I81" s="29"/>
      <c r="J81" s="85"/>
    </row>
    <row r="82" spans="2:10" x14ac:dyDescent="0.2">
      <c r="B82" s="79"/>
      <c r="C82" s="28"/>
      <c r="D82" s="29"/>
      <c r="E82" s="84"/>
      <c r="G82" s="79"/>
      <c r="H82" s="28"/>
      <c r="I82" s="29"/>
      <c r="J82" s="85"/>
    </row>
    <row r="83" spans="2:10" x14ac:dyDescent="0.2">
      <c r="B83" s="79"/>
      <c r="C83" s="28"/>
      <c r="D83" s="29"/>
      <c r="E83" s="85"/>
      <c r="G83" s="79"/>
      <c r="H83" s="28"/>
      <c r="I83" s="29"/>
      <c r="J83" s="84"/>
    </row>
    <row r="84" spans="2:10" x14ac:dyDescent="0.2">
      <c r="B84" s="79"/>
      <c r="C84" s="28"/>
      <c r="D84" s="29"/>
      <c r="E84" s="84"/>
      <c r="G84" s="79"/>
      <c r="H84" s="28"/>
      <c r="I84" s="29"/>
      <c r="J84" s="85"/>
    </row>
    <row r="85" spans="2:10" x14ac:dyDescent="0.2">
      <c r="B85" s="79"/>
      <c r="C85" s="28"/>
      <c r="D85" s="29"/>
      <c r="E85" s="85"/>
      <c r="G85" s="79"/>
      <c r="H85" s="28"/>
      <c r="I85" s="29"/>
      <c r="J85" s="84"/>
    </row>
    <row r="86" spans="2:10" x14ac:dyDescent="0.2">
      <c r="B86" s="79"/>
      <c r="C86" s="28"/>
      <c r="D86" s="29"/>
      <c r="E86" s="85"/>
      <c r="G86" s="79"/>
      <c r="H86" s="28"/>
      <c r="I86" s="29"/>
      <c r="J86" s="85"/>
    </row>
    <row r="87" spans="2:10" x14ac:dyDescent="0.2">
      <c r="B87" s="79"/>
      <c r="C87" s="28"/>
      <c r="D87" s="29"/>
      <c r="E87" s="84"/>
      <c r="G87" s="79"/>
      <c r="H87" s="28"/>
      <c r="I87" s="29"/>
      <c r="J87" s="85"/>
    </row>
    <row r="88" spans="2:10" x14ac:dyDescent="0.2">
      <c r="B88" s="79"/>
      <c r="C88" s="28"/>
      <c r="D88" s="29"/>
      <c r="E88" s="85"/>
      <c r="G88" s="79"/>
      <c r="H88" s="28"/>
      <c r="I88" s="29"/>
      <c r="J88" s="84"/>
    </row>
    <row r="89" spans="2:10" x14ac:dyDescent="0.2">
      <c r="B89" s="79"/>
      <c r="C89" s="28"/>
      <c r="D89" s="29"/>
      <c r="E89" s="84"/>
      <c r="G89" s="79"/>
      <c r="H89" s="28"/>
      <c r="I89" s="29"/>
      <c r="J89" s="85"/>
    </row>
    <row r="90" spans="2:10" x14ac:dyDescent="0.2">
      <c r="B90" s="79"/>
      <c r="C90" s="28"/>
      <c r="D90" s="29"/>
      <c r="E90" s="85"/>
      <c r="G90" s="79"/>
      <c r="H90" s="28"/>
      <c r="I90" s="29"/>
      <c r="J90" s="84"/>
    </row>
    <row r="91" spans="2:10" x14ac:dyDescent="0.2">
      <c r="B91" s="79"/>
      <c r="C91" s="28"/>
      <c r="D91" s="29"/>
      <c r="E91" s="85"/>
      <c r="G91" s="79"/>
      <c r="H91" s="28"/>
      <c r="I91" s="29"/>
      <c r="J91" s="85"/>
    </row>
    <row r="92" spans="2:10" x14ac:dyDescent="0.2">
      <c r="B92" s="79"/>
      <c r="C92" s="28"/>
      <c r="D92" s="29"/>
      <c r="E92" s="84"/>
      <c r="G92" s="79"/>
      <c r="H92" s="28"/>
      <c r="I92" s="29"/>
      <c r="J92" s="85"/>
    </row>
    <row r="93" spans="2:10" x14ac:dyDescent="0.2">
      <c r="B93" s="79"/>
      <c r="C93" s="28"/>
      <c r="D93" s="29"/>
      <c r="E93" s="85"/>
      <c r="G93" s="79"/>
      <c r="H93" s="28"/>
      <c r="I93" s="29"/>
      <c r="J93" s="84"/>
    </row>
    <row r="94" spans="2:10" x14ac:dyDescent="0.2">
      <c r="B94" s="79"/>
      <c r="C94" s="28"/>
      <c r="D94" s="29"/>
      <c r="E94" s="84"/>
      <c r="G94" s="79"/>
      <c r="H94" s="28"/>
      <c r="I94" s="29"/>
      <c r="J94" s="85"/>
    </row>
    <row r="95" spans="2:10" x14ac:dyDescent="0.2">
      <c r="B95" s="79"/>
      <c r="C95" s="28"/>
      <c r="D95" s="29"/>
      <c r="E95" s="85"/>
      <c r="G95" s="79"/>
      <c r="H95" s="28"/>
      <c r="I95" s="29"/>
      <c r="J95" s="84"/>
    </row>
    <row r="96" spans="2:10" x14ac:dyDescent="0.2">
      <c r="B96" s="79"/>
      <c r="C96" s="28"/>
      <c r="D96" s="29"/>
      <c r="E96" s="84"/>
      <c r="G96" s="79"/>
      <c r="H96" s="28"/>
      <c r="I96" s="29"/>
      <c r="J96" s="85"/>
    </row>
    <row r="97" spans="2:10" x14ac:dyDescent="0.2">
      <c r="B97" s="79"/>
      <c r="C97" s="28"/>
      <c r="D97" s="29"/>
      <c r="E97" s="85"/>
      <c r="G97" s="79"/>
      <c r="H97" s="28"/>
      <c r="I97" s="29"/>
      <c r="J97" s="85"/>
    </row>
    <row r="98" spans="2:10" x14ac:dyDescent="0.2">
      <c r="B98" s="79"/>
      <c r="C98" s="28"/>
      <c r="D98" s="29"/>
      <c r="E98" s="85"/>
      <c r="G98" s="79"/>
      <c r="H98" s="28"/>
      <c r="I98" s="29"/>
      <c r="J98" s="84"/>
    </row>
    <row r="99" spans="2:10" x14ac:dyDescent="0.2">
      <c r="B99" s="79"/>
      <c r="C99" s="28"/>
      <c r="D99" s="29"/>
      <c r="E99" s="84"/>
      <c r="G99" s="79"/>
      <c r="H99" s="28"/>
      <c r="I99" s="29"/>
      <c r="J99" s="85"/>
    </row>
    <row r="100" spans="2:10" x14ac:dyDescent="0.2">
      <c r="B100" s="79"/>
      <c r="C100" s="28"/>
      <c r="D100" s="29"/>
      <c r="E100" s="85"/>
      <c r="G100" s="79"/>
      <c r="H100" s="28"/>
      <c r="I100" s="29"/>
      <c r="J100" s="84"/>
    </row>
    <row r="101" spans="2:10" x14ac:dyDescent="0.2">
      <c r="B101" s="79"/>
      <c r="C101" s="28"/>
      <c r="D101" s="29"/>
      <c r="E101" s="84"/>
      <c r="G101" s="79"/>
      <c r="H101" s="28"/>
      <c r="I101" s="29"/>
      <c r="J101" s="85"/>
    </row>
    <row r="102" spans="2:10" x14ac:dyDescent="0.2">
      <c r="B102" s="79"/>
      <c r="C102" s="28"/>
      <c r="D102" s="29"/>
      <c r="E102" s="85"/>
      <c r="G102" s="79"/>
      <c r="H102" s="28"/>
      <c r="I102" s="29"/>
      <c r="J102" s="85"/>
    </row>
    <row r="103" spans="2:10" x14ac:dyDescent="0.2">
      <c r="B103" s="79"/>
      <c r="C103" s="28"/>
      <c r="D103" s="29"/>
      <c r="E103" s="85"/>
      <c r="G103" s="79"/>
      <c r="H103" s="28"/>
      <c r="I103" s="29"/>
      <c r="J103" s="84"/>
    </row>
    <row r="104" spans="2:10" x14ac:dyDescent="0.2">
      <c r="B104" s="79"/>
      <c r="C104" s="28"/>
      <c r="D104" s="29"/>
      <c r="E104" s="84"/>
      <c r="G104" s="79"/>
      <c r="H104" s="28"/>
      <c r="I104" s="29"/>
      <c r="J104" s="85"/>
    </row>
    <row r="105" spans="2:10" x14ac:dyDescent="0.2">
      <c r="B105" s="79"/>
      <c r="C105" s="28"/>
      <c r="D105" s="29"/>
      <c r="E105" s="85"/>
      <c r="G105" s="79"/>
      <c r="H105" s="28"/>
      <c r="I105" s="29"/>
      <c r="J105" s="84"/>
    </row>
    <row r="106" spans="2:10" x14ac:dyDescent="0.2">
      <c r="B106" s="79"/>
      <c r="C106" s="28"/>
      <c r="D106" s="29"/>
      <c r="E106" s="84"/>
      <c r="G106" s="79"/>
      <c r="H106" s="28"/>
      <c r="I106" s="29"/>
      <c r="J106" s="85"/>
    </row>
    <row r="107" spans="2:10" x14ac:dyDescent="0.2">
      <c r="B107" s="79"/>
      <c r="C107" s="28"/>
      <c r="D107" s="29"/>
      <c r="E107" s="85"/>
      <c r="G107" s="79"/>
      <c r="H107" s="28"/>
      <c r="I107" s="29"/>
      <c r="J107" s="85"/>
    </row>
    <row r="108" spans="2:10" x14ac:dyDescent="0.2">
      <c r="B108" s="79"/>
      <c r="C108" s="28"/>
      <c r="D108" s="29"/>
      <c r="E108" s="84"/>
      <c r="G108" s="79"/>
      <c r="H108" s="28"/>
      <c r="I108" s="29"/>
      <c r="J108" s="84"/>
    </row>
    <row r="109" spans="2:10" x14ac:dyDescent="0.2">
      <c r="B109" s="79"/>
      <c r="C109" s="28"/>
      <c r="D109" s="29"/>
      <c r="E109" s="85"/>
      <c r="G109" s="79"/>
      <c r="H109" s="28"/>
      <c r="I109" s="29"/>
      <c r="J109" s="85"/>
    </row>
    <row r="110" spans="2:10" x14ac:dyDescent="0.2">
      <c r="B110" s="79"/>
      <c r="C110" s="28"/>
      <c r="D110" s="29"/>
      <c r="E110" s="85"/>
      <c r="G110" s="79"/>
      <c r="H110" s="28"/>
      <c r="I110" s="29"/>
      <c r="J110" s="84"/>
    </row>
    <row r="111" spans="2:10" x14ac:dyDescent="0.2">
      <c r="B111" s="79"/>
      <c r="C111" s="28"/>
      <c r="D111" s="29"/>
      <c r="E111" s="84"/>
      <c r="G111" s="79"/>
      <c r="H111" s="28"/>
      <c r="I111" s="29"/>
      <c r="J111" s="85"/>
    </row>
    <row r="112" spans="2:10" x14ac:dyDescent="0.2">
      <c r="B112" s="79"/>
      <c r="C112" s="28"/>
      <c r="D112" s="29"/>
      <c r="E112" s="85"/>
      <c r="G112" s="79"/>
      <c r="H112" s="28"/>
      <c r="I112" s="29"/>
      <c r="J112" s="85"/>
    </row>
    <row r="113" spans="2:10" x14ac:dyDescent="0.2">
      <c r="B113" s="79"/>
      <c r="C113" s="28"/>
      <c r="D113" s="29"/>
      <c r="E113" s="84"/>
      <c r="G113" s="79"/>
      <c r="H113" s="28"/>
      <c r="I113" s="29"/>
      <c r="J113" s="84"/>
    </row>
    <row r="114" spans="2:10" x14ac:dyDescent="0.2">
      <c r="B114" s="79"/>
      <c r="C114" s="28"/>
      <c r="D114" s="29"/>
      <c r="E114" s="85"/>
      <c r="G114" s="79"/>
      <c r="H114" s="28"/>
      <c r="I114" s="29"/>
      <c r="J114" s="85"/>
    </row>
    <row r="115" spans="2:10" x14ac:dyDescent="0.2">
      <c r="B115" s="79"/>
      <c r="C115" s="28"/>
      <c r="D115" s="29"/>
      <c r="E115" s="85"/>
      <c r="G115" s="79"/>
      <c r="H115" s="28"/>
      <c r="I115" s="29"/>
      <c r="J115" s="84"/>
    </row>
    <row r="116" spans="2:10" x14ac:dyDescent="0.2">
      <c r="B116" s="79"/>
      <c r="C116" s="28"/>
      <c r="D116" s="29"/>
      <c r="E116" s="84"/>
      <c r="G116" s="79"/>
      <c r="H116" s="28"/>
      <c r="I116" s="29"/>
      <c r="J116" s="85"/>
    </row>
    <row r="117" spans="2:10" x14ac:dyDescent="0.2">
      <c r="B117" s="79"/>
      <c r="C117" s="28"/>
      <c r="D117" s="29"/>
      <c r="E117" s="85"/>
      <c r="G117" s="79"/>
      <c r="H117" s="28"/>
      <c r="I117" s="29"/>
      <c r="J117" s="85"/>
    </row>
    <row r="118" spans="2:10" x14ac:dyDescent="0.2">
      <c r="B118" s="79"/>
      <c r="C118" s="28"/>
      <c r="D118" s="29"/>
      <c r="E118" s="84"/>
      <c r="G118" s="79"/>
      <c r="H118" s="28"/>
      <c r="I118" s="29"/>
      <c r="J118" s="84"/>
    </row>
    <row r="119" spans="2:10" x14ac:dyDescent="0.2">
      <c r="B119" s="79"/>
      <c r="C119" s="28"/>
      <c r="D119" s="29"/>
      <c r="E119" s="85"/>
      <c r="G119" s="79"/>
      <c r="H119" s="28"/>
      <c r="I119" s="29"/>
      <c r="J119" s="85"/>
    </row>
    <row r="120" spans="2:10" x14ac:dyDescent="0.2">
      <c r="B120" s="79"/>
      <c r="C120" s="28"/>
      <c r="D120" s="29"/>
      <c r="E120" s="84"/>
      <c r="G120" s="79"/>
      <c r="H120" s="28"/>
      <c r="I120" s="29"/>
      <c r="J120" s="84"/>
    </row>
    <row r="121" spans="2:10" x14ac:dyDescent="0.2">
      <c r="B121" s="79"/>
      <c r="C121" s="28"/>
      <c r="D121" s="29"/>
      <c r="E121" s="85"/>
      <c r="G121" s="79"/>
      <c r="H121" s="28"/>
      <c r="I121" s="29"/>
      <c r="J121" s="85"/>
    </row>
    <row r="122" spans="2:10" x14ac:dyDescent="0.2">
      <c r="B122" s="79"/>
      <c r="C122" s="28"/>
      <c r="D122" s="29"/>
      <c r="E122" s="85"/>
      <c r="G122" s="79"/>
      <c r="H122" s="28"/>
      <c r="I122" s="29"/>
      <c r="J122" s="85"/>
    </row>
    <row r="123" spans="2:10" x14ac:dyDescent="0.2">
      <c r="B123" s="79"/>
      <c r="C123" s="28"/>
      <c r="D123" s="29"/>
      <c r="E123" s="84"/>
      <c r="G123" s="79"/>
      <c r="H123" s="28"/>
      <c r="I123" s="29"/>
      <c r="J123" s="84"/>
    </row>
    <row r="124" spans="2:10" x14ac:dyDescent="0.2">
      <c r="B124" s="79"/>
      <c r="C124" s="28"/>
      <c r="D124" s="29"/>
      <c r="E124" s="85"/>
      <c r="G124" s="79"/>
      <c r="H124" s="28"/>
      <c r="I124" s="29"/>
      <c r="J124" s="85"/>
    </row>
    <row r="125" spans="2:10" x14ac:dyDescent="0.2">
      <c r="B125" s="79"/>
      <c r="C125" s="28"/>
      <c r="D125" s="29"/>
      <c r="E125" s="84"/>
      <c r="G125" s="79"/>
      <c r="H125" s="28"/>
      <c r="I125" s="29"/>
      <c r="J125" s="84"/>
    </row>
    <row r="126" spans="2:10" x14ac:dyDescent="0.2">
      <c r="B126" s="79"/>
      <c r="C126" s="28"/>
      <c r="D126" s="29"/>
      <c r="E126" s="85"/>
      <c r="G126" s="79"/>
      <c r="H126" s="28"/>
      <c r="I126" s="29"/>
      <c r="J126" s="85"/>
    </row>
    <row r="127" spans="2:10" x14ac:dyDescent="0.2">
      <c r="B127" s="79"/>
      <c r="C127" s="28"/>
      <c r="D127" s="29"/>
      <c r="E127" s="85"/>
      <c r="G127" s="79"/>
      <c r="H127" s="28"/>
      <c r="I127" s="29"/>
      <c r="J127" s="85"/>
    </row>
    <row r="128" spans="2:10" x14ac:dyDescent="0.2">
      <c r="B128" s="79"/>
      <c r="C128" s="28"/>
      <c r="D128" s="29"/>
      <c r="E128" s="84"/>
      <c r="G128" s="79"/>
      <c r="H128" s="28"/>
      <c r="I128" s="29"/>
      <c r="J128" s="84"/>
    </row>
    <row r="129" spans="2:10" x14ac:dyDescent="0.2">
      <c r="B129" s="79"/>
      <c r="C129" s="28"/>
      <c r="D129" s="29"/>
      <c r="E129" s="85"/>
      <c r="G129" s="79"/>
      <c r="H129" s="28"/>
      <c r="I129" s="29"/>
      <c r="J129" s="85"/>
    </row>
    <row r="130" spans="2:10" x14ac:dyDescent="0.2">
      <c r="B130" s="79"/>
      <c r="C130" s="28"/>
      <c r="D130" s="29"/>
      <c r="E130" s="84"/>
      <c r="G130" s="79"/>
      <c r="H130" s="28"/>
      <c r="I130" s="29"/>
      <c r="J130" s="84"/>
    </row>
    <row r="131" spans="2:10" x14ac:dyDescent="0.2">
      <c r="B131" s="79"/>
      <c r="C131" s="28"/>
      <c r="D131" s="29"/>
      <c r="E131" s="85"/>
      <c r="G131" s="79"/>
      <c r="H131" s="28"/>
      <c r="I131" s="29"/>
      <c r="J131" s="85"/>
    </row>
    <row r="132" spans="2:10" x14ac:dyDescent="0.2">
      <c r="B132" s="79"/>
      <c r="C132" s="28"/>
      <c r="D132" s="29"/>
      <c r="E132" s="84"/>
      <c r="G132" s="79"/>
      <c r="H132" s="28"/>
      <c r="I132" s="29"/>
      <c r="J132" s="85"/>
    </row>
    <row r="133" spans="2:10" x14ac:dyDescent="0.2">
      <c r="B133" s="79"/>
      <c r="C133" s="28"/>
      <c r="D133" s="29"/>
      <c r="E133" s="85"/>
      <c r="G133" s="79"/>
      <c r="H133" s="28"/>
      <c r="I133" s="29"/>
      <c r="J133" s="84"/>
    </row>
    <row r="134" spans="2:10" x14ac:dyDescent="0.2">
      <c r="B134" s="79"/>
      <c r="C134" s="28"/>
      <c r="D134" s="29"/>
      <c r="E134" s="85"/>
      <c r="G134" s="79"/>
      <c r="H134" s="28"/>
      <c r="I134" s="29"/>
      <c r="J134" s="85"/>
    </row>
    <row r="135" spans="2:10" x14ac:dyDescent="0.2">
      <c r="B135" s="79"/>
      <c r="C135" s="28"/>
      <c r="D135" s="29"/>
      <c r="E135" s="84"/>
      <c r="G135" s="79"/>
      <c r="H135" s="28"/>
      <c r="I135" s="29"/>
      <c r="J135" s="84"/>
    </row>
    <row r="136" spans="2:10" x14ac:dyDescent="0.2">
      <c r="B136" s="79"/>
      <c r="C136" s="28"/>
      <c r="D136" s="29"/>
      <c r="E136" s="85"/>
      <c r="G136" s="79"/>
      <c r="H136" s="28"/>
      <c r="I136" s="29"/>
      <c r="J136" s="85"/>
    </row>
    <row r="137" spans="2:10" x14ac:dyDescent="0.2">
      <c r="B137" s="79"/>
      <c r="C137" s="28"/>
      <c r="D137" s="29"/>
      <c r="E137" s="84"/>
      <c r="G137" s="79"/>
      <c r="H137" s="28"/>
      <c r="I137" s="29"/>
      <c r="J137" s="85"/>
    </row>
    <row r="138" spans="2:10" x14ac:dyDescent="0.2">
      <c r="B138" s="79"/>
      <c r="C138" s="28"/>
      <c r="D138" s="29"/>
      <c r="E138" s="85"/>
      <c r="G138" s="79"/>
      <c r="H138" s="28"/>
      <c r="I138" s="29"/>
      <c r="J138" s="84"/>
    </row>
    <row r="139" spans="2:10" x14ac:dyDescent="0.2">
      <c r="B139" s="79"/>
      <c r="C139" s="28"/>
      <c r="D139" s="29"/>
      <c r="E139" s="85"/>
      <c r="G139" s="79"/>
      <c r="H139" s="28"/>
      <c r="I139" s="29"/>
      <c r="J139" s="85"/>
    </row>
    <row r="140" spans="2:10" x14ac:dyDescent="0.2">
      <c r="B140" s="79"/>
      <c r="C140" s="28"/>
      <c r="D140" s="29"/>
      <c r="E140" s="84"/>
      <c r="G140" s="79"/>
      <c r="H140" s="28"/>
      <c r="I140" s="29"/>
      <c r="J140" s="84"/>
    </row>
    <row r="141" spans="2:10" x14ac:dyDescent="0.2">
      <c r="B141" s="79"/>
      <c r="C141" s="28"/>
      <c r="D141" s="29"/>
      <c r="E141" s="85"/>
      <c r="G141" s="79"/>
      <c r="H141" s="28"/>
      <c r="I141" s="29"/>
      <c r="J141" s="85"/>
    </row>
    <row r="142" spans="2:10" x14ac:dyDescent="0.2">
      <c r="B142" s="79"/>
      <c r="C142" s="28"/>
      <c r="D142" s="29"/>
      <c r="E142" s="84"/>
      <c r="G142" s="79"/>
      <c r="H142" s="28"/>
      <c r="I142" s="29"/>
      <c r="J142" s="85"/>
    </row>
    <row r="143" spans="2:10" x14ac:dyDescent="0.2">
      <c r="B143" s="79"/>
      <c r="C143" s="28"/>
      <c r="D143" s="29"/>
      <c r="E143" s="85"/>
      <c r="G143" s="79"/>
      <c r="H143" s="28"/>
      <c r="I143" s="29"/>
      <c r="J143" s="84"/>
    </row>
    <row r="144" spans="2:10" x14ac:dyDescent="0.2">
      <c r="B144" s="79"/>
      <c r="C144" s="28"/>
      <c r="D144" s="29"/>
      <c r="E144" s="84"/>
      <c r="G144" s="79"/>
      <c r="H144" s="28"/>
      <c r="I144" s="29"/>
      <c r="J144" s="85"/>
    </row>
    <row r="145" spans="2:10" x14ac:dyDescent="0.2">
      <c r="B145" s="79"/>
      <c r="C145" s="28"/>
      <c r="D145" s="29"/>
      <c r="E145" s="85"/>
      <c r="G145" s="79"/>
      <c r="H145" s="28"/>
      <c r="I145" s="29"/>
      <c r="J145" s="84"/>
    </row>
    <row r="146" spans="2:10" x14ac:dyDescent="0.2">
      <c r="B146" s="79"/>
      <c r="C146" s="28"/>
      <c r="D146" s="29"/>
      <c r="E146" s="85"/>
      <c r="G146" s="79"/>
      <c r="H146" s="28"/>
      <c r="I146" s="29"/>
      <c r="J146" s="85"/>
    </row>
    <row r="147" spans="2:10" x14ac:dyDescent="0.2">
      <c r="B147" s="79"/>
      <c r="C147" s="28"/>
      <c r="D147" s="29"/>
      <c r="E147" s="84"/>
      <c r="G147" s="79"/>
      <c r="H147" s="28"/>
      <c r="I147" s="29"/>
      <c r="J147" s="85"/>
    </row>
    <row r="148" spans="2:10" x14ac:dyDescent="0.2">
      <c r="B148" s="79"/>
      <c r="C148" s="28"/>
      <c r="D148" s="29"/>
      <c r="E148" s="85"/>
      <c r="G148" s="79"/>
      <c r="H148" s="28"/>
      <c r="I148" s="29"/>
      <c r="J148" s="84"/>
    </row>
    <row r="149" spans="2:10" x14ac:dyDescent="0.2">
      <c r="B149" s="79"/>
      <c r="C149" s="28"/>
      <c r="D149" s="29"/>
      <c r="E149" s="84"/>
      <c r="G149" s="79"/>
      <c r="H149" s="28"/>
      <c r="I149" s="29"/>
      <c r="J149" s="85"/>
    </row>
    <row r="150" spans="2:10" x14ac:dyDescent="0.2">
      <c r="B150" s="79"/>
      <c r="C150" s="28"/>
      <c r="D150" s="29"/>
      <c r="E150" s="85"/>
      <c r="G150" s="79"/>
      <c r="H150" s="28"/>
      <c r="I150" s="29"/>
      <c r="J150" s="84"/>
    </row>
    <row r="151" spans="2:10" x14ac:dyDescent="0.2">
      <c r="B151" s="79"/>
      <c r="C151" s="28"/>
      <c r="D151" s="29"/>
      <c r="E151" s="85"/>
      <c r="G151" s="79"/>
      <c r="H151" s="28"/>
      <c r="I151" s="29"/>
      <c r="J151" s="85"/>
    </row>
    <row r="152" spans="2:10" x14ac:dyDescent="0.2">
      <c r="B152" s="79"/>
      <c r="C152" s="28"/>
      <c r="D152" s="29"/>
      <c r="E152" s="84"/>
      <c r="G152" s="79"/>
      <c r="H152" s="28"/>
      <c r="I152" s="29"/>
      <c r="J152" s="85"/>
    </row>
    <row r="153" spans="2:10" x14ac:dyDescent="0.2">
      <c r="B153" s="79"/>
      <c r="C153" s="28"/>
      <c r="D153" s="29"/>
      <c r="E153" s="85"/>
      <c r="G153" s="79"/>
      <c r="H153" s="28"/>
      <c r="I153" s="29"/>
      <c r="J153" s="84"/>
    </row>
    <row r="154" spans="2:10" x14ac:dyDescent="0.2">
      <c r="B154" s="79"/>
      <c r="C154" s="28"/>
      <c r="D154" s="29"/>
      <c r="E154" s="84"/>
      <c r="G154" s="79"/>
      <c r="H154" s="28"/>
      <c r="I154" s="29"/>
      <c r="J154" s="85"/>
    </row>
    <row r="155" spans="2:10" x14ac:dyDescent="0.2">
      <c r="B155" s="79"/>
      <c r="C155" s="28"/>
      <c r="D155" s="29"/>
      <c r="E155" s="85"/>
      <c r="G155" s="79"/>
      <c r="H155" s="28"/>
      <c r="I155" s="29"/>
      <c r="J155" s="84"/>
    </row>
    <row r="156" spans="2:10" x14ac:dyDescent="0.2">
      <c r="B156" s="79"/>
      <c r="C156" s="28"/>
      <c r="D156" s="29"/>
      <c r="E156" s="84"/>
      <c r="G156" s="79"/>
      <c r="H156" s="28"/>
      <c r="I156" s="29"/>
      <c r="J156" s="85"/>
    </row>
    <row r="157" spans="2:10" x14ac:dyDescent="0.2">
      <c r="B157" s="79"/>
      <c r="C157" s="28"/>
      <c r="D157" s="29"/>
      <c r="E157" s="85"/>
      <c r="G157" s="79"/>
      <c r="H157" s="28"/>
      <c r="I157" s="29"/>
      <c r="J157" s="85"/>
    </row>
    <row r="158" spans="2:10" x14ac:dyDescent="0.2">
      <c r="B158" s="79"/>
      <c r="C158" s="28"/>
      <c r="D158" s="29"/>
      <c r="E158" s="85"/>
      <c r="G158" s="79"/>
      <c r="H158" s="28"/>
      <c r="I158" s="29"/>
      <c r="J158" s="84"/>
    </row>
    <row r="159" spans="2:10" x14ac:dyDescent="0.2">
      <c r="B159" s="79"/>
      <c r="C159" s="28"/>
      <c r="D159" s="29"/>
      <c r="E159" s="84"/>
      <c r="G159" s="79"/>
      <c r="H159" s="28"/>
      <c r="I159" s="29"/>
      <c r="J159" s="85"/>
    </row>
    <row r="160" spans="2:10" x14ac:dyDescent="0.2">
      <c r="B160" s="79"/>
      <c r="C160" s="28"/>
      <c r="D160" s="29"/>
      <c r="E160" s="85"/>
      <c r="G160" s="79"/>
      <c r="H160" s="28"/>
      <c r="I160" s="29"/>
      <c r="J160" s="84"/>
    </row>
    <row r="161" spans="2:10" x14ac:dyDescent="0.2">
      <c r="B161" s="79"/>
      <c r="C161" s="28"/>
      <c r="D161" s="29"/>
      <c r="E161" s="84"/>
      <c r="G161" s="79"/>
      <c r="H161" s="28"/>
      <c r="I161" s="29"/>
      <c r="J161" s="85"/>
    </row>
    <row r="162" spans="2:10" x14ac:dyDescent="0.2">
      <c r="B162" s="79"/>
      <c r="C162" s="28"/>
      <c r="D162" s="29"/>
      <c r="E162" s="85"/>
      <c r="G162" s="79"/>
      <c r="H162" s="28"/>
      <c r="I162" s="29"/>
      <c r="J162" s="85"/>
    </row>
    <row r="163" spans="2:10" x14ac:dyDescent="0.2">
      <c r="B163" s="79"/>
      <c r="C163" s="28"/>
      <c r="D163" s="29"/>
      <c r="E163" s="85"/>
      <c r="G163" s="79"/>
      <c r="H163" s="28"/>
      <c r="I163" s="29"/>
      <c r="J163" s="84"/>
    </row>
    <row r="164" spans="2:10" x14ac:dyDescent="0.2">
      <c r="B164" s="79"/>
      <c r="C164" s="28"/>
      <c r="D164" s="29"/>
      <c r="E164" s="84"/>
      <c r="G164" s="79"/>
      <c r="H164" s="28"/>
      <c r="I164" s="29"/>
      <c r="J164" s="85"/>
    </row>
    <row r="165" spans="2:10" x14ac:dyDescent="0.2">
      <c r="B165" s="79"/>
      <c r="C165" s="28"/>
      <c r="D165" s="29"/>
      <c r="E165" s="85"/>
      <c r="G165" s="79"/>
      <c r="H165" s="28"/>
      <c r="I165" s="29"/>
      <c r="J165" s="84"/>
    </row>
    <row r="166" spans="2:10" x14ac:dyDescent="0.2">
      <c r="B166" s="79"/>
      <c r="C166" s="28"/>
      <c r="D166" s="29"/>
      <c r="E166" s="84"/>
      <c r="G166" s="79"/>
      <c r="H166" s="28"/>
      <c r="I166" s="29"/>
      <c r="J166" s="85"/>
    </row>
    <row r="167" spans="2:10" x14ac:dyDescent="0.2">
      <c r="B167" s="79"/>
      <c r="C167" s="28"/>
      <c r="D167" s="29"/>
      <c r="E167" s="85"/>
      <c r="G167" s="79"/>
      <c r="H167" s="28"/>
      <c r="I167" s="29"/>
      <c r="J167" s="85"/>
    </row>
    <row r="168" spans="2:10" x14ac:dyDescent="0.2">
      <c r="B168" s="79"/>
      <c r="C168" s="28"/>
      <c r="D168" s="29"/>
      <c r="E168" s="84"/>
      <c r="G168" s="79"/>
      <c r="H168" s="28"/>
      <c r="I168" s="29"/>
      <c r="J168" s="84"/>
    </row>
    <row r="169" spans="2:10" x14ac:dyDescent="0.2">
      <c r="B169" s="79"/>
      <c r="C169" s="28"/>
      <c r="D169" s="29"/>
      <c r="E169" s="85"/>
      <c r="G169" s="79"/>
      <c r="H169" s="28"/>
      <c r="I169" s="29"/>
      <c r="J169" s="85"/>
    </row>
    <row r="170" spans="2:10" x14ac:dyDescent="0.2">
      <c r="B170" s="79"/>
      <c r="C170" s="28"/>
      <c r="D170" s="29"/>
      <c r="E170" s="85"/>
      <c r="G170" s="79"/>
      <c r="H170" s="28"/>
      <c r="I170" s="29"/>
      <c r="J170" s="84"/>
    </row>
    <row r="171" spans="2:10" x14ac:dyDescent="0.2">
      <c r="B171" s="79"/>
      <c r="C171" s="28"/>
      <c r="D171" s="29"/>
      <c r="E171" s="84"/>
      <c r="G171" s="79"/>
      <c r="H171" s="28"/>
      <c r="I171" s="29"/>
      <c r="J171" s="85"/>
    </row>
    <row r="172" spans="2:10" x14ac:dyDescent="0.2">
      <c r="B172" s="79"/>
      <c r="C172" s="28"/>
      <c r="D172" s="29"/>
      <c r="E172" s="85"/>
      <c r="G172" s="79"/>
      <c r="H172" s="28"/>
      <c r="I172" s="29"/>
      <c r="J172" s="85"/>
    </row>
    <row r="173" spans="2:10" x14ac:dyDescent="0.2">
      <c r="B173" s="79"/>
      <c r="C173" s="28"/>
      <c r="D173" s="29"/>
      <c r="E173" s="84"/>
      <c r="G173" s="79"/>
      <c r="H173" s="28"/>
      <c r="I173" s="29"/>
      <c r="J173" s="84"/>
    </row>
    <row r="174" spans="2:10" x14ac:dyDescent="0.2">
      <c r="B174" s="79"/>
      <c r="C174" s="28"/>
      <c r="D174" s="29"/>
      <c r="E174" s="85"/>
      <c r="G174" s="79"/>
      <c r="H174" s="28"/>
      <c r="I174" s="29"/>
      <c r="J174" s="85"/>
    </row>
    <row r="175" spans="2:10" x14ac:dyDescent="0.2">
      <c r="B175" s="79"/>
      <c r="C175" s="28"/>
      <c r="D175" s="29"/>
      <c r="E175" s="85"/>
      <c r="G175" s="79"/>
      <c r="H175" s="28"/>
      <c r="I175" s="29"/>
      <c r="J175" s="84"/>
    </row>
    <row r="176" spans="2:10" x14ac:dyDescent="0.2">
      <c r="B176" s="79"/>
      <c r="C176" s="28"/>
      <c r="D176" s="29"/>
      <c r="E176" s="84"/>
      <c r="G176" s="79"/>
      <c r="H176" s="28"/>
      <c r="I176" s="29"/>
      <c r="J176" s="85"/>
    </row>
    <row r="177" spans="2:10" x14ac:dyDescent="0.2">
      <c r="B177" s="79"/>
      <c r="C177" s="28"/>
      <c r="D177" s="29"/>
      <c r="E177" s="85"/>
      <c r="G177" s="79"/>
      <c r="H177" s="28"/>
      <c r="I177" s="29"/>
      <c r="J177" s="85"/>
    </row>
    <row r="178" spans="2:10" x14ac:dyDescent="0.2">
      <c r="B178" s="79"/>
      <c r="C178" s="28"/>
      <c r="D178" s="29"/>
      <c r="E178" s="84"/>
      <c r="G178" s="79"/>
      <c r="H178" s="28"/>
      <c r="I178" s="29"/>
      <c r="J178" s="84"/>
    </row>
    <row r="179" spans="2:10" x14ac:dyDescent="0.2">
      <c r="B179" s="79"/>
      <c r="C179" s="28"/>
      <c r="D179" s="29"/>
      <c r="E179" s="85"/>
      <c r="G179" s="79"/>
      <c r="H179" s="28"/>
      <c r="I179" s="29"/>
      <c r="J179" s="85"/>
    </row>
    <row r="180" spans="2:10" x14ac:dyDescent="0.2">
      <c r="B180" s="79"/>
      <c r="C180" s="28"/>
      <c r="D180" s="29"/>
      <c r="E180" s="84"/>
      <c r="G180" s="79"/>
      <c r="H180" s="28"/>
      <c r="I180" s="29"/>
      <c r="J180" s="84"/>
    </row>
    <row r="181" spans="2:10" x14ac:dyDescent="0.2">
      <c r="B181" s="79"/>
      <c r="C181" s="28"/>
      <c r="D181" s="29"/>
      <c r="E181" s="85"/>
      <c r="G181" s="79"/>
      <c r="H181" s="28"/>
      <c r="I181" s="29"/>
      <c r="J181" s="85"/>
    </row>
    <row r="182" spans="2:10" x14ac:dyDescent="0.2">
      <c r="B182" s="79"/>
      <c r="C182" s="28"/>
      <c r="D182" s="29"/>
      <c r="E182" s="85"/>
      <c r="G182" s="79"/>
      <c r="H182" s="28"/>
      <c r="I182" s="29"/>
      <c r="J182" s="85"/>
    </row>
    <row r="183" spans="2:10" x14ac:dyDescent="0.2">
      <c r="B183" s="79"/>
      <c r="C183" s="28"/>
      <c r="D183" s="29"/>
      <c r="E183" s="84"/>
      <c r="G183" s="79"/>
      <c r="H183" s="28"/>
      <c r="I183" s="29"/>
      <c r="J183" s="84"/>
    </row>
    <row r="184" spans="2:10" x14ac:dyDescent="0.2">
      <c r="B184" s="79"/>
      <c r="C184" s="28"/>
      <c r="D184" s="29"/>
      <c r="E184" s="85"/>
      <c r="G184" s="79"/>
      <c r="H184" s="28"/>
      <c r="I184" s="29"/>
      <c r="J184" s="85"/>
    </row>
    <row r="185" spans="2:10" x14ac:dyDescent="0.2">
      <c r="B185" s="79"/>
      <c r="C185" s="28"/>
      <c r="D185" s="29"/>
      <c r="E185" s="84"/>
      <c r="G185" s="79"/>
      <c r="H185" s="28"/>
      <c r="I185" s="29"/>
      <c r="J185" s="84"/>
    </row>
    <row r="186" spans="2:10" x14ac:dyDescent="0.2">
      <c r="B186" s="79"/>
      <c r="C186" s="28"/>
      <c r="D186" s="29"/>
      <c r="E186" s="85"/>
      <c r="G186" s="79"/>
      <c r="H186" s="28"/>
      <c r="I186" s="29"/>
      <c r="J186" s="85"/>
    </row>
    <row r="187" spans="2:10" x14ac:dyDescent="0.2">
      <c r="B187" s="79"/>
      <c r="C187" s="28"/>
      <c r="D187" s="29"/>
      <c r="E187" s="85"/>
      <c r="G187" s="79"/>
      <c r="H187" s="28"/>
      <c r="I187" s="29"/>
      <c r="J187" s="85"/>
    </row>
    <row r="188" spans="2:10" x14ac:dyDescent="0.2">
      <c r="B188" s="79"/>
      <c r="C188" s="28"/>
      <c r="D188" s="29"/>
      <c r="E188" s="84"/>
      <c r="G188" s="79"/>
      <c r="H188" s="28"/>
      <c r="I188" s="29"/>
      <c r="J188" s="84"/>
    </row>
    <row r="189" spans="2:10" x14ac:dyDescent="0.2">
      <c r="B189" s="79"/>
      <c r="C189" s="28"/>
      <c r="D189" s="29"/>
      <c r="E189" s="85"/>
      <c r="G189" s="79"/>
      <c r="H189" s="28"/>
      <c r="I189" s="29"/>
      <c r="J189" s="85"/>
    </row>
    <row r="190" spans="2:10" x14ac:dyDescent="0.2">
      <c r="B190" s="79"/>
      <c r="C190" s="28"/>
      <c r="D190" s="29"/>
      <c r="E190" s="84"/>
      <c r="G190" s="79"/>
      <c r="H190" s="28"/>
      <c r="I190" s="29"/>
      <c r="J190" s="84"/>
    </row>
    <row r="191" spans="2:10" x14ac:dyDescent="0.2">
      <c r="B191" s="79"/>
      <c r="C191" s="28"/>
      <c r="D191" s="29"/>
      <c r="E191" s="85"/>
      <c r="G191" s="79"/>
      <c r="H191" s="28"/>
      <c r="I191" s="29"/>
      <c r="J191" s="85"/>
    </row>
    <row r="192" spans="2:10" x14ac:dyDescent="0.2">
      <c r="B192" s="79"/>
      <c r="C192" s="28"/>
      <c r="D192" s="29"/>
      <c r="E192" s="84"/>
      <c r="G192" s="79"/>
      <c r="H192" s="28"/>
      <c r="I192" s="29"/>
      <c r="J192" s="85"/>
    </row>
    <row r="193" spans="2:10" x14ac:dyDescent="0.2">
      <c r="B193" s="79"/>
      <c r="C193" s="28"/>
      <c r="D193" s="29"/>
      <c r="E193" s="85"/>
      <c r="G193" s="79"/>
      <c r="H193" s="28"/>
      <c r="I193" s="29"/>
      <c r="J193" s="84"/>
    </row>
    <row r="194" spans="2:10" x14ac:dyDescent="0.2">
      <c r="B194" s="79"/>
      <c r="C194" s="28"/>
      <c r="D194" s="29"/>
      <c r="E194" s="85"/>
      <c r="G194" s="79"/>
      <c r="H194" s="28"/>
      <c r="I194" s="29"/>
      <c r="J194" s="85"/>
    </row>
    <row r="195" spans="2:10" x14ac:dyDescent="0.2">
      <c r="B195" s="79"/>
      <c r="C195" s="28"/>
      <c r="D195" s="29"/>
      <c r="E195" s="84"/>
      <c r="G195" s="79"/>
      <c r="H195" s="28"/>
      <c r="I195" s="29"/>
      <c r="J195" s="84"/>
    </row>
    <row r="196" spans="2:10" x14ac:dyDescent="0.2">
      <c r="B196" s="79"/>
      <c r="C196" s="28"/>
      <c r="D196" s="29"/>
      <c r="E196" s="85"/>
      <c r="G196" s="79"/>
      <c r="H196" s="28"/>
      <c r="I196" s="29"/>
      <c r="J196" s="85"/>
    </row>
    <row r="197" spans="2:10" x14ac:dyDescent="0.2">
      <c r="B197" s="79"/>
      <c r="C197" s="28"/>
      <c r="D197" s="29"/>
      <c r="E197" s="84"/>
      <c r="G197" s="79"/>
      <c r="H197" s="28"/>
      <c r="I197" s="29"/>
      <c r="J197" s="85"/>
    </row>
    <row r="198" spans="2:10" x14ac:dyDescent="0.2">
      <c r="B198" s="79"/>
      <c r="C198" s="28"/>
      <c r="D198" s="29"/>
      <c r="E198" s="85"/>
      <c r="G198" s="79"/>
      <c r="H198" s="28"/>
      <c r="I198" s="29"/>
      <c r="J198" s="84"/>
    </row>
    <row r="199" spans="2:10" x14ac:dyDescent="0.2">
      <c r="B199" s="79"/>
      <c r="C199" s="28"/>
      <c r="D199" s="29"/>
      <c r="E199" s="85"/>
      <c r="G199" s="79"/>
      <c r="H199" s="28"/>
      <c r="I199" s="29"/>
      <c r="J199" s="85"/>
    </row>
    <row r="200" spans="2:10" x14ac:dyDescent="0.2">
      <c r="B200" s="79"/>
      <c r="C200" s="28"/>
      <c r="D200" s="29"/>
      <c r="E200" s="84"/>
      <c r="G200" s="79"/>
      <c r="H200" s="28"/>
      <c r="I200" s="29"/>
      <c r="J200" s="84"/>
    </row>
    <row r="201" spans="2:10" x14ac:dyDescent="0.2">
      <c r="B201" s="79"/>
      <c r="C201" s="28"/>
      <c r="D201" s="29"/>
      <c r="E201" s="85"/>
      <c r="G201" s="79"/>
      <c r="H201" s="28"/>
      <c r="I201" s="29"/>
      <c r="J201" s="85"/>
    </row>
    <row r="202" spans="2:10" x14ac:dyDescent="0.2">
      <c r="B202" s="79"/>
      <c r="C202" s="28"/>
      <c r="D202" s="29"/>
      <c r="E202" s="84"/>
      <c r="G202" s="79"/>
      <c r="H202" s="28"/>
      <c r="I202" s="29"/>
      <c r="J202" s="85"/>
    </row>
    <row r="203" spans="2:10" x14ac:dyDescent="0.2">
      <c r="B203" s="79"/>
      <c r="C203" s="28"/>
      <c r="D203" s="29"/>
      <c r="E203" s="85"/>
      <c r="G203" s="79"/>
      <c r="H203" s="28"/>
      <c r="I203" s="29"/>
      <c r="J203" s="84"/>
    </row>
    <row r="204" spans="2:10" x14ac:dyDescent="0.2">
      <c r="B204" s="79"/>
      <c r="C204" s="28"/>
      <c r="D204" s="29"/>
      <c r="E204" s="84"/>
      <c r="G204" s="79"/>
      <c r="H204" s="28"/>
      <c r="I204" s="29"/>
      <c r="J204" s="85"/>
    </row>
    <row r="205" spans="2:10" x14ac:dyDescent="0.2">
      <c r="B205" s="79"/>
      <c r="C205" s="28"/>
      <c r="D205" s="29"/>
      <c r="E205" s="85"/>
      <c r="G205" s="79"/>
      <c r="H205" s="28"/>
      <c r="I205" s="29"/>
      <c r="J205" s="84"/>
    </row>
    <row r="206" spans="2:10" x14ac:dyDescent="0.2">
      <c r="B206" s="79"/>
      <c r="C206" s="28"/>
      <c r="D206" s="29"/>
      <c r="E206" s="85"/>
      <c r="G206" s="79"/>
      <c r="H206" s="28"/>
      <c r="I206" s="29"/>
      <c r="J206" s="85"/>
    </row>
    <row r="207" spans="2:10" x14ac:dyDescent="0.2">
      <c r="B207" s="79"/>
      <c r="C207" s="28"/>
      <c r="D207" s="29"/>
      <c r="E207" s="84"/>
      <c r="G207" s="79"/>
      <c r="H207" s="28"/>
      <c r="I207" s="29"/>
      <c r="J207" s="85"/>
    </row>
    <row r="208" spans="2:10" x14ac:dyDescent="0.2">
      <c r="B208" s="79"/>
      <c r="C208" s="28"/>
      <c r="D208" s="29"/>
      <c r="E208" s="85"/>
      <c r="G208" s="79"/>
      <c r="H208" s="28"/>
      <c r="I208" s="29"/>
      <c r="J208" s="84"/>
    </row>
    <row r="209" spans="2:10" x14ac:dyDescent="0.2">
      <c r="B209" s="79"/>
      <c r="C209" s="28"/>
      <c r="D209" s="29"/>
      <c r="E209" s="84"/>
      <c r="G209" s="79"/>
      <c r="H209" s="28"/>
      <c r="I209" s="29"/>
      <c r="J209" s="85"/>
    </row>
    <row r="210" spans="2:10" x14ac:dyDescent="0.2">
      <c r="B210" s="79"/>
      <c r="C210" s="28"/>
      <c r="D210" s="29"/>
      <c r="E210" s="85"/>
      <c r="G210" s="79"/>
      <c r="H210" s="28"/>
      <c r="I210" s="29"/>
      <c r="J210" s="84"/>
    </row>
    <row r="211" spans="2:10" x14ac:dyDescent="0.2">
      <c r="B211" s="79"/>
      <c r="C211" s="28"/>
      <c r="D211" s="29"/>
      <c r="E211" s="85"/>
      <c r="G211" s="79"/>
      <c r="H211" s="28"/>
      <c r="I211" s="29"/>
      <c r="J211" s="85"/>
    </row>
    <row r="212" spans="2:10" x14ac:dyDescent="0.2">
      <c r="B212" s="79"/>
      <c r="C212" s="28"/>
      <c r="D212" s="29"/>
      <c r="E212" s="84"/>
      <c r="G212" s="79"/>
      <c r="H212" s="28"/>
      <c r="I212" s="29"/>
      <c r="J212" s="85"/>
    </row>
    <row r="213" spans="2:10" x14ac:dyDescent="0.2">
      <c r="B213" s="79"/>
      <c r="C213" s="28"/>
      <c r="D213" s="29"/>
      <c r="E213" s="85"/>
      <c r="G213" s="79"/>
      <c r="H213" s="28"/>
      <c r="I213" s="29"/>
      <c r="J213" s="84"/>
    </row>
    <row r="214" spans="2:10" x14ac:dyDescent="0.2">
      <c r="B214" s="79"/>
      <c r="C214" s="28"/>
      <c r="D214" s="29"/>
      <c r="E214" s="84"/>
      <c r="G214" s="79"/>
      <c r="H214" s="28"/>
      <c r="I214" s="29"/>
      <c r="J214" s="85"/>
    </row>
    <row r="215" spans="2:10" x14ac:dyDescent="0.2">
      <c r="B215" s="79"/>
      <c r="C215" s="28"/>
      <c r="D215" s="29"/>
      <c r="E215" s="85"/>
      <c r="G215" s="79"/>
      <c r="H215" s="28"/>
      <c r="I215" s="29"/>
      <c r="J215" s="84"/>
    </row>
    <row r="216" spans="2:10" x14ac:dyDescent="0.2">
      <c r="B216" s="79"/>
      <c r="C216" s="28"/>
      <c r="D216" s="29"/>
      <c r="E216" s="84"/>
      <c r="G216" s="79"/>
      <c r="H216" s="28"/>
      <c r="I216" s="29"/>
      <c r="J216" s="85"/>
    </row>
    <row r="217" spans="2:10" x14ac:dyDescent="0.2">
      <c r="B217" s="79"/>
      <c r="C217" s="28"/>
      <c r="D217" s="29"/>
      <c r="E217" s="85"/>
      <c r="G217" s="79"/>
      <c r="H217" s="28"/>
      <c r="I217" s="29"/>
      <c r="J217" s="85"/>
    </row>
    <row r="218" spans="2:10" x14ac:dyDescent="0.2">
      <c r="B218" s="79"/>
      <c r="C218" s="28"/>
      <c r="D218" s="29"/>
      <c r="E218" s="85"/>
      <c r="G218" s="79"/>
      <c r="H218" s="28"/>
      <c r="I218" s="29"/>
      <c r="J218" s="84"/>
    </row>
    <row r="219" spans="2:10" x14ac:dyDescent="0.2">
      <c r="B219" s="79"/>
      <c r="C219" s="28"/>
      <c r="D219" s="29"/>
      <c r="E219" s="84"/>
      <c r="G219" s="79"/>
      <c r="H219" s="28"/>
      <c r="I219" s="29"/>
      <c r="J219" s="85"/>
    </row>
    <row r="220" spans="2:10" x14ac:dyDescent="0.2">
      <c r="B220" s="79"/>
      <c r="C220" s="28"/>
      <c r="D220" s="29"/>
      <c r="E220" s="85"/>
      <c r="G220" s="79"/>
      <c r="H220" s="28"/>
      <c r="I220" s="29"/>
      <c r="J220" s="84"/>
    </row>
    <row r="221" spans="2:10" x14ac:dyDescent="0.2">
      <c r="B221" s="79"/>
      <c r="C221" s="28"/>
      <c r="D221" s="29"/>
      <c r="E221" s="84"/>
      <c r="G221" s="79"/>
      <c r="H221" s="28"/>
      <c r="I221" s="29"/>
      <c r="J221" s="85"/>
    </row>
    <row r="222" spans="2:10" x14ac:dyDescent="0.2">
      <c r="B222" s="79"/>
      <c r="C222" s="28"/>
      <c r="D222" s="29"/>
      <c r="E222" s="85"/>
      <c r="G222" s="79"/>
      <c r="H222" s="28"/>
      <c r="I222" s="29"/>
      <c r="J222" s="85"/>
    </row>
    <row r="223" spans="2:10" x14ac:dyDescent="0.2">
      <c r="B223" s="79"/>
      <c r="C223" s="28"/>
      <c r="D223" s="29"/>
      <c r="E223" s="85"/>
      <c r="G223" s="79"/>
      <c r="H223" s="28"/>
      <c r="I223" s="29"/>
      <c r="J223" s="84"/>
    </row>
    <row r="224" spans="2:10" x14ac:dyDescent="0.2">
      <c r="B224" s="79"/>
      <c r="C224" s="28"/>
      <c r="D224" s="29"/>
      <c r="E224" s="84"/>
      <c r="G224" s="79"/>
      <c r="H224" s="28"/>
      <c r="I224" s="29"/>
      <c r="J224" s="85"/>
    </row>
    <row r="225" spans="2:10" x14ac:dyDescent="0.2">
      <c r="B225" s="79"/>
      <c r="C225" s="28"/>
      <c r="D225" s="29"/>
      <c r="E225" s="85"/>
      <c r="G225" s="79"/>
      <c r="H225" s="28"/>
      <c r="I225" s="29"/>
      <c r="J225" s="84"/>
    </row>
    <row r="226" spans="2:10" x14ac:dyDescent="0.2">
      <c r="B226" s="79"/>
      <c r="C226" s="28"/>
      <c r="D226" s="29"/>
      <c r="E226" s="84"/>
      <c r="G226" s="79"/>
      <c r="H226" s="28"/>
      <c r="I226" s="29"/>
      <c r="J226" s="85"/>
    </row>
    <row r="227" spans="2:10" x14ac:dyDescent="0.2">
      <c r="B227" s="79"/>
      <c r="C227" s="28"/>
      <c r="D227" s="29"/>
      <c r="E227" s="85"/>
      <c r="G227" s="79"/>
      <c r="H227" s="28"/>
      <c r="I227" s="29"/>
      <c r="J227" s="85"/>
    </row>
    <row r="228" spans="2:10" x14ac:dyDescent="0.2">
      <c r="B228" s="79"/>
      <c r="C228" s="28"/>
      <c r="D228" s="29"/>
      <c r="E228" s="84"/>
      <c r="G228" s="79"/>
      <c r="H228" s="28"/>
      <c r="I228" s="29"/>
      <c r="J228" s="84"/>
    </row>
    <row r="229" spans="2:10" x14ac:dyDescent="0.2">
      <c r="B229" s="79"/>
      <c r="C229" s="28"/>
      <c r="D229" s="29"/>
      <c r="E229" s="85"/>
      <c r="G229" s="79"/>
      <c r="H229" s="28"/>
      <c r="I229" s="29"/>
      <c r="J229" s="85"/>
    </row>
    <row r="230" spans="2:10" x14ac:dyDescent="0.2">
      <c r="B230" s="79"/>
      <c r="C230" s="28"/>
      <c r="D230" s="29"/>
      <c r="E230" s="85"/>
      <c r="G230" s="79"/>
      <c r="H230" s="28"/>
      <c r="I230" s="29"/>
      <c r="J230" s="84"/>
    </row>
    <row r="231" spans="2:10" x14ac:dyDescent="0.2">
      <c r="B231" s="79"/>
      <c r="C231" s="28"/>
      <c r="D231" s="29"/>
      <c r="E231" s="84"/>
      <c r="G231" s="79"/>
      <c r="H231" s="28"/>
      <c r="I231" s="29"/>
      <c r="J231" s="85"/>
    </row>
    <row r="232" spans="2:10" x14ac:dyDescent="0.2">
      <c r="B232" s="79"/>
      <c r="C232" s="28"/>
      <c r="D232" s="29"/>
      <c r="E232" s="85"/>
      <c r="G232" s="79"/>
      <c r="H232" s="28"/>
      <c r="I232" s="29"/>
      <c r="J232" s="85"/>
    </row>
    <row r="233" spans="2:10" x14ac:dyDescent="0.2">
      <c r="B233" s="79"/>
      <c r="C233" s="28"/>
      <c r="D233" s="29"/>
      <c r="E233" s="84"/>
      <c r="G233" s="79"/>
      <c r="H233" s="28"/>
      <c r="I233" s="29"/>
      <c r="J233" s="84"/>
    </row>
    <row r="234" spans="2:10" x14ac:dyDescent="0.2">
      <c r="B234" s="79"/>
      <c r="C234" s="28"/>
      <c r="D234" s="29"/>
      <c r="E234" s="85"/>
      <c r="G234" s="79"/>
      <c r="H234" s="28"/>
      <c r="I234" s="29"/>
      <c r="J234" s="85"/>
    </row>
    <row r="235" spans="2:10" x14ac:dyDescent="0.2">
      <c r="B235" s="79"/>
      <c r="C235" s="28"/>
      <c r="D235" s="29"/>
      <c r="E235" s="85"/>
      <c r="G235" s="79"/>
      <c r="H235" s="28"/>
      <c r="I235" s="29"/>
      <c r="J235" s="84"/>
    </row>
    <row r="236" spans="2:10" x14ac:dyDescent="0.2">
      <c r="B236" s="79"/>
      <c r="C236" s="28"/>
      <c r="D236" s="29"/>
      <c r="E236" s="84"/>
      <c r="G236" s="79"/>
      <c r="H236" s="28"/>
      <c r="I236" s="29"/>
      <c r="J236" s="85"/>
    </row>
    <row r="237" spans="2:10" x14ac:dyDescent="0.2">
      <c r="B237" s="79"/>
      <c r="C237" s="28"/>
      <c r="D237" s="29"/>
      <c r="E237" s="85"/>
      <c r="G237" s="79"/>
      <c r="H237" s="28"/>
      <c r="I237" s="29"/>
      <c r="J237" s="85"/>
    </row>
    <row r="238" spans="2:10" x14ac:dyDescent="0.2">
      <c r="B238" s="79"/>
      <c r="C238" s="28"/>
      <c r="D238" s="29"/>
      <c r="E238" s="84"/>
      <c r="G238" s="79"/>
      <c r="H238" s="28"/>
      <c r="I238" s="29"/>
      <c r="J238" s="84"/>
    </row>
    <row r="239" spans="2:10" x14ac:dyDescent="0.2">
      <c r="B239" s="79"/>
      <c r="C239" s="28"/>
      <c r="D239" s="29"/>
      <c r="E239" s="85"/>
      <c r="G239" s="79"/>
      <c r="H239" s="28"/>
      <c r="I239" s="29"/>
      <c r="J239" s="85"/>
    </row>
    <row r="240" spans="2:10" x14ac:dyDescent="0.2">
      <c r="B240" s="79"/>
      <c r="C240" s="28"/>
      <c r="D240" s="29"/>
      <c r="E240" s="84"/>
      <c r="G240" s="79"/>
      <c r="H240" s="28"/>
      <c r="I240" s="29"/>
      <c r="J240" s="84"/>
    </row>
    <row r="241" spans="2:10" x14ac:dyDescent="0.2">
      <c r="B241" s="79"/>
      <c r="C241" s="28"/>
      <c r="D241" s="29"/>
      <c r="E241" s="85"/>
      <c r="G241" s="79"/>
      <c r="H241" s="28"/>
      <c r="I241" s="29"/>
      <c r="J241" s="85"/>
    </row>
    <row r="242" spans="2:10" x14ac:dyDescent="0.2">
      <c r="B242" s="79"/>
      <c r="C242" s="28"/>
      <c r="D242" s="29"/>
      <c r="E242" s="85"/>
      <c r="G242" s="79"/>
      <c r="H242" s="28"/>
      <c r="I242" s="29"/>
      <c r="J242" s="85"/>
    </row>
    <row r="243" spans="2:10" x14ac:dyDescent="0.2">
      <c r="B243" s="79"/>
      <c r="C243" s="28"/>
      <c r="D243" s="29"/>
      <c r="E243" s="84"/>
      <c r="G243" s="79"/>
      <c r="H243" s="28"/>
      <c r="I243" s="29"/>
      <c r="J243" s="84"/>
    </row>
    <row r="244" spans="2:10" x14ac:dyDescent="0.2">
      <c r="B244" s="79"/>
      <c r="C244" s="28"/>
      <c r="D244" s="29"/>
      <c r="E244" s="85"/>
      <c r="G244" s="79"/>
      <c r="H244" s="28"/>
      <c r="I244" s="29"/>
      <c r="J244" s="85"/>
    </row>
    <row r="245" spans="2:10" x14ac:dyDescent="0.2">
      <c r="B245" s="79"/>
      <c r="C245" s="28"/>
      <c r="D245" s="29"/>
      <c r="E245" s="84"/>
      <c r="G245" s="79"/>
      <c r="H245" s="28"/>
      <c r="I245" s="29"/>
      <c r="J245" s="84"/>
    </row>
    <row r="246" spans="2:10" x14ac:dyDescent="0.2">
      <c r="B246" s="79"/>
      <c r="C246" s="28"/>
      <c r="D246" s="29"/>
      <c r="E246" s="85"/>
      <c r="G246" s="79"/>
      <c r="H246" s="28"/>
      <c r="I246" s="29"/>
      <c r="J246" s="85"/>
    </row>
    <row r="247" spans="2:10" x14ac:dyDescent="0.2">
      <c r="B247" s="79"/>
      <c r="C247" s="28"/>
      <c r="D247" s="29"/>
      <c r="E247" s="85"/>
      <c r="G247" s="79"/>
      <c r="H247" s="28"/>
      <c r="I247" s="29"/>
      <c r="J247" s="85"/>
    </row>
    <row r="248" spans="2:10" x14ac:dyDescent="0.2">
      <c r="B248" s="79"/>
      <c r="C248" s="28"/>
      <c r="D248" s="29"/>
      <c r="E248" s="84"/>
      <c r="G248" s="79"/>
      <c r="H248" s="28"/>
      <c r="I248" s="29"/>
      <c r="J248" s="84"/>
    </row>
    <row r="249" spans="2:10" x14ac:dyDescent="0.2">
      <c r="B249" s="79"/>
      <c r="C249" s="28"/>
      <c r="D249" s="29"/>
      <c r="E249" s="85"/>
      <c r="G249" s="79"/>
      <c r="H249" s="28"/>
      <c r="I249" s="29"/>
      <c r="J249" s="85"/>
    </row>
    <row r="250" spans="2:10" x14ac:dyDescent="0.2">
      <c r="B250" s="79"/>
      <c r="C250" s="28"/>
      <c r="D250" s="29"/>
      <c r="E250" s="84"/>
      <c r="G250" s="79"/>
      <c r="H250" s="28"/>
      <c r="I250" s="29"/>
      <c r="J250" s="84"/>
    </row>
    <row r="251" spans="2:10" x14ac:dyDescent="0.2">
      <c r="B251" s="79"/>
      <c r="C251" s="28"/>
      <c r="D251" s="29"/>
      <c r="E251" s="85"/>
      <c r="G251" s="79"/>
      <c r="H251" s="28"/>
      <c r="I251" s="29"/>
      <c r="J251" s="85"/>
    </row>
    <row r="252" spans="2:10" x14ac:dyDescent="0.2">
      <c r="B252" s="79"/>
      <c r="C252" s="28"/>
      <c r="D252" s="29"/>
      <c r="E252" s="84"/>
      <c r="G252" s="79"/>
      <c r="H252" s="28"/>
      <c r="I252" s="29"/>
      <c r="J252" s="85"/>
    </row>
    <row r="253" spans="2:10" x14ac:dyDescent="0.2">
      <c r="B253" s="79"/>
      <c r="C253" s="28"/>
      <c r="D253" s="29"/>
      <c r="E253" s="85"/>
      <c r="G253" s="79"/>
      <c r="H253" s="28"/>
      <c r="I253" s="29"/>
      <c r="J253" s="84"/>
    </row>
    <row r="254" spans="2:10" x14ac:dyDescent="0.2">
      <c r="B254" s="79"/>
      <c r="C254" s="28"/>
      <c r="D254" s="29"/>
      <c r="E254" s="85"/>
      <c r="G254" s="79"/>
      <c r="H254" s="28"/>
      <c r="I254" s="29"/>
      <c r="J254" s="85"/>
    </row>
    <row r="255" spans="2:10" x14ac:dyDescent="0.2">
      <c r="B255" s="79"/>
      <c r="C255" s="28"/>
      <c r="D255" s="29"/>
      <c r="E255" s="84"/>
      <c r="G255" s="79"/>
      <c r="H255" s="28"/>
      <c r="I255" s="29"/>
      <c r="J255" s="84"/>
    </row>
    <row r="256" spans="2:10" x14ac:dyDescent="0.2">
      <c r="B256" s="79"/>
      <c r="C256" s="28"/>
      <c r="D256" s="29"/>
      <c r="E256" s="85"/>
      <c r="G256" s="79"/>
      <c r="H256" s="28"/>
      <c r="I256" s="29"/>
      <c r="J256" s="85"/>
    </row>
    <row r="257" spans="2:10" x14ac:dyDescent="0.2">
      <c r="B257" s="79"/>
      <c r="C257" s="28"/>
      <c r="D257" s="29"/>
      <c r="E257" s="84"/>
      <c r="G257" s="79"/>
      <c r="H257" s="28"/>
      <c r="I257" s="29"/>
      <c r="J257" s="85"/>
    </row>
    <row r="258" spans="2:10" x14ac:dyDescent="0.2">
      <c r="B258" s="79"/>
      <c r="C258" s="28"/>
      <c r="D258" s="29"/>
      <c r="E258" s="85"/>
      <c r="G258" s="79"/>
      <c r="H258" s="28"/>
      <c r="I258" s="29"/>
      <c r="J258" s="84"/>
    </row>
    <row r="259" spans="2:10" x14ac:dyDescent="0.2">
      <c r="B259" s="79"/>
      <c r="C259" s="28"/>
      <c r="D259" s="29"/>
      <c r="E259" s="85"/>
      <c r="G259" s="79"/>
      <c r="H259" s="28"/>
      <c r="I259" s="29"/>
      <c r="J259" s="85"/>
    </row>
    <row r="260" spans="2:10" x14ac:dyDescent="0.2">
      <c r="B260" s="79"/>
      <c r="C260" s="28"/>
      <c r="D260" s="29"/>
      <c r="E260" s="84"/>
      <c r="G260" s="79"/>
      <c r="H260" s="28"/>
      <c r="I260" s="29"/>
      <c r="J260" s="84"/>
    </row>
    <row r="261" spans="2:10" x14ac:dyDescent="0.2">
      <c r="B261" s="79"/>
      <c r="C261" s="28"/>
      <c r="D261" s="29"/>
      <c r="E261" s="85"/>
      <c r="G261" s="79"/>
      <c r="H261" s="28"/>
      <c r="I261" s="29"/>
      <c r="J261" s="85"/>
    </row>
    <row r="262" spans="2:10" x14ac:dyDescent="0.2">
      <c r="B262" s="79"/>
      <c r="C262" s="28"/>
      <c r="D262" s="29"/>
      <c r="E262" s="84"/>
      <c r="G262" s="79"/>
      <c r="H262" s="28"/>
      <c r="I262" s="29"/>
      <c r="J262" s="85"/>
    </row>
    <row r="263" spans="2:10" x14ac:dyDescent="0.2">
      <c r="B263" s="79"/>
      <c r="C263" s="28"/>
      <c r="D263" s="29"/>
      <c r="E263" s="85"/>
      <c r="G263" s="79"/>
      <c r="H263" s="28"/>
      <c r="I263" s="29"/>
      <c r="J263" s="84"/>
    </row>
    <row r="264" spans="2:10" x14ac:dyDescent="0.2">
      <c r="B264" s="79"/>
      <c r="C264" s="28"/>
      <c r="D264" s="29"/>
      <c r="E264" s="84"/>
      <c r="G264" s="79"/>
      <c r="H264" s="28"/>
      <c r="I264" s="29"/>
      <c r="J264" s="85"/>
    </row>
    <row r="265" spans="2:10" x14ac:dyDescent="0.2">
      <c r="B265" s="79"/>
      <c r="C265" s="28"/>
      <c r="D265" s="29"/>
      <c r="E265" s="85"/>
      <c r="G265" s="79"/>
      <c r="H265" s="28"/>
      <c r="I265" s="29"/>
      <c r="J265" s="84"/>
    </row>
    <row r="266" spans="2:10" x14ac:dyDescent="0.2">
      <c r="B266" s="79"/>
      <c r="C266" s="28"/>
      <c r="D266" s="29"/>
      <c r="E266" s="85"/>
      <c r="G266" s="79"/>
      <c r="H266" s="28"/>
      <c r="I266" s="29"/>
      <c r="J266" s="85"/>
    </row>
    <row r="267" spans="2:10" x14ac:dyDescent="0.2">
      <c r="B267" s="79"/>
      <c r="C267" s="28"/>
      <c r="D267" s="29"/>
      <c r="E267" s="84"/>
      <c r="G267" s="79"/>
      <c r="H267" s="28"/>
      <c r="I267" s="29"/>
      <c r="J267" s="85"/>
    </row>
    <row r="268" spans="2:10" x14ac:dyDescent="0.2">
      <c r="B268" s="79"/>
      <c r="C268" s="28"/>
      <c r="D268" s="29"/>
      <c r="E268" s="85"/>
      <c r="G268" s="79"/>
      <c r="H268" s="28"/>
      <c r="I268" s="29"/>
      <c r="J268" s="84"/>
    </row>
    <row r="269" spans="2:10" x14ac:dyDescent="0.2">
      <c r="B269" s="79"/>
      <c r="C269" s="28"/>
      <c r="D269" s="29"/>
      <c r="E269" s="84"/>
      <c r="G269" s="79"/>
      <c r="H269" s="28"/>
      <c r="I269" s="29"/>
      <c r="J269" s="85"/>
    </row>
    <row r="270" spans="2:10" x14ac:dyDescent="0.2">
      <c r="B270" s="79"/>
      <c r="C270" s="28"/>
      <c r="D270" s="29"/>
      <c r="E270" s="85"/>
      <c r="G270" s="79"/>
      <c r="H270" s="28"/>
      <c r="I270" s="29"/>
      <c r="J270" s="84"/>
    </row>
    <row r="271" spans="2:10" x14ac:dyDescent="0.2">
      <c r="B271" s="79"/>
      <c r="C271" s="28"/>
      <c r="D271" s="29"/>
      <c r="E271" s="85"/>
      <c r="G271" s="79"/>
      <c r="H271" s="28"/>
      <c r="I271" s="29"/>
      <c r="J271" s="85"/>
    </row>
    <row r="272" spans="2:10" x14ac:dyDescent="0.2">
      <c r="B272" s="79"/>
      <c r="C272" s="28"/>
      <c r="D272" s="29"/>
      <c r="E272" s="84"/>
      <c r="G272" s="79"/>
      <c r="H272" s="28"/>
      <c r="I272" s="29"/>
      <c r="J272" s="85"/>
    </row>
    <row r="273" spans="2:10" x14ac:dyDescent="0.2">
      <c r="B273" s="79"/>
      <c r="C273" s="28"/>
      <c r="D273" s="29"/>
      <c r="E273" s="85"/>
      <c r="G273" s="79"/>
      <c r="H273" s="28"/>
      <c r="I273" s="29"/>
      <c r="J273" s="84"/>
    </row>
    <row r="274" spans="2:10" x14ac:dyDescent="0.2">
      <c r="B274" s="79"/>
      <c r="C274" s="28"/>
      <c r="D274" s="29"/>
      <c r="E274" s="84"/>
      <c r="G274" s="79"/>
      <c r="H274" s="28"/>
      <c r="I274" s="29"/>
      <c r="J274" s="85"/>
    </row>
    <row r="275" spans="2:10" x14ac:dyDescent="0.2">
      <c r="B275" s="79"/>
      <c r="C275" s="28"/>
      <c r="D275" s="29"/>
      <c r="E275" s="85"/>
      <c r="G275" s="79"/>
      <c r="H275" s="28"/>
      <c r="I275" s="29"/>
      <c r="J275" s="84"/>
    </row>
    <row r="276" spans="2:10" x14ac:dyDescent="0.2">
      <c r="B276" s="79"/>
      <c r="C276" s="28"/>
      <c r="D276" s="29"/>
      <c r="E276" s="84"/>
      <c r="G276" s="79"/>
      <c r="H276" s="28"/>
      <c r="I276" s="29"/>
      <c r="J276" s="85"/>
    </row>
    <row r="277" spans="2:10" x14ac:dyDescent="0.2">
      <c r="B277" s="79"/>
      <c r="C277" s="28"/>
      <c r="D277" s="29"/>
      <c r="E277" s="85"/>
      <c r="G277" s="79"/>
      <c r="H277" s="28"/>
      <c r="I277" s="29"/>
      <c r="J277" s="85"/>
    </row>
    <row r="278" spans="2:10" x14ac:dyDescent="0.2">
      <c r="B278" s="79"/>
      <c r="C278" s="28"/>
      <c r="D278" s="29"/>
      <c r="E278" s="85"/>
      <c r="G278" s="79"/>
      <c r="H278" s="28"/>
      <c r="I278" s="29"/>
      <c r="J278" s="84"/>
    </row>
    <row r="279" spans="2:10" x14ac:dyDescent="0.2">
      <c r="B279" s="79"/>
      <c r="C279" s="28"/>
      <c r="D279" s="29"/>
      <c r="E279" s="84"/>
      <c r="G279" s="79"/>
      <c r="H279" s="28"/>
      <c r="I279" s="29"/>
      <c r="J279" s="85"/>
    </row>
    <row r="280" spans="2:10" x14ac:dyDescent="0.2">
      <c r="B280" s="79"/>
      <c r="C280" s="28"/>
      <c r="D280" s="29"/>
      <c r="E280" s="85"/>
      <c r="G280" s="79"/>
      <c r="H280" s="28"/>
      <c r="I280" s="29"/>
      <c r="J280" s="84"/>
    </row>
    <row r="281" spans="2:10" x14ac:dyDescent="0.2">
      <c r="B281" s="79"/>
      <c r="C281" s="28"/>
      <c r="D281" s="29"/>
      <c r="E281" s="84"/>
      <c r="G281" s="79"/>
      <c r="H281" s="28"/>
      <c r="I281" s="29"/>
      <c r="J281" s="85"/>
    </row>
    <row r="282" spans="2:10" x14ac:dyDescent="0.2">
      <c r="B282" s="79"/>
      <c r="C282" s="28"/>
      <c r="D282" s="29"/>
      <c r="E282" s="85"/>
      <c r="G282" s="79"/>
      <c r="H282" s="28"/>
      <c r="I282" s="29"/>
      <c r="J282" s="85"/>
    </row>
    <row r="283" spans="2:10" x14ac:dyDescent="0.2">
      <c r="B283" s="79"/>
      <c r="C283" s="28"/>
      <c r="D283" s="29"/>
      <c r="E283" s="85"/>
      <c r="G283" s="79"/>
      <c r="H283" s="28"/>
      <c r="I283" s="29"/>
      <c r="J283" s="84"/>
    </row>
    <row r="284" spans="2:10" x14ac:dyDescent="0.2">
      <c r="B284" s="79"/>
      <c r="C284" s="28"/>
      <c r="D284" s="29"/>
      <c r="E284" s="84"/>
      <c r="G284" s="79"/>
      <c r="H284" s="28"/>
      <c r="I284" s="29"/>
      <c r="J284" s="85"/>
    </row>
    <row r="285" spans="2:10" x14ac:dyDescent="0.2">
      <c r="B285" s="79"/>
      <c r="C285" s="28"/>
      <c r="D285" s="29"/>
      <c r="E285" s="85"/>
      <c r="G285" s="79"/>
      <c r="H285" s="28"/>
      <c r="I285" s="29"/>
      <c r="J285" s="84"/>
    </row>
    <row r="286" spans="2:10" x14ac:dyDescent="0.2">
      <c r="B286" s="79"/>
      <c r="C286" s="28"/>
      <c r="D286" s="29"/>
      <c r="E286" s="84"/>
      <c r="G286" s="79"/>
      <c r="H286" s="28"/>
      <c r="I286" s="29"/>
      <c r="J286" s="85"/>
    </row>
    <row r="287" spans="2:10" x14ac:dyDescent="0.2">
      <c r="B287" s="79"/>
      <c r="C287" s="28"/>
      <c r="D287" s="29"/>
      <c r="E287" s="85"/>
      <c r="G287" s="79"/>
      <c r="H287" s="28"/>
      <c r="I287" s="29"/>
      <c r="J287" s="85"/>
    </row>
    <row r="288" spans="2:10" x14ac:dyDescent="0.2">
      <c r="B288" s="79"/>
      <c r="C288" s="28"/>
      <c r="D288" s="29"/>
      <c r="E288" s="84"/>
      <c r="G288" s="79"/>
      <c r="H288" s="28"/>
      <c r="I288" s="29"/>
      <c r="J288" s="84"/>
    </row>
    <row r="289" spans="2:10" x14ac:dyDescent="0.2">
      <c r="B289" s="79"/>
      <c r="C289" s="28"/>
      <c r="D289" s="29"/>
      <c r="E289" s="85"/>
      <c r="G289" s="79"/>
      <c r="H289" s="28"/>
      <c r="I289" s="29"/>
      <c r="J289" s="85"/>
    </row>
    <row r="290" spans="2:10" x14ac:dyDescent="0.2">
      <c r="B290" s="79"/>
      <c r="C290" s="28"/>
      <c r="D290" s="29"/>
      <c r="E290" s="85"/>
      <c r="G290" s="79"/>
      <c r="H290" s="28"/>
      <c r="I290" s="29"/>
      <c r="J290" s="84"/>
    </row>
    <row r="291" spans="2:10" x14ac:dyDescent="0.2">
      <c r="B291" s="79"/>
      <c r="C291" s="28"/>
      <c r="D291" s="29"/>
      <c r="E291" s="84"/>
      <c r="G291" s="79"/>
      <c r="H291" s="28"/>
      <c r="I291" s="29"/>
      <c r="J291" s="85"/>
    </row>
    <row r="292" spans="2:10" x14ac:dyDescent="0.2">
      <c r="B292" s="79"/>
      <c r="C292" s="28"/>
      <c r="D292" s="29"/>
      <c r="E292" s="85"/>
      <c r="G292" s="79"/>
      <c r="H292" s="28"/>
      <c r="I292" s="29"/>
      <c r="J292" s="85"/>
    </row>
    <row r="293" spans="2:10" x14ac:dyDescent="0.2">
      <c r="B293" s="79"/>
      <c r="C293" s="28"/>
      <c r="D293" s="29"/>
      <c r="E293" s="84"/>
      <c r="G293" s="79"/>
      <c r="H293" s="28"/>
      <c r="I293" s="29"/>
      <c r="J293" s="84"/>
    </row>
    <row r="294" spans="2:10" x14ac:dyDescent="0.2">
      <c r="B294" s="79"/>
      <c r="C294" s="28"/>
      <c r="D294" s="29"/>
      <c r="E294" s="85"/>
      <c r="G294" s="79"/>
      <c r="H294" s="28"/>
      <c r="I294" s="29"/>
      <c r="J294" s="85"/>
    </row>
    <row r="295" spans="2:10" x14ac:dyDescent="0.2">
      <c r="B295" s="79"/>
      <c r="C295" s="28"/>
      <c r="D295" s="29"/>
      <c r="E295" s="85"/>
      <c r="G295" s="79"/>
      <c r="H295" s="28"/>
      <c r="I295" s="29"/>
      <c r="J295" s="84"/>
    </row>
    <row r="296" spans="2:10" x14ac:dyDescent="0.2">
      <c r="B296" s="79"/>
      <c r="C296" s="28"/>
      <c r="D296" s="29"/>
      <c r="E296" s="84"/>
      <c r="G296" s="79"/>
      <c r="H296" s="28"/>
      <c r="I296" s="29"/>
      <c r="J296" s="85"/>
    </row>
    <row r="297" spans="2:10" x14ac:dyDescent="0.2">
      <c r="B297" s="79"/>
      <c r="C297" s="28"/>
      <c r="D297" s="29"/>
      <c r="E297" s="85"/>
      <c r="G297" s="79"/>
      <c r="H297" s="28"/>
      <c r="I297" s="29"/>
      <c r="J297" s="85"/>
    </row>
    <row r="298" spans="2:10" x14ac:dyDescent="0.2">
      <c r="B298" s="79"/>
      <c r="C298" s="28"/>
      <c r="D298" s="29"/>
      <c r="E298" s="84"/>
      <c r="G298" s="79"/>
      <c r="H298" s="28"/>
      <c r="I298" s="29"/>
      <c r="J298" s="84"/>
    </row>
    <row r="299" spans="2:10" x14ac:dyDescent="0.2">
      <c r="B299" s="79"/>
      <c r="C299" s="28"/>
      <c r="D299" s="29"/>
      <c r="E299" s="85"/>
      <c r="G299" s="79"/>
      <c r="H299" s="28"/>
      <c r="I299" s="29"/>
      <c r="J299" s="85"/>
    </row>
    <row r="300" spans="2:10" x14ac:dyDescent="0.2">
      <c r="B300" s="79"/>
      <c r="C300" s="28"/>
      <c r="D300" s="29"/>
      <c r="E300" s="84"/>
      <c r="G300" s="79"/>
      <c r="H300" s="28"/>
      <c r="I300" s="29"/>
      <c r="J300" s="84"/>
    </row>
    <row r="301" spans="2:10" x14ac:dyDescent="0.2">
      <c r="B301" s="79"/>
      <c r="C301" s="28"/>
      <c r="D301" s="29"/>
      <c r="E301" s="85"/>
      <c r="G301" s="79"/>
      <c r="H301" s="28"/>
      <c r="I301" s="29"/>
      <c r="J301" s="85"/>
    </row>
    <row r="302" spans="2:10" x14ac:dyDescent="0.2">
      <c r="B302" s="79"/>
      <c r="C302" s="28"/>
      <c r="D302" s="29"/>
      <c r="E302" s="85"/>
      <c r="G302" s="79"/>
      <c r="H302" s="28"/>
      <c r="I302" s="29"/>
      <c r="J302" s="85"/>
    </row>
    <row r="303" spans="2:10" x14ac:dyDescent="0.2">
      <c r="B303" s="79"/>
      <c r="C303" s="28"/>
      <c r="D303" s="29"/>
      <c r="E303" s="84"/>
      <c r="G303" s="79"/>
      <c r="H303" s="28"/>
      <c r="I303" s="29"/>
      <c r="J303" s="84"/>
    </row>
    <row r="304" spans="2:10" x14ac:dyDescent="0.2">
      <c r="B304" s="79"/>
      <c r="C304" s="28"/>
      <c r="D304" s="29"/>
      <c r="E304" s="85"/>
      <c r="G304" s="79"/>
      <c r="H304" s="28"/>
      <c r="I304" s="29"/>
      <c r="J304" s="85"/>
    </row>
    <row r="305" spans="2:10" x14ac:dyDescent="0.2">
      <c r="B305" s="79"/>
      <c r="C305" s="28"/>
      <c r="D305" s="29"/>
      <c r="E305" s="84"/>
      <c r="G305" s="79"/>
      <c r="H305" s="28"/>
      <c r="I305" s="29"/>
      <c r="J305" s="84"/>
    </row>
    <row r="306" spans="2:10" x14ac:dyDescent="0.2">
      <c r="B306" s="79"/>
      <c r="C306" s="28"/>
      <c r="D306" s="29"/>
      <c r="E306" s="85"/>
      <c r="G306" s="79"/>
      <c r="H306" s="28"/>
      <c r="I306" s="29"/>
      <c r="J306" s="85"/>
    </row>
    <row r="307" spans="2:10" x14ac:dyDescent="0.2">
      <c r="B307" s="79"/>
      <c r="C307" s="28"/>
      <c r="D307" s="29"/>
      <c r="E307" s="85"/>
      <c r="G307" s="79"/>
      <c r="H307" s="28"/>
      <c r="I307" s="29"/>
      <c r="J307" s="85"/>
    </row>
    <row r="308" spans="2:10" x14ac:dyDescent="0.2">
      <c r="B308" s="79"/>
      <c r="C308" s="28"/>
      <c r="D308" s="29"/>
      <c r="E308" s="84"/>
      <c r="G308" s="79"/>
      <c r="H308" s="28"/>
      <c r="I308" s="29"/>
      <c r="J308" s="84"/>
    </row>
    <row r="309" spans="2:10" x14ac:dyDescent="0.2">
      <c r="B309" s="79"/>
      <c r="C309" s="28"/>
      <c r="D309" s="29"/>
      <c r="E309" s="85"/>
      <c r="G309" s="79"/>
      <c r="H309" s="28"/>
      <c r="I309" s="29"/>
      <c r="J309" s="85"/>
    </row>
    <row r="310" spans="2:10" x14ac:dyDescent="0.2">
      <c r="B310" s="79"/>
      <c r="C310" s="28"/>
      <c r="D310" s="29"/>
      <c r="E310" s="84"/>
      <c r="G310" s="79"/>
      <c r="H310" s="28"/>
      <c r="I310" s="29"/>
      <c r="J310" s="84"/>
    </row>
    <row r="311" spans="2:10" x14ac:dyDescent="0.2">
      <c r="B311" s="79"/>
      <c r="C311" s="28"/>
      <c r="D311" s="29"/>
      <c r="E311" s="85"/>
      <c r="G311" s="79"/>
      <c r="H311" s="28"/>
      <c r="I311" s="29"/>
      <c r="J311" s="85"/>
    </row>
    <row r="312" spans="2:10" x14ac:dyDescent="0.2">
      <c r="B312" s="79"/>
      <c r="C312" s="28"/>
      <c r="D312" s="29"/>
      <c r="E312" s="84"/>
      <c r="G312" s="79"/>
      <c r="H312" s="28"/>
      <c r="I312" s="29"/>
      <c r="J312" s="85"/>
    </row>
    <row r="313" spans="2:10" x14ac:dyDescent="0.2">
      <c r="B313" s="79"/>
      <c r="C313" s="28"/>
      <c r="D313" s="29"/>
      <c r="E313" s="85"/>
      <c r="G313" s="79"/>
      <c r="H313" s="28"/>
      <c r="I313" s="29"/>
      <c r="J313" s="84"/>
    </row>
    <row r="314" spans="2:10" x14ac:dyDescent="0.2">
      <c r="B314" s="79"/>
      <c r="C314" s="28"/>
      <c r="D314" s="29"/>
      <c r="E314" s="85"/>
      <c r="G314" s="79"/>
      <c r="H314" s="28"/>
      <c r="I314" s="29"/>
      <c r="J314" s="85"/>
    </row>
    <row r="315" spans="2:10" x14ac:dyDescent="0.2">
      <c r="B315" s="79"/>
      <c r="C315" s="28"/>
      <c r="D315" s="29"/>
      <c r="E315" s="84"/>
      <c r="G315" s="79"/>
      <c r="H315" s="28"/>
      <c r="I315" s="29"/>
      <c r="J315" s="84"/>
    </row>
    <row r="316" spans="2:10" x14ac:dyDescent="0.2">
      <c r="B316" s="79"/>
      <c r="C316" s="28"/>
      <c r="D316" s="29"/>
      <c r="E316" s="85"/>
      <c r="G316" s="79"/>
      <c r="H316" s="28"/>
      <c r="I316" s="29"/>
      <c r="J316" s="85"/>
    </row>
    <row r="317" spans="2:10" x14ac:dyDescent="0.2">
      <c r="B317" s="79"/>
      <c r="C317" s="28"/>
      <c r="D317" s="29"/>
      <c r="E317" s="84"/>
      <c r="G317" s="79"/>
      <c r="H317" s="28"/>
      <c r="I317" s="29"/>
      <c r="J317" s="85"/>
    </row>
    <row r="318" spans="2:10" x14ac:dyDescent="0.2">
      <c r="B318" s="79"/>
      <c r="C318" s="28"/>
      <c r="D318" s="29"/>
      <c r="E318" s="85"/>
      <c r="G318" s="79"/>
      <c r="H318" s="28"/>
      <c r="I318" s="29"/>
      <c r="J318" s="84"/>
    </row>
    <row r="319" spans="2:10" x14ac:dyDescent="0.2">
      <c r="B319" s="79"/>
      <c r="C319" s="28"/>
      <c r="D319" s="29"/>
      <c r="E319" s="85"/>
      <c r="G319" s="79"/>
      <c r="H319" s="28"/>
      <c r="I319" s="29"/>
      <c r="J319" s="85"/>
    </row>
    <row r="320" spans="2:10" x14ac:dyDescent="0.2">
      <c r="B320" s="79"/>
      <c r="C320" s="28"/>
      <c r="D320" s="29"/>
      <c r="E320" s="84"/>
      <c r="G320" s="79"/>
      <c r="H320" s="28"/>
      <c r="I320" s="29"/>
      <c r="J320" s="84"/>
    </row>
    <row r="321" spans="2:10" x14ac:dyDescent="0.2">
      <c r="B321" s="79"/>
      <c r="C321" s="28"/>
      <c r="D321" s="29"/>
      <c r="E321" s="85"/>
      <c r="G321" s="79"/>
      <c r="H321" s="28"/>
      <c r="I321" s="29"/>
      <c r="J321" s="85"/>
    </row>
    <row r="322" spans="2:10" x14ac:dyDescent="0.2">
      <c r="B322" s="79"/>
      <c r="C322" s="28"/>
      <c r="D322" s="29"/>
      <c r="E322" s="84"/>
      <c r="G322" s="79"/>
      <c r="H322" s="28"/>
      <c r="I322" s="29"/>
      <c r="J322" s="85"/>
    </row>
    <row r="323" spans="2:10" x14ac:dyDescent="0.2">
      <c r="B323" s="79"/>
      <c r="C323" s="28"/>
      <c r="D323" s="29"/>
      <c r="E323" s="85"/>
      <c r="G323" s="79"/>
      <c r="H323" s="28"/>
      <c r="I323" s="29"/>
      <c r="J323" s="84"/>
    </row>
    <row r="324" spans="2:10" x14ac:dyDescent="0.2">
      <c r="B324" s="79"/>
      <c r="C324" s="28"/>
      <c r="D324" s="29"/>
      <c r="E324" s="84"/>
      <c r="G324" s="79"/>
      <c r="H324" s="28"/>
      <c r="I324" s="29"/>
      <c r="J324" s="85"/>
    </row>
    <row r="325" spans="2:10" x14ac:dyDescent="0.2">
      <c r="B325" s="79"/>
      <c r="C325" s="28"/>
      <c r="D325" s="29"/>
      <c r="E325" s="85"/>
      <c r="G325" s="79"/>
      <c r="H325" s="28"/>
      <c r="I325" s="29"/>
      <c r="J325" s="84"/>
    </row>
    <row r="326" spans="2:10" x14ac:dyDescent="0.2">
      <c r="B326" s="79"/>
      <c r="C326" s="28"/>
      <c r="D326" s="29"/>
      <c r="E326" s="85"/>
      <c r="G326" s="79"/>
      <c r="H326" s="28"/>
      <c r="I326" s="29"/>
      <c r="J326" s="85"/>
    </row>
    <row r="327" spans="2:10" x14ac:dyDescent="0.2">
      <c r="B327" s="79"/>
      <c r="C327" s="28"/>
      <c r="D327" s="29"/>
      <c r="E327" s="84"/>
      <c r="G327" s="79"/>
      <c r="H327" s="28"/>
      <c r="I327" s="29"/>
      <c r="J327" s="85"/>
    </row>
    <row r="328" spans="2:10" x14ac:dyDescent="0.2">
      <c r="B328" s="79"/>
      <c r="C328" s="28"/>
      <c r="D328" s="29"/>
      <c r="E328" s="85"/>
      <c r="G328" s="79"/>
      <c r="H328" s="28"/>
      <c r="I328" s="29"/>
      <c r="J328" s="84"/>
    </row>
    <row r="329" spans="2:10" x14ac:dyDescent="0.2">
      <c r="B329" s="79"/>
      <c r="C329" s="28"/>
      <c r="D329" s="29"/>
      <c r="E329" s="84"/>
      <c r="G329" s="79"/>
      <c r="H329" s="28"/>
      <c r="I329" s="29"/>
      <c r="J329" s="85"/>
    </row>
    <row r="330" spans="2:10" x14ac:dyDescent="0.2">
      <c r="B330" s="79"/>
      <c r="C330" s="28"/>
      <c r="D330" s="29"/>
      <c r="E330" s="85"/>
      <c r="G330" s="79"/>
      <c r="H330" s="28"/>
      <c r="I330" s="29"/>
      <c r="J330" s="84"/>
    </row>
    <row r="331" spans="2:10" x14ac:dyDescent="0.2">
      <c r="B331" s="79"/>
      <c r="C331" s="28"/>
      <c r="D331" s="29"/>
      <c r="E331" s="85"/>
      <c r="G331" s="79"/>
      <c r="H331" s="28"/>
      <c r="I331" s="29"/>
      <c r="J331" s="85"/>
    </row>
    <row r="332" spans="2:10" x14ac:dyDescent="0.2">
      <c r="B332" s="79"/>
      <c r="C332" s="28"/>
      <c r="D332" s="29"/>
      <c r="E332" s="84"/>
      <c r="G332" s="79"/>
      <c r="H332" s="28"/>
      <c r="I332" s="29"/>
      <c r="J332" s="85"/>
    </row>
    <row r="333" spans="2:10" x14ac:dyDescent="0.2">
      <c r="B333" s="79"/>
      <c r="C333" s="28"/>
      <c r="D333" s="29"/>
      <c r="E333" s="85"/>
      <c r="G333" s="79"/>
      <c r="H333" s="28"/>
      <c r="I333" s="29"/>
      <c r="J333" s="84"/>
    </row>
    <row r="334" spans="2:10" x14ac:dyDescent="0.2">
      <c r="B334" s="79"/>
      <c r="C334" s="28"/>
      <c r="D334" s="29"/>
      <c r="E334" s="84"/>
      <c r="G334" s="79"/>
      <c r="H334" s="28"/>
      <c r="I334" s="29"/>
      <c r="J334" s="85"/>
    </row>
    <row r="335" spans="2:10" x14ac:dyDescent="0.2">
      <c r="B335" s="79"/>
      <c r="C335" s="28"/>
      <c r="D335" s="29"/>
      <c r="E335" s="85"/>
      <c r="G335" s="79"/>
      <c r="H335" s="28"/>
      <c r="I335" s="29"/>
      <c r="J335" s="84"/>
    </row>
    <row r="336" spans="2:10" x14ac:dyDescent="0.2">
      <c r="B336" s="79"/>
      <c r="C336" s="28"/>
      <c r="D336" s="29"/>
      <c r="E336" s="84"/>
      <c r="G336" s="79"/>
      <c r="H336" s="28"/>
      <c r="I336" s="29"/>
      <c r="J336" s="85"/>
    </row>
    <row r="337" spans="2:10" x14ac:dyDescent="0.2">
      <c r="B337" s="79"/>
      <c r="C337" s="28"/>
      <c r="D337" s="29"/>
      <c r="E337" s="85"/>
      <c r="G337" s="79"/>
      <c r="H337" s="28"/>
      <c r="I337" s="29"/>
      <c r="J337" s="85"/>
    </row>
    <row r="338" spans="2:10" x14ac:dyDescent="0.2">
      <c r="B338" s="79"/>
      <c r="C338" s="28"/>
      <c r="D338" s="29"/>
      <c r="E338" s="85"/>
      <c r="G338" s="79"/>
      <c r="H338" s="28"/>
      <c r="I338" s="29"/>
      <c r="J338" s="84"/>
    </row>
    <row r="339" spans="2:10" x14ac:dyDescent="0.2">
      <c r="B339" s="79"/>
      <c r="C339" s="28"/>
      <c r="D339" s="29"/>
      <c r="E339" s="84"/>
      <c r="G339" s="79"/>
      <c r="H339" s="28"/>
      <c r="I339" s="29"/>
      <c r="J339" s="85"/>
    </row>
    <row r="340" spans="2:10" x14ac:dyDescent="0.2">
      <c r="B340" s="79"/>
      <c r="C340" s="28"/>
      <c r="D340" s="29"/>
      <c r="E340" s="85"/>
      <c r="G340" s="79"/>
      <c r="H340" s="28"/>
      <c r="I340" s="29"/>
      <c r="J340" s="84"/>
    </row>
    <row r="341" spans="2:10" x14ac:dyDescent="0.2">
      <c r="B341" s="79"/>
      <c r="C341" s="28"/>
      <c r="D341" s="29"/>
      <c r="E341" s="84"/>
      <c r="G341" s="79"/>
      <c r="H341" s="28"/>
      <c r="I341" s="29"/>
      <c r="J341" s="85"/>
    </row>
    <row r="342" spans="2:10" x14ac:dyDescent="0.2">
      <c r="B342" s="79"/>
      <c r="C342" s="28"/>
      <c r="D342" s="29"/>
      <c r="E342" s="85"/>
      <c r="G342" s="79"/>
      <c r="H342" s="28"/>
      <c r="I342" s="29"/>
      <c r="J342" s="85"/>
    </row>
    <row r="343" spans="2:10" x14ac:dyDescent="0.2">
      <c r="B343" s="79"/>
      <c r="C343" s="28"/>
      <c r="D343" s="29"/>
      <c r="E343" s="85"/>
      <c r="G343" s="79"/>
      <c r="H343" s="28"/>
      <c r="I343" s="29"/>
      <c r="J343" s="84"/>
    </row>
    <row r="344" spans="2:10" x14ac:dyDescent="0.2">
      <c r="B344" s="79"/>
      <c r="C344" s="28"/>
      <c r="D344" s="29"/>
      <c r="E344" s="84"/>
      <c r="G344" s="79"/>
      <c r="H344" s="28"/>
      <c r="I344" s="29"/>
      <c r="J344" s="85"/>
    </row>
    <row r="345" spans="2:10" x14ac:dyDescent="0.2">
      <c r="B345" s="79"/>
      <c r="C345" s="28"/>
      <c r="D345" s="29"/>
      <c r="E345" s="85"/>
      <c r="G345" s="79"/>
      <c r="H345" s="28"/>
      <c r="I345" s="29"/>
      <c r="J345" s="84"/>
    </row>
    <row r="346" spans="2:10" x14ac:dyDescent="0.2">
      <c r="B346" s="79"/>
      <c r="C346" s="28"/>
      <c r="D346" s="29"/>
      <c r="E346" s="84"/>
      <c r="G346" s="79"/>
      <c r="H346" s="28"/>
      <c r="I346" s="29"/>
      <c r="J346" s="85"/>
    </row>
    <row r="347" spans="2:10" x14ac:dyDescent="0.2">
      <c r="B347" s="79"/>
      <c r="C347" s="28"/>
      <c r="D347" s="29"/>
      <c r="E347" s="85"/>
      <c r="G347" s="79"/>
      <c r="H347" s="28"/>
      <c r="I347" s="29"/>
      <c r="J347" s="85"/>
    </row>
    <row r="348" spans="2:10" x14ac:dyDescent="0.2">
      <c r="B348" s="79"/>
      <c r="C348" s="28"/>
      <c r="D348" s="29"/>
      <c r="E348" s="84"/>
      <c r="G348" s="79"/>
      <c r="H348" s="28"/>
      <c r="I348" s="29"/>
      <c r="J348" s="84"/>
    </row>
    <row r="349" spans="2:10" x14ac:dyDescent="0.2">
      <c r="B349" s="79"/>
      <c r="C349" s="28"/>
      <c r="D349" s="29"/>
      <c r="E349" s="85"/>
      <c r="G349" s="79"/>
      <c r="H349" s="28"/>
      <c r="I349" s="29"/>
      <c r="J349" s="85"/>
    </row>
    <row r="350" spans="2:10" x14ac:dyDescent="0.2">
      <c r="B350" s="79"/>
      <c r="C350" s="28"/>
      <c r="D350" s="29"/>
      <c r="E350" s="85"/>
      <c r="G350" s="79"/>
      <c r="H350" s="28"/>
      <c r="I350" s="29"/>
      <c r="J350" s="84"/>
    </row>
    <row r="351" spans="2:10" x14ac:dyDescent="0.2">
      <c r="B351" s="79"/>
      <c r="C351" s="28"/>
      <c r="D351" s="29"/>
      <c r="E351" s="84"/>
      <c r="G351" s="79"/>
      <c r="H351" s="28"/>
      <c r="I351" s="29"/>
      <c r="J351" s="85"/>
    </row>
    <row r="352" spans="2:10" x14ac:dyDescent="0.2">
      <c r="B352" s="79"/>
      <c r="C352" s="28"/>
      <c r="D352" s="29"/>
      <c r="E352" s="85"/>
      <c r="G352" s="79"/>
      <c r="H352" s="28"/>
      <c r="I352" s="29"/>
      <c r="J352" s="85"/>
    </row>
    <row r="353" spans="2:10" x14ac:dyDescent="0.2">
      <c r="B353" s="79"/>
      <c r="C353" s="28"/>
      <c r="D353" s="29"/>
      <c r="E353" s="84"/>
      <c r="G353" s="79"/>
      <c r="H353" s="28"/>
      <c r="I353" s="29"/>
      <c r="J353" s="84"/>
    </row>
    <row r="354" spans="2:10" x14ac:dyDescent="0.2">
      <c r="B354" s="79"/>
      <c r="C354" s="28"/>
      <c r="D354" s="29"/>
      <c r="E354" s="85"/>
      <c r="G354" s="79"/>
      <c r="H354" s="28"/>
      <c r="I354" s="29"/>
      <c r="J354" s="85"/>
    </row>
    <row r="355" spans="2:10" x14ac:dyDescent="0.2">
      <c r="B355" s="79"/>
      <c r="C355" s="28"/>
      <c r="D355" s="29"/>
      <c r="E355" s="85"/>
      <c r="G355" s="79"/>
      <c r="H355" s="28"/>
      <c r="I355" s="29"/>
      <c r="J355" s="84"/>
    </row>
    <row r="356" spans="2:10" x14ac:dyDescent="0.2">
      <c r="B356" s="79"/>
      <c r="C356" s="28"/>
      <c r="D356" s="29"/>
      <c r="E356" s="84"/>
      <c r="G356" s="79"/>
      <c r="H356" s="28"/>
      <c r="I356" s="29"/>
      <c r="J356" s="85"/>
    </row>
    <row r="357" spans="2:10" x14ac:dyDescent="0.2">
      <c r="B357" s="79"/>
      <c r="C357" s="28"/>
      <c r="D357" s="29"/>
      <c r="E357" s="85"/>
      <c r="G357" s="79"/>
      <c r="H357" s="28"/>
      <c r="I357" s="29"/>
      <c r="J357" s="85"/>
    </row>
    <row r="358" spans="2:10" x14ac:dyDescent="0.2">
      <c r="B358" s="79"/>
      <c r="C358" s="28"/>
      <c r="D358" s="29"/>
      <c r="E358" s="84"/>
      <c r="G358" s="79"/>
      <c r="H358" s="28"/>
      <c r="I358" s="29"/>
      <c r="J358" s="84"/>
    </row>
    <row r="359" spans="2:10" x14ac:dyDescent="0.2">
      <c r="B359" s="79"/>
      <c r="C359" s="28"/>
      <c r="D359" s="29"/>
      <c r="E359" s="85"/>
      <c r="G359" s="79"/>
      <c r="H359" s="28"/>
      <c r="I359" s="29"/>
      <c r="J359" s="85"/>
    </row>
    <row r="360" spans="2:10" x14ac:dyDescent="0.2">
      <c r="B360" s="79"/>
      <c r="C360" s="28"/>
      <c r="D360" s="29"/>
      <c r="E360" s="84"/>
      <c r="G360" s="79"/>
      <c r="H360" s="28"/>
      <c r="I360" s="29"/>
      <c r="J360" s="84"/>
    </row>
    <row r="361" spans="2:10" x14ac:dyDescent="0.2">
      <c r="B361" s="79"/>
      <c r="C361" s="28"/>
      <c r="D361" s="29"/>
      <c r="E361" s="85"/>
      <c r="G361" s="79"/>
      <c r="H361" s="28"/>
      <c r="I361" s="29"/>
      <c r="J361" s="85"/>
    </row>
    <row r="362" spans="2:10" x14ac:dyDescent="0.2">
      <c r="B362" s="79"/>
      <c r="C362" s="28"/>
      <c r="D362" s="29"/>
      <c r="E362" s="85"/>
      <c r="G362" s="79"/>
      <c r="H362" s="28"/>
      <c r="I362" s="29"/>
      <c r="J362" s="85"/>
    </row>
    <row r="363" spans="2:10" x14ac:dyDescent="0.2">
      <c r="B363" s="79"/>
      <c r="C363" s="28"/>
      <c r="D363" s="29"/>
      <c r="E363" s="84"/>
      <c r="G363" s="79"/>
      <c r="H363" s="28"/>
      <c r="I363" s="29"/>
      <c r="J363" s="84"/>
    </row>
    <row r="364" spans="2:10" x14ac:dyDescent="0.2">
      <c r="B364" s="79"/>
      <c r="C364" s="28"/>
      <c r="D364" s="29"/>
      <c r="E364" s="85"/>
      <c r="G364" s="79"/>
      <c r="H364" s="28"/>
      <c r="I364" s="29"/>
      <c r="J364" s="85"/>
    </row>
    <row r="365" spans="2:10" x14ac:dyDescent="0.2">
      <c r="B365" s="79"/>
      <c r="C365" s="28"/>
      <c r="D365" s="29"/>
      <c r="E365" s="84"/>
      <c r="G365" s="79"/>
      <c r="H365" s="28"/>
      <c r="I365" s="29"/>
      <c r="J365" s="84"/>
    </row>
    <row r="366" spans="2:10" x14ac:dyDescent="0.2">
      <c r="B366" s="79"/>
      <c r="C366" s="28"/>
      <c r="D366" s="29"/>
      <c r="E366" s="85"/>
      <c r="G366" s="79"/>
      <c r="H366" s="28"/>
      <c r="I366" s="29"/>
      <c r="J366" s="85"/>
    </row>
    <row r="367" spans="2:10" x14ac:dyDescent="0.2">
      <c r="B367" s="79"/>
      <c r="C367" s="28"/>
      <c r="D367" s="29"/>
      <c r="E367" s="85"/>
      <c r="G367" s="79"/>
      <c r="H367" s="28"/>
      <c r="I367" s="29"/>
      <c r="J367" s="85"/>
    </row>
    <row r="368" spans="2:10" x14ac:dyDescent="0.2">
      <c r="B368" s="79"/>
      <c r="C368" s="28"/>
      <c r="D368" s="29"/>
      <c r="E368" s="84"/>
      <c r="G368" s="79"/>
      <c r="H368" s="28"/>
      <c r="I368" s="29"/>
      <c r="J368" s="84"/>
    </row>
    <row r="369" spans="2:10" x14ac:dyDescent="0.2">
      <c r="B369" s="79"/>
      <c r="C369" s="28"/>
      <c r="D369" s="29"/>
      <c r="E369" s="85"/>
      <c r="G369" s="79"/>
      <c r="H369" s="28"/>
      <c r="I369" s="29"/>
      <c r="J369" s="85"/>
    </row>
    <row r="370" spans="2:10" x14ac:dyDescent="0.2">
      <c r="B370" s="79"/>
      <c r="C370" s="28"/>
      <c r="D370" s="29"/>
      <c r="E370" s="84"/>
      <c r="G370" s="79"/>
      <c r="H370" s="28"/>
      <c r="I370" s="29"/>
      <c r="J370" s="84"/>
    </row>
    <row r="371" spans="2:10" x14ac:dyDescent="0.2">
      <c r="B371" s="79"/>
      <c r="C371" s="28"/>
      <c r="D371" s="29"/>
      <c r="E371" s="85"/>
      <c r="G371" s="79"/>
      <c r="H371" s="28"/>
      <c r="I371" s="29"/>
      <c r="J371" s="85"/>
    </row>
    <row r="372" spans="2:10" x14ac:dyDescent="0.2">
      <c r="B372" s="79"/>
      <c r="C372" s="28"/>
      <c r="D372" s="29"/>
      <c r="E372" s="84"/>
      <c r="G372" s="79"/>
      <c r="H372" s="28"/>
      <c r="I372" s="29"/>
      <c r="J372" s="85"/>
    </row>
    <row r="373" spans="2:10" x14ac:dyDescent="0.2">
      <c r="B373" s="79"/>
      <c r="C373" s="28"/>
      <c r="D373" s="29"/>
      <c r="E373" s="85"/>
      <c r="G373" s="79"/>
      <c r="H373" s="28"/>
      <c r="I373" s="29"/>
      <c r="J373" s="84"/>
    </row>
    <row r="374" spans="2:10" x14ac:dyDescent="0.2">
      <c r="B374" s="79"/>
      <c r="C374" s="28"/>
      <c r="D374" s="29"/>
      <c r="E374" s="85"/>
      <c r="G374" s="79"/>
      <c r="H374" s="28"/>
      <c r="I374" s="29"/>
      <c r="J374" s="85"/>
    </row>
    <row r="375" spans="2:10" x14ac:dyDescent="0.2">
      <c r="B375" s="79"/>
      <c r="C375" s="28"/>
      <c r="D375" s="29"/>
      <c r="E375" s="84"/>
      <c r="G375" s="79"/>
      <c r="H375" s="28"/>
      <c r="I375" s="29"/>
      <c r="J375" s="84"/>
    </row>
    <row r="376" spans="2:10" x14ac:dyDescent="0.2">
      <c r="B376" s="79"/>
      <c r="C376" s="28"/>
      <c r="D376" s="29"/>
      <c r="E376" s="85"/>
      <c r="G376" s="79"/>
      <c r="H376" s="28"/>
      <c r="I376" s="29"/>
      <c r="J376" s="85"/>
    </row>
    <row r="377" spans="2:10" x14ac:dyDescent="0.2">
      <c r="B377" s="79"/>
      <c r="C377" s="28"/>
      <c r="D377" s="29"/>
      <c r="E377" s="84"/>
      <c r="G377" s="79"/>
      <c r="H377" s="28"/>
      <c r="I377" s="29"/>
      <c r="J377" s="85"/>
    </row>
    <row r="378" spans="2:10" x14ac:dyDescent="0.2">
      <c r="B378" s="79"/>
      <c r="C378" s="28"/>
      <c r="D378" s="29"/>
      <c r="E378" s="85"/>
      <c r="G378" s="79"/>
      <c r="H378" s="28"/>
      <c r="I378" s="29"/>
      <c r="J378" s="84"/>
    </row>
    <row r="379" spans="2:10" x14ac:dyDescent="0.2">
      <c r="B379" s="79"/>
      <c r="C379" s="28"/>
      <c r="D379" s="29"/>
      <c r="E379" s="85"/>
      <c r="G379" s="79"/>
      <c r="H379" s="28"/>
      <c r="I379" s="29"/>
      <c r="J379" s="85"/>
    </row>
    <row r="380" spans="2:10" x14ac:dyDescent="0.2">
      <c r="B380" s="79"/>
      <c r="C380" s="28"/>
      <c r="D380" s="29"/>
      <c r="E380" s="84"/>
      <c r="G380" s="79"/>
      <c r="H380" s="28"/>
      <c r="I380" s="29"/>
      <c r="J380" s="84"/>
    </row>
    <row r="381" spans="2:10" x14ac:dyDescent="0.2">
      <c r="B381" s="79"/>
      <c r="C381" s="28"/>
      <c r="D381" s="29"/>
      <c r="E381" s="85"/>
      <c r="G381" s="79"/>
      <c r="H381" s="28"/>
      <c r="I381" s="29"/>
      <c r="J381" s="85"/>
    </row>
    <row r="382" spans="2:10" x14ac:dyDescent="0.2">
      <c r="B382" s="79"/>
      <c r="C382" s="28"/>
      <c r="D382" s="29"/>
      <c r="E382" s="84"/>
      <c r="G382" s="79"/>
      <c r="H382" s="28"/>
      <c r="I382" s="29"/>
      <c r="J382" s="85"/>
    </row>
    <row r="383" spans="2:10" x14ac:dyDescent="0.2">
      <c r="B383" s="79"/>
      <c r="C383" s="28"/>
      <c r="D383" s="29"/>
      <c r="E383" s="85"/>
      <c r="G383" s="79"/>
      <c r="H383" s="28"/>
      <c r="I383" s="29"/>
      <c r="J383" s="84"/>
    </row>
    <row r="384" spans="2:10" x14ac:dyDescent="0.2">
      <c r="B384" s="79"/>
      <c r="C384" s="28"/>
      <c r="D384" s="29"/>
      <c r="E384" s="84"/>
      <c r="G384" s="79"/>
      <c r="H384" s="28"/>
      <c r="I384" s="29"/>
      <c r="J384" s="85"/>
    </row>
    <row r="385" spans="2:10" x14ac:dyDescent="0.2">
      <c r="B385" s="79"/>
      <c r="C385" s="28"/>
      <c r="D385" s="29"/>
      <c r="E385" s="85"/>
      <c r="G385" s="79"/>
      <c r="H385" s="28"/>
      <c r="I385" s="29"/>
      <c r="J385" s="84"/>
    </row>
    <row r="386" spans="2:10" x14ac:dyDescent="0.2">
      <c r="B386" s="79"/>
      <c r="C386" s="28"/>
      <c r="D386" s="29"/>
      <c r="E386" s="85"/>
      <c r="G386" s="79"/>
      <c r="H386" s="28"/>
      <c r="I386" s="29"/>
      <c r="J386" s="85"/>
    </row>
    <row r="387" spans="2:10" x14ac:dyDescent="0.2">
      <c r="B387" s="79"/>
      <c r="C387" s="28"/>
      <c r="D387" s="29"/>
      <c r="E387" s="84"/>
      <c r="G387" s="79"/>
      <c r="H387" s="28"/>
      <c r="I387" s="29"/>
      <c r="J387" s="85"/>
    </row>
    <row r="388" spans="2:10" x14ac:dyDescent="0.2">
      <c r="B388" s="79"/>
      <c r="C388" s="28"/>
      <c r="D388" s="29"/>
      <c r="E388" s="85"/>
      <c r="G388" s="79"/>
      <c r="H388" s="28"/>
      <c r="I388" s="29"/>
      <c r="J388" s="84"/>
    </row>
    <row r="389" spans="2:10" x14ac:dyDescent="0.2">
      <c r="B389" s="79"/>
      <c r="C389" s="28"/>
      <c r="D389" s="29"/>
      <c r="E389" s="84"/>
      <c r="G389" s="79"/>
      <c r="H389" s="28"/>
      <c r="I389" s="29"/>
      <c r="J389" s="85"/>
    </row>
    <row r="390" spans="2:10" x14ac:dyDescent="0.2">
      <c r="B390" s="79"/>
      <c r="C390" s="28"/>
      <c r="D390" s="29"/>
      <c r="E390" s="85"/>
      <c r="G390" s="79"/>
      <c r="H390" s="28"/>
      <c r="I390" s="29"/>
      <c r="J390" s="84"/>
    </row>
    <row r="391" spans="2:10" x14ac:dyDescent="0.2">
      <c r="B391" s="79"/>
      <c r="C391" s="28"/>
      <c r="D391" s="29"/>
      <c r="E391" s="85"/>
      <c r="G391" s="79"/>
      <c r="H391" s="28"/>
      <c r="I391" s="29"/>
      <c r="J391" s="85"/>
    </row>
    <row r="392" spans="2:10" x14ac:dyDescent="0.2">
      <c r="B392" s="79"/>
      <c r="C392" s="28"/>
      <c r="D392" s="29"/>
      <c r="E392" s="84"/>
      <c r="G392" s="79"/>
      <c r="H392" s="28"/>
      <c r="I392" s="29"/>
      <c r="J392" s="85"/>
    </row>
    <row r="393" spans="2:10" x14ac:dyDescent="0.2">
      <c r="B393" s="79"/>
      <c r="C393" s="28"/>
      <c r="D393" s="29"/>
      <c r="E393" s="85"/>
      <c r="G393" s="79"/>
      <c r="H393" s="28"/>
      <c r="I393" s="29"/>
      <c r="J393" s="84"/>
    </row>
    <row r="394" spans="2:10" x14ac:dyDescent="0.2">
      <c r="B394" s="79"/>
      <c r="C394" s="28"/>
      <c r="D394" s="29"/>
      <c r="E394" s="84"/>
      <c r="G394" s="79"/>
      <c r="H394" s="28"/>
      <c r="I394" s="29"/>
      <c r="J394" s="85"/>
    </row>
    <row r="395" spans="2:10" x14ac:dyDescent="0.2">
      <c r="B395" s="79"/>
      <c r="C395" s="28"/>
      <c r="D395" s="29"/>
      <c r="E395" s="85"/>
      <c r="G395" s="79"/>
      <c r="H395" s="28"/>
      <c r="I395" s="29"/>
      <c r="J395" s="84"/>
    </row>
    <row r="396" spans="2:10" x14ac:dyDescent="0.2">
      <c r="B396" s="79"/>
      <c r="C396" s="28"/>
      <c r="D396" s="29"/>
      <c r="E396" s="84"/>
      <c r="G396" s="79"/>
      <c r="H396" s="28"/>
      <c r="I396" s="29"/>
      <c r="J396" s="85"/>
    </row>
    <row r="397" spans="2:10" x14ac:dyDescent="0.2">
      <c r="B397" s="79"/>
      <c r="C397" s="28"/>
      <c r="D397" s="29"/>
      <c r="E397" s="85"/>
      <c r="G397" s="79"/>
      <c r="H397" s="28"/>
      <c r="I397" s="29"/>
      <c r="J397" s="85"/>
    </row>
    <row r="398" spans="2:10" x14ac:dyDescent="0.2">
      <c r="B398" s="79"/>
      <c r="C398" s="28"/>
      <c r="D398" s="29"/>
      <c r="E398" s="85"/>
      <c r="G398" s="79"/>
      <c r="H398" s="28"/>
      <c r="I398" s="29"/>
      <c r="J398" s="84"/>
    </row>
    <row r="399" spans="2:10" x14ac:dyDescent="0.2">
      <c r="B399" s="79"/>
      <c r="C399" s="28"/>
      <c r="D399" s="29"/>
      <c r="E399" s="84"/>
      <c r="G399" s="79"/>
      <c r="H399" s="28"/>
      <c r="I399" s="29"/>
      <c r="J399" s="85"/>
    </row>
    <row r="400" spans="2:10" x14ac:dyDescent="0.2">
      <c r="B400" s="79"/>
      <c r="C400" s="28"/>
      <c r="D400" s="29"/>
      <c r="E400" s="85"/>
      <c r="G400" s="79"/>
      <c r="H400" s="28"/>
      <c r="I400" s="29"/>
      <c r="J400" s="84"/>
    </row>
    <row r="401" spans="2:10" x14ac:dyDescent="0.2">
      <c r="B401" s="79"/>
      <c r="C401" s="28"/>
      <c r="D401" s="29"/>
      <c r="E401" s="84"/>
      <c r="G401" s="79"/>
      <c r="H401" s="28"/>
      <c r="I401" s="29"/>
      <c r="J401" s="85"/>
    </row>
    <row r="402" spans="2:10" x14ac:dyDescent="0.2">
      <c r="B402" s="79"/>
      <c r="C402" s="28"/>
      <c r="D402" s="29"/>
      <c r="E402" s="85"/>
      <c r="G402" s="79"/>
      <c r="H402" s="28"/>
      <c r="I402" s="29"/>
      <c r="J402" s="85"/>
    </row>
    <row r="403" spans="2:10" x14ac:dyDescent="0.2">
      <c r="B403" s="79"/>
      <c r="C403" s="28"/>
      <c r="D403" s="29"/>
      <c r="E403" s="85"/>
      <c r="G403" s="79"/>
      <c r="H403" s="28"/>
      <c r="I403" s="29"/>
      <c r="J403" s="84"/>
    </row>
    <row r="404" spans="2:10" x14ac:dyDescent="0.2">
      <c r="B404" s="79"/>
      <c r="C404" s="28"/>
      <c r="D404" s="29"/>
      <c r="E404" s="84"/>
      <c r="G404" s="79"/>
      <c r="H404" s="28"/>
      <c r="I404" s="29"/>
      <c r="J404" s="85"/>
    </row>
    <row r="405" spans="2:10" x14ac:dyDescent="0.2">
      <c r="B405" s="79"/>
      <c r="C405" s="28"/>
      <c r="D405" s="29"/>
      <c r="E405" s="85"/>
      <c r="G405" s="79"/>
      <c r="H405" s="28"/>
      <c r="I405" s="29"/>
      <c r="J405" s="84"/>
    </row>
    <row r="406" spans="2:10" x14ac:dyDescent="0.2">
      <c r="B406" s="79"/>
      <c r="C406" s="28"/>
      <c r="D406" s="29"/>
      <c r="E406" s="84"/>
      <c r="G406" s="79"/>
      <c r="H406" s="28"/>
      <c r="I406" s="29"/>
      <c r="J406" s="85"/>
    </row>
    <row r="407" spans="2:10" x14ac:dyDescent="0.2">
      <c r="B407" s="79"/>
      <c r="C407" s="28"/>
      <c r="D407" s="29"/>
      <c r="E407" s="85"/>
      <c r="G407" s="79"/>
      <c r="H407" s="28"/>
      <c r="I407" s="29"/>
      <c r="J407" s="85"/>
    </row>
    <row r="408" spans="2:10" x14ac:dyDescent="0.2">
      <c r="B408" s="79"/>
      <c r="C408" s="28"/>
      <c r="D408" s="29"/>
      <c r="E408" s="84"/>
      <c r="G408" s="79"/>
      <c r="H408" s="28"/>
      <c r="I408" s="29"/>
      <c r="J408" s="84"/>
    </row>
    <row r="409" spans="2:10" x14ac:dyDescent="0.2">
      <c r="B409" s="79"/>
      <c r="C409" s="28"/>
      <c r="D409" s="29"/>
      <c r="E409" s="85"/>
      <c r="G409" s="79"/>
      <c r="H409" s="28"/>
      <c r="I409" s="29"/>
      <c r="J409" s="85"/>
    </row>
    <row r="410" spans="2:10" x14ac:dyDescent="0.2">
      <c r="B410" s="79"/>
      <c r="C410" s="28"/>
      <c r="D410" s="29"/>
      <c r="E410" s="85"/>
      <c r="G410" s="79"/>
      <c r="H410" s="28"/>
      <c r="I410" s="29"/>
      <c r="J410" s="84"/>
    </row>
    <row r="411" spans="2:10" x14ac:dyDescent="0.2">
      <c r="B411" s="79"/>
      <c r="C411" s="28"/>
      <c r="D411" s="29"/>
      <c r="E411" s="84"/>
      <c r="G411" s="79"/>
      <c r="H411" s="28"/>
      <c r="I411" s="29"/>
      <c r="J411" s="85"/>
    </row>
    <row r="412" spans="2:10" x14ac:dyDescent="0.2">
      <c r="B412" s="79"/>
      <c r="C412" s="28"/>
      <c r="D412" s="29"/>
      <c r="E412" s="85"/>
      <c r="G412" s="79"/>
      <c r="H412" s="28"/>
      <c r="I412" s="29"/>
      <c r="J412" s="85"/>
    </row>
    <row r="413" spans="2:10" x14ac:dyDescent="0.2">
      <c r="B413" s="79"/>
      <c r="C413" s="28"/>
      <c r="D413" s="29"/>
      <c r="E413" s="84"/>
      <c r="G413" s="79"/>
      <c r="H413" s="28"/>
      <c r="I413" s="29"/>
      <c r="J413" s="84"/>
    </row>
    <row r="414" spans="2:10" x14ac:dyDescent="0.2">
      <c r="B414" s="79"/>
      <c r="C414" s="28"/>
      <c r="D414" s="29"/>
      <c r="E414" s="85"/>
      <c r="G414" s="79"/>
      <c r="H414" s="28"/>
      <c r="I414" s="29"/>
      <c r="J414" s="85"/>
    </row>
    <row r="415" spans="2:10" x14ac:dyDescent="0.2">
      <c r="B415" s="79"/>
      <c r="C415" s="28"/>
      <c r="D415" s="29"/>
      <c r="E415" s="85"/>
      <c r="G415" s="79"/>
      <c r="H415" s="28"/>
      <c r="I415" s="29"/>
      <c r="J415" s="84"/>
    </row>
    <row r="416" spans="2:10" x14ac:dyDescent="0.2">
      <c r="B416" s="79"/>
      <c r="C416" s="28"/>
      <c r="D416" s="29"/>
      <c r="E416" s="84"/>
      <c r="G416" s="79"/>
      <c r="H416" s="28"/>
      <c r="I416" s="29"/>
      <c r="J416" s="85"/>
    </row>
    <row r="417" spans="2:10" x14ac:dyDescent="0.2">
      <c r="B417" s="79"/>
      <c r="C417" s="28"/>
      <c r="D417" s="29"/>
      <c r="E417" s="85"/>
      <c r="G417" s="79"/>
      <c r="H417" s="28"/>
      <c r="I417" s="29"/>
      <c r="J417" s="85"/>
    </row>
    <row r="418" spans="2:10" x14ac:dyDescent="0.2">
      <c r="B418" s="79"/>
      <c r="C418" s="28"/>
      <c r="D418" s="29"/>
      <c r="E418" s="84"/>
      <c r="G418" s="79"/>
      <c r="H418" s="28"/>
      <c r="I418" s="29"/>
      <c r="J418" s="84"/>
    </row>
    <row r="419" spans="2:10" x14ac:dyDescent="0.2">
      <c r="B419" s="79"/>
      <c r="C419" s="28"/>
      <c r="D419" s="29"/>
      <c r="E419" s="85"/>
      <c r="G419" s="79"/>
      <c r="H419" s="28"/>
      <c r="I419" s="29"/>
      <c r="J419" s="85"/>
    </row>
    <row r="420" spans="2:10" x14ac:dyDescent="0.2">
      <c r="B420" s="79"/>
      <c r="C420" s="28"/>
      <c r="D420" s="29"/>
      <c r="E420" s="84"/>
      <c r="G420" s="79"/>
      <c r="H420" s="28"/>
      <c r="I420" s="29"/>
      <c r="J420" s="84"/>
    </row>
    <row r="421" spans="2:10" x14ac:dyDescent="0.2">
      <c r="B421" s="79"/>
      <c r="C421" s="28"/>
      <c r="D421" s="29"/>
      <c r="E421" s="85"/>
      <c r="G421" s="79"/>
      <c r="H421" s="28"/>
      <c r="I421" s="29"/>
      <c r="J421" s="85"/>
    </row>
    <row r="422" spans="2:10" x14ac:dyDescent="0.2">
      <c r="B422" s="79"/>
      <c r="C422" s="28"/>
      <c r="D422" s="29"/>
      <c r="E422" s="85"/>
      <c r="G422" s="79"/>
      <c r="H422" s="28"/>
      <c r="I422" s="29"/>
      <c r="J422" s="85"/>
    </row>
    <row r="423" spans="2:10" x14ac:dyDescent="0.2">
      <c r="B423" s="79"/>
      <c r="C423" s="28"/>
      <c r="D423" s="29"/>
      <c r="E423" s="84"/>
      <c r="G423" s="79"/>
      <c r="H423" s="28"/>
      <c r="I423" s="29"/>
      <c r="J423" s="84"/>
    </row>
    <row r="424" spans="2:10" x14ac:dyDescent="0.2">
      <c r="B424" s="79"/>
      <c r="C424" s="28"/>
      <c r="D424" s="29"/>
      <c r="E424" s="85"/>
      <c r="G424" s="79"/>
      <c r="H424" s="28"/>
      <c r="I424" s="29"/>
      <c r="J424" s="85"/>
    </row>
    <row r="425" spans="2:10" x14ac:dyDescent="0.2">
      <c r="B425" s="79"/>
      <c r="C425" s="28"/>
      <c r="D425" s="29"/>
      <c r="E425" s="84"/>
      <c r="G425" s="79"/>
      <c r="H425" s="28"/>
      <c r="I425" s="29"/>
      <c r="J425" s="84"/>
    </row>
    <row r="426" spans="2:10" x14ac:dyDescent="0.2">
      <c r="B426" s="79"/>
      <c r="C426" s="28"/>
      <c r="D426" s="29"/>
      <c r="E426" s="85"/>
      <c r="G426" s="79"/>
      <c r="H426" s="28"/>
      <c r="I426" s="29"/>
      <c r="J426" s="85"/>
    </row>
    <row r="427" spans="2:10" x14ac:dyDescent="0.2">
      <c r="B427" s="79"/>
      <c r="C427" s="28"/>
      <c r="D427" s="29"/>
      <c r="E427" s="85"/>
      <c r="G427" s="79"/>
      <c r="H427" s="28"/>
      <c r="I427" s="29"/>
      <c r="J427" s="85"/>
    </row>
    <row r="428" spans="2:10" x14ac:dyDescent="0.2">
      <c r="B428" s="79"/>
      <c r="C428" s="28"/>
      <c r="D428" s="29"/>
      <c r="E428" s="84"/>
      <c r="G428" s="79"/>
      <c r="H428" s="28"/>
      <c r="I428" s="29"/>
      <c r="J428" s="84"/>
    </row>
    <row r="429" spans="2:10" x14ac:dyDescent="0.2">
      <c r="B429" s="79"/>
      <c r="C429" s="28"/>
      <c r="D429" s="29"/>
      <c r="E429" s="85"/>
      <c r="G429" s="79"/>
      <c r="H429" s="28"/>
      <c r="I429" s="29"/>
      <c r="J429" s="85"/>
    </row>
    <row r="430" spans="2:10" x14ac:dyDescent="0.2">
      <c r="B430" s="79"/>
      <c r="C430" s="28"/>
      <c r="D430" s="29"/>
      <c r="E430" s="84"/>
      <c r="G430" s="79"/>
      <c r="H430" s="28"/>
      <c r="I430" s="29"/>
      <c r="J430" s="84"/>
    </row>
    <row r="431" spans="2:10" x14ac:dyDescent="0.2">
      <c r="B431" s="79"/>
      <c r="C431" s="28"/>
      <c r="D431" s="29"/>
      <c r="E431" s="85"/>
      <c r="G431" s="79"/>
      <c r="H431" s="28"/>
      <c r="I431" s="29"/>
      <c r="J431" s="85"/>
    </row>
    <row r="432" spans="2:10" x14ac:dyDescent="0.2">
      <c r="B432" s="79"/>
      <c r="C432" s="28"/>
      <c r="D432" s="29"/>
      <c r="E432" s="84"/>
      <c r="G432" s="79"/>
      <c r="H432" s="28"/>
      <c r="I432" s="29"/>
      <c r="J432" s="85"/>
    </row>
    <row r="433" spans="2:10" x14ac:dyDescent="0.2">
      <c r="B433" s="79"/>
      <c r="C433" s="28"/>
      <c r="D433" s="29"/>
      <c r="E433" s="85"/>
      <c r="G433" s="79"/>
      <c r="H433" s="28"/>
      <c r="I433" s="29"/>
      <c r="J433" s="84"/>
    </row>
    <row r="434" spans="2:10" x14ac:dyDescent="0.2">
      <c r="B434" s="79"/>
      <c r="C434" s="28"/>
      <c r="D434" s="29"/>
      <c r="E434" s="85"/>
      <c r="G434" s="79"/>
      <c r="H434" s="28"/>
      <c r="I434" s="29"/>
      <c r="J434" s="85"/>
    </row>
    <row r="435" spans="2:10" x14ac:dyDescent="0.2">
      <c r="B435" s="79"/>
      <c r="C435" s="28"/>
      <c r="D435" s="29"/>
      <c r="E435" s="84"/>
      <c r="G435" s="79"/>
      <c r="H435" s="28"/>
      <c r="I435" s="29"/>
      <c r="J435" s="84"/>
    </row>
    <row r="436" spans="2:10" x14ac:dyDescent="0.2">
      <c r="B436" s="79"/>
      <c r="C436" s="28"/>
      <c r="D436" s="29"/>
      <c r="E436" s="85"/>
      <c r="G436" s="79"/>
      <c r="H436" s="28"/>
      <c r="I436" s="29"/>
      <c r="J436" s="85"/>
    </row>
    <row r="437" spans="2:10" x14ac:dyDescent="0.2">
      <c r="B437" s="79"/>
      <c r="C437" s="28"/>
      <c r="D437" s="29"/>
      <c r="E437" s="84"/>
      <c r="G437" s="79"/>
      <c r="H437" s="28"/>
      <c r="I437" s="29"/>
      <c r="J437" s="85"/>
    </row>
    <row r="438" spans="2:10" x14ac:dyDescent="0.2">
      <c r="B438" s="79"/>
      <c r="C438" s="28"/>
      <c r="D438" s="29"/>
      <c r="E438" s="85"/>
      <c r="G438" s="79"/>
      <c r="H438" s="28"/>
      <c r="I438" s="29"/>
      <c r="J438" s="84"/>
    </row>
    <row r="439" spans="2:10" x14ac:dyDescent="0.2">
      <c r="B439" s="79"/>
      <c r="C439" s="28"/>
      <c r="D439" s="29"/>
      <c r="E439" s="85"/>
      <c r="G439" s="79"/>
      <c r="H439" s="28"/>
      <c r="I439" s="29"/>
      <c r="J439" s="85"/>
    </row>
    <row r="440" spans="2:10" x14ac:dyDescent="0.2">
      <c r="B440" s="79"/>
      <c r="C440" s="28"/>
      <c r="D440" s="29"/>
      <c r="E440" s="84"/>
      <c r="G440" s="79"/>
      <c r="H440" s="28"/>
      <c r="I440" s="29"/>
      <c r="J440" s="84"/>
    </row>
    <row r="441" spans="2:10" x14ac:dyDescent="0.2">
      <c r="B441" s="79"/>
      <c r="C441" s="28"/>
      <c r="D441" s="29"/>
      <c r="E441" s="85"/>
      <c r="G441" s="79"/>
      <c r="H441" s="28"/>
      <c r="I441" s="29"/>
      <c r="J441" s="85"/>
    </row>
    <row r="442" spans="2:10" x14ac:dyDescent="0.2">
      <c r="B442" s="79"/>
      <c r="C442" s="28"/>
      <c r="D442" s="29"/>
      <c r="E442" s="84"/>
      <c r="G442" s="79"/>
      <c r="H442" s="28"/>
      <c r="I442" s="29"/>
      <c r="J442" s="85"/>
    </row>
    <row r="443" spans="2:10" x14ac:dyDescent="0.2">
      <c r="B443" s="79"/>
      <c r="C443" s="28"/>
      <c r="D443" s="29"/>
      <c r="E443" s="85"/>
      <c r="G443" s="79"/>
      <c r="H443" s="28"/>
      <c r="I443" s="29"/>
      <c r="J443" s="84"/>
    </row>
    <row r="444" spans="2:10" x14ac:dyDescent="0.2">
      <c r="B444" s="79"/>
      <c r="C444" s="28"/>
      <c r="D444" s="29"/>
      <c r="E444" s="84"/>
      <c r="G444" s="79"/>
      <c r="H444" s="28"/>
      <c r="I444" s="29"/>
      <c r="J444" s="85"/>
    </row>
    <row r="445" spans="2:10" x14ac:dyDescent="0.2">
      <c r="B445" s="79"/>
      <c r="C445" s="28"/>
      <c r="D445" s="29"/>
      <c r="E445" s="85"/>
      <c r="G445" s="79"/>
      <c r="H445" s="28"/>
      <c r="I445" s="29"/>
      <c r="J445" s="84"/>
    </row>
    <row r="446" spans="2:10" x14ac:dyDescent="0.2">
      <c r="B446" s="79"/>
      <c r="C446" s="28"/>
      <c r="D446" s="29"/>
      <c r="E446" s="85"/>
      <c r="G446" s="79"/>
      <c r="H446" s="28"/>
      <c r="I446" s="29"/>
      <c r="J446" s="85"/>
    </row>
    <row r="447" spans="2:10" x14ac:dyDescent="0.2">
      <c r="B447" s="79"/>
      <c r="C447" s="28"/>
      <c r="D447" s="29"/>
      <c r="E447" s="84"/>
      <c r="G447" s="79"/>
      <c r="H447" s="28"/>
      <c r="I447" s="29"/>
      <c r="J447" s="85"/>
    </row>
    <row r="448" spans="2:10" x14ac:dyDescent="0.2">
      <c r="B448" s="79"/>
      <c r="C448" s="28"/>
      <c r="D448" s="29"/>
      <c r="E448" s="85"/>
      <c r="G448" s="79"/>
      <c r="H448" s="28"/>
      <c r="I448" s="29"/>
      <c r="J448" s="84"/>
    </row>
    <row r="449" spans="2:10" x14ac:dyDescent="0.2">
      <c r="B449" s="79"/>
      <c r="C449" s="28"/>
      <c r="D449" s="29"/>
      <c r="E449" s="84"/>
      <c r="G449" s="79"/>
      <c r="H449" s="28"/>
      <c r="I449" s="29"/>
      <c r="J449" s="85"/>
    </row>
    <row r="450" spans="2:10" x14ac:dyDescent="0.2">
      <c r="B450" s="79"/>
      <c r="C450" s="28"/>
      <c r="D450" s="29"/>
      <c r="E450" s="85"/>
      <c r="G450" s="79"/>
      <c r="H450" s="28"/>
      <c r="I450" s="29"/>
      <c r="J450" s="84"/>
    </row>
    <row r="451" spans="2:10" x14ac:dyDescent="0.2">
      <c r="B451" s="79"/>
      <c r="C451" s="28"/>
      <c r="D451" s="29"/>
      <c r="E451" s="85"/>
      <c r="G451" s="79"/>
      <c r="H451" s="28"/>
      <c r="I451" s="29"/>
      <c r="J451" s="85"/>
    </row>
    <row r="452" spans="2:10" x14ac:dyDescent="0.2">
      <c r="B452" s="79"/>
      <c r="C452" s="28"/>
      <c r="D452" s="29"/>
      <c r="E452" s="84"/>
      <c r="G452" s="79"/>
      <c r="H452" s="28"/>
      <c r="I452" s="29"/>
      <c r="J452" s="85"/>
    </row>
    <row r="453" spans="2:10" x14ac:dyDescent="0.2">
      <c r="B453" s="79"/>
      <c r="C453" s="28"/>
      <c r="D453" s="29"/>
      <c r="E453" s="85"/>
      <c r="G453" s="79"/>
      <c r="H453" s="28"/>
      <c r="I453" s="29"/>
      <c r="J453" s="84"/>
    </row>
    <row r="454" spans="2:10" x14ac:dyDescent="0.2">
      <c r="B454" s="79"/>
      <c r="C454" s="28"/>
      <c r="D454" s="29"/>
      <c r="E454" s="84"/>
      <c r="G454" s="79"/>
      <c r="H454" s="28"/>
      <c r="I454" s="29"/>
      <c r="J454" s="85"/>
    </row>
    <row r="455" spans="2:10" x14ac:dyDescent="0.2">
      <c r="B455" s="79"/>
      <c r="C455" s="28"/>
      <c r="D455" s="29"/>
      <c r="E455" s="85"/>
      <c r="G455" s="79"/>
      <c r="H455" s="28"/>
      <c r="I455" s="29"/>
      <c r="J455" s="84"/>
    </row>
    <row r="456" spans="2:10" x14ac:dyDescent="0.2">
      <c r="B456" s="79"/>
      <c r="C456" s="28"/>
      <c r="D456" s="29"/>
      <c r="E456" s="84"/>
      <c r="G456" s="79"/>
      <c r="H456" s="28"/>
      <c r="I456" s="29"/>
      <c r="J456" s="85"/>
    </row>
    <row r="457" spans="2:10" x14ac:dyDescent="0.2">
      <c r="B457" s="79"/>
      <c r="C457" s="28"/>
      <c r="D457" s="29"/>
      <c r="E457" s="85"/>
      <c r="G457" s="79"/>
      <c r="H457" s="28"/>
      <c r="I457" s="29"/>
      <c r="J457" s="85"/>
    </row>
    <row r="458" spans="2:10" x14ac:dyDescent="0.2">
      <c r="B458" s="79"/>
      <c r="C458" s="28"/>
      <c r="D458" s="29"/>
      <c r="E458" s="85"/>
      <c r="G458" s="79"/>
      <c r="H458" s="28"/>
      <c r="I458" s="29"/>
      <c r="J458" s="84"/>
    </row>
    <row r="459" spans="2:10" x14ac:dyDescent="0.2">
      <c r="B459" s="79"/>
      <c r="C459" s="28"/>
      <c r="D459" s="29"/>
      <c r="E459" s="84"/>
      <c r="G459" s="79"/>
      <c r="H459" s="28"/>
      <c r="I459" s="29"/>
      <c r="J459" s="85"/>
    </row>
    <row r="460" spans="2:10" x14ac:dyDescent="0.2">
      <c r="B460" s="79"/>
      <c r="C460" s="28"/>
      <c r="D460" s="29"/>
      <c r="E460" s="85"/>
      <c r="G460" s="79"/>
      <c r="H460" s="28"/>
      <c r="I460" s="29"/>
      <c r="J460" s="84"/>
    </row>
    <row r="461" spans="2:10" x14ac:dyDescent="0.2">
      <c r="B461" s="79"/>
      <c r="C461" s="28"/>
      <c r="D461" s="29"/>
      <c r="E461" s="84"/>
      <c r="G461" s="79"/>
      <c r="H461" s="28"/>
      <c r="I461" s="29"/>
      <c r="J461" s="85"/>
    </row>
    <row r="462" spans="2:10" x14ac:dyDescent="0.2">
      <c r="B462" s="79"/>
      <c r="C462" s="28"/>
      <c r="D462" s="29"/>
      <c r="E462" s="85"/>
      <c r="G462" s="79"/>
      <c r="H462" s="28"/>
      <c r="I462" s="29"/>
      <c r="J462" s="85"/>
    </row>
    <row r="463" spans="2:10" x14ac:dyDescent="0.2">
      <c r="B463" s="79"/>
      <c r="C463" s="28"/>
      <c r="D463" s="29"/>
      <c r="E463" s="85"/>
      <c r="G463" s="79"/>
      <c r="H463" s="28"/>
      <c r="I463" s="29"/>
      <c r="J463" s="84"/>
    </row>
    <row r="464" spans="2:10" x14ac:dyDescent="0.2">
      <c r="B464" s="79"/>
      <c r="C464" s="28"/>
      <c r="D464" s="29"/>
      <c r="E464" s="84"/>
      <c r="G464" s="79"/>
      <c r="H464" s="28"/>
      <c r="I464" s="29"/>
      <c r="J464" s="85"/>
    </row>
    <row r="465" spans="2:10" x14ac:dyDescent="0.2">
      <c r="B465" s="79"/>
      <c r="C465" s="28"/>
      <c r="D465" s="29"/>
      <c r="E465" s="85"/>
      <c r="G465" s="79"/>
      <c r="H465" s="28"/>
      <c r="I465" s="29"/>
      <c r="J465" s="84"/>
    </row>
    <row r="466" spans="2:10" x14ac:dyDescent="0.2">
      <c r="B466" s="79"/>
      <c r="C466" s="28"/>
      <c r="D466" s="29"/>
      <c r="E466" s="84"/>
      <c r="G466" s="79"/>
      <c r="H466" s="28"/>
      <c r="I466" s="29"/>
      <c r="J466" s="85"/>
    </row>
    <row r="467" spans="2:10" x14ac:dyDescent="0.2">
      <c r="B467" s="79"/>
      <c r="C467" s="28"/>
      <c r="D467" s="29"/>
      <c r="E467" s="85"/>
      <c r="G467" s="79"/>
      <c r="H467" s="28"/>
      <c r="I467" s="29"/>
      <c r="J467" s="85"/>
    </row>
    <row r="468" spans="2:10" x14ac:dyDescent="0.2">
      <c r="B468" s="79"/>
      <c r="C468" s="28"/>
      <c r="D468" s="29"/>
      <c r="E468" s="84"/>
      <c r="G468" s="79"/>
      <c r="H468" s="28"/>
      <c r="I468" s="29"/>
      <c r="J468" s="84"/>
    </row>
    <row r="469" spans="2:10" x14ac:dyDescent="0.2">
      <c r="B469" s="79"/>
      <c r="C469" s="28"/>
      <c r="D469" s="29"/>
      <c r="E469" s="85"/>
      <c r="G469" s="79"/>
      <c r="H469" s="28"/>
      <c r="I469" s="29"/>
      <c r="J469" s="85"/>
    </row>
    <row r="470" spans="2:10" x14ac:dyDescent="0.2">
      <c r="B470" s="79"/>
      <c r="C470" s="28"/>
      <c r="D470" s="29"/>
      <c r="E470" s="85"/>
      <c r="G470" s="79"/>
      <c r="H470" s="28"/>
      <c r="I470" s="29"/>
      <c r="J470" s="84"/>
    </row>
    <row r="471" spans="2:10" x14ac:dyDescent="0.2">
      <c r="B471" s="79"/>
      <c r="C471" s="28"/>
      <c r="D471" s="29"/>
      <c r="E471" s="84"/>
      <c r="G471" s="79"/>
      <c r="H471" s="28"/>
      <c r="I471" s="29"/>
      <c r="J471" s="85"/>
    </row>
    <row r="472" spans="2:10" x14ac:dyDescent="0.2">
      <c r="B472" s="79"/>
      <c r="C472" s="28"/>
      <c r="D472" s="29"/>
      <c r="E472" s="85"/>
      <c r="G472" s="79"/>
      <c r="H472" s="28"/>
      <c r="I472" s="29"/>
      <c r="J472" s="85"/>
    </row>
    <row r="473" spans="2:10" x14ac:dyDescent="0.2">
      <c r="B473" s="79"/>
      <c r="C473" s="28"/>
      <c r="D473" s="29"/>
      <c r="E473" s="84"/>
      <c r="G473" s="79"/>
      <c r="H473" s="28"/>
      <c r="I473" s="29"/>
      <c r="J473" s="84"/>
    </row>
    <row r="474" spans="2:10" x14ac:dyDescent="0.2">
      <c r="B474" s="79"/>
      <c r="C474" s="28"/>
      <c r="D474" s="29"/>
      <c r="E474" s="85"/>
      <c r="G474" s="79"/>
      <c r="H474" s="28"/>
      <c r="I474" s="29"/>
      <c r="J474" s="85"/>
    </row>
    <row r="475" spans="2:10" x14ac:dyDescent="0.2">
      <c r="B475" s="79"/>
      <c r="C475" s="28"/>
      <c r="D475" s="29"/>
      <c r="E475" s="85"/>
      <c r="G475" s="79"/>
      <c r="H475" s="28"/>
      <c r="I475" s="29"/>
      <c r="J475" s="84"/>
    </row>
    <row r="476" spans="2:10" x14ac:dyDescent="0.2">
      <c r="B476" s="79"/>
      <c r="C476" s="28"/>
      <c r="D476" s="29"/>
      <c r="E476" s="84"/>
      <c r="G476" s="79"/>
      <c r="H476" s="28"/>
      <c r="I476" s="29"/>
      <c r="J476" s="85"/>
    </row>
    <row r="477" spans="2:10" x14ac:dyDescent="0.2">
      <c r="B477" s="79"/>
      <c r="C477" s="28"/>
      <c r="D477" s="29"/>
      <c r="E477" s="85"/>
      <c r="G477" s="79"/>
      <c r="H477" s="28"/>
      <c r="I477" s="29"/>
      <c r="J477" s="85"/>
    </row>
    <row r="478" spans="2:10" x14ac:dyDescent="0.2">
      <c r="B478" s="79"/>
      <c r="C478" s="28"/>
      <c r="D478" s="29"/>
      <c r="E478" s="84"/>
      <c r="G478" s="79"/>
      <c r="H478" s="28"/>
      <c r="I478" s="29"/>
      <c r="J478" s="84"/>
    </row>
    <row r="479" spans="2:10" x14ac:dyDescent="0.2">
      <c r="B479" s="79"/>
      <c r="C479" s="28"/>
      <c r="D479" s="29"/>
      <c r="E479" s="85"/>
      <c r="G479" s="79"/>
      <c r="H479" s="28"/>
      <c r="I479" s="29"/>
      <c r="J479" s="85"/>
    </row>
    <row r="480" spans="2:10" x14ac:dyDescent="0.2">
      <c r="B480" s="79"/>
      <c r="C480" s="28"/>
      <c r="D480" s="29"/>
      <c r="E480" s="84"/>
      <c r="G480" s="79"/>
      <c r="H480" s="28"/>
      <c r="I480" s="29"/>
      <c r="J480" s="84"/>
    </row>
    <row r="481" spans="2:10" x14ac:dyDescent="0.2">
      <c r="B481" s="79"/>
      <c r="C481" s="28"/>
      <c r="D481" s="29"/>
      <c r="E481" s="85"/>
      <c r="G481" s="79"/>
      <c r="H481" s="28"/>
      <c r="I481" s="29"/>
      <c r="J481" s="85"/>
    </row>
    <row r="482" spans="2:10" x14ac:dyDescent="0.2">
      <c r="B482" s="79"/>
      <c r="C482" s="28"/>
      <c r="D482" s="29"/>
      <c r="E482" s="85"/>
      <c r="G482" s="79"/>
      <c r="H482" s="28"/>
      <c r="I482" s="29"/>
      <c r="J482" s="85"/>
    </row>
    <row r="483" spans="2:10" x14ac:dyDescent="0.2">
      <c r="B483" s="79"/>
      <c r="C483" s="28"/>
      <c r="D483" s="29"/>
      <c r="E483" s="84"/>
      <c r="G483" s="79"/>
      <c r="H483" s="28"/>
      <c r="I483" s="29"/>
      <c r="J483" s="84"/>
    </row>
    <row r="484" spans="2:10" x14ac:dyDescent="0.2">
      <c r="B484" s="79"/>
      <c r="C484" s="28"/>
      <c r="D484" s="29"/>
      <c r="E484" s="85"/>
      <c r="G484" s="79"/>
      <c r="H484" s="28"/>
      <c r="I484" s="29"/>
      <c r="J484" s="85"/>
    </row>
    <row r="485" spans="2:10" x14ac:dyDescent="0.2">
      <c r="B485" s="79"/>
      <c r="C485" s="28"/>
      <c r="D485" s="29"/>
      <c r="E485" s="84"/>
      <c r="G485" s="79"/>
      <c r="H485" s="28"/>
      <c r="I485" s="29"/>
      <c r="J485" s="84"/>
    </row>
    <row r="486" spans="2:10" x14ac:dyDescent="0.2">
      <c r="B486" s="79"/>
      <c r="C486" s="28"/>
      <c r="D486" s="29"/>
      <c r="E486" s="85"/>
      <c r="G486" s="79"/>
      <c r="H486" s="28"/>
      <c r="I486" s="29"/>
      <c r="J486" s="85"/>
    </row>
    <row r="487" spans="2:10" x14ac:dyDescent="0.2">
      <c r="B487" s="79"/>
      <c r="C487" s="28"/>
      <c r="D487" s="29"/>
      <c r="E487" s="85"/>
      <c r="G487" s="79"/>
      <c r="H487" s="28"/>
      <c r="I487" s="29"/>
      <c r="J487" s="85"/>
    </row>
    <row r="488" spans="2:10" x14ac:dyDescent="0.2">
      <c r="B488" s="79"/>
      <c r="C488" s="28"/>
      <c r="D488" s="29"/>
      <c r="E488" s="84"/>
      <c r="G488" s="79"/>
      <c r="H488" s="28"/>
      <c r="I488" s="29"/>
      <c r="J488" s="84"/>
    </row>
    <row r="489" spans="2:10" x14ac:dyDescent="0.2">
      <c r="B489" s="79"/>
      <c r="C489" s="28"/>
      <c r="D489" s="29"/>
      <c r="E489" s="85"/>
      <c r="G489" s="79"/>
      <c r="H489" s="28"/>
      <c r="I489" s="29"/>
      <c r="J489" s="85"/>
    </row>
    <row r="490" spans="2:10" x14ac:dyDescent="0.2">
      <c r="B490" s="79"/>
      <c r="C490" s="28"/>
      <c r="D490" s="29"/>
      <c r="E490" s="84"/>
      <c r="G490" s="79"/>
      <c r="H490" s="28"/>
      <c r="I490" s="29"/>
      <c r="J490" s="84"/>
    </row>
    <row r="491" spans="2:10" x14ac:dyDescent="0.2">
      <c r="B491" s="79"/>
      <c r="C491" s="28"/>
      <c r="D491" s="29"/>
      <c r="E491" s="85"/>
      <c r="G491" s="79"/>
      <c r="H491" s="28"/>
      <c r="I491" s="29"/>
      <c r="J491" s="85"/>
    </row>
    <row r="492" spans="2:10" x14ac:dyDescent="0.2">
      <c r="B492" s="79"/>
      <c r="C492" s="28"/>
      <c r="D492" s="29"/>
      <c r="E492" s="84"/>
      <c r="G492" s="79"/>
      <c r="H492" s="28"/>
      <c r="I492" s="29"/>
      <c r="J492" s="85"/>
    </row>
    <row r="493" spans="2:10" x14ac:dyDescent="0.2">
      <c r="B493" s="79"/>
      <c r="C493" s="28"/>
      <c r="D493" s="29"/>
      <c r="E493" s="85"/>
      <c r="G493" s="79"/>
      <c r="H493" s="28"/>
      <c r="I493" s="29"/>
      <c r="J493" s="84"/>
    </row>
    <row r="494" spans="2:10" x14ac:dyDescent="0.2">
      <c r="B494" s="79"/>
      <c r="C494" s="28"/>
      <c r="D494" s="29"/>
      <c r="E494" s="85"/>
      <c r="G494" s="79"/>
      <c r="H494" s="28"/>
      <c r="I494" s="29"/>
      <c r="J494" s="85"/>
    </row>
    <row r="495" spans="2:10" x14ac:dyDescent="0.2">
      <c r="B495" s="79"/>
      <c r="C495" s="28"/>
      <c r="D495" s="29"/>
      <c r="E495" s="84"/>
      <c r="G495" s="79"/>
      <c r="H495" s="28"/>
      <c r="I495" s="29"/>
      <c r="J495" s="84"/>
    </row>
    <row r="496" spans="2:10" x14ac:dyDescent="0.2">
      <c r="B496" s="79"/>
      <c r="C496" s="28"/>
      <c r="D496" s="29"/>
      <c r="E496" s="85"/>
      <c r="G496" s="79"/>
      <c r="H496" s="28"/>
      <c r="I496" s="29"/>
      <c r="J496" s="85"/>
    </row>
    <row r="497" spans="2:10" x14ac:dyDescent="0.2">
      <c r="B497" s="79"/>
      <c r="C497" s="28"/>
      <c r="D497" s="29"/>
      <c r="E497" s="84"/>
      <c r="G497" s="79"/>
      <c r="H497" s="28"/>
      <c r="I497" s="29"/>
      <c r="J497" s="85"/>
    </row>
    <row r="498" spans="2:10" x14ac:dyDescent="0.2">
      <c r="B498" s="79"/>
      <c r="C498" s="28"/>
      <c r="D498" s="29"/>
      <c r="E498" s="85"/>
      <c r="G498" s="79"/>
      <c r="H498" s="28"/>
      <c r="I498" s="29"/>
      <c r="J498" s="84"/>
    </row>
    <row r="499" spans="2:10" x14ac:dyDescent="0.2">
      <c r="B499" s="79"/>
      <c r="C499" s="28"/>
      <c r="D499" s="29"/>
      <c r="E499" s="85"/>
      <c r="G499" s="79"/>
      <c r="H499" s="28"/>
      <c r="I499" s="29"/>
      <c r="J499" s="85"/>
    </row>
    <row r="500" spans="2:10" x14ac:dyDescent="0.2">
      <c r="B500" s="79"/>
      <c r="C500" s="28"/>
      <c r="D500" s="29"/>
      <c r="E500" s="84"/>
      <c r="G500" s="79"/>
      <c r="H500" s="28"/>
      <c r="I500" s="29"/>
      <c r="J500" s="84"/>
    </row>
    <row r="501" spans="2:10" x14ac:dyDescent="0.2">
      <c r="B501" s="79"/>
      <c r="C501" s="28"/>
      <c r="D501" s="29"/>
      <c r="E501" s="85"/>
      <c r="G501" s="79"/>
      <c r="H501" s="28"/>
      <c r="I501" s="29"/>
      <c r="J501" s="85"/>
    </row>
    <row r="502" spans="2:10" x14ac:dyDescent="0.2">
      <c r="B502" s="79"/>
      <c r="C502" s="28"/>
      <c r="D502" s="29"/>
      <c r="E502" s="84"/>
      <c r="G502" s="79"/>
      <c r="H502" s="28"/>
      <c r="I502" s="29"/>
      <c r="J502" s="85"/>
    </row>
    <row r="503" spans="2:10" x14ac:dyDescent="0.2">
      <c r="B503" s="79"/>
      <c r="C503" s="28"/>
      <c r="D503" s="29"/>
      <c r="E503" s="85"/>
      <c r="G503" s="79"/>
      <c r="H503" s="28"/>
      <c r="I503" s="29"/>
      <c r="J503" s="84"/>
    </row>
    <row r="504" spans="2:10" x14ac:dyDescent="0.2">
      <c r="B504" s="79"/>
      <c r="C504" s="28"/>
      <c r="D504" s="29"/>
      <c r="E504" s="84"/>
      <c r="G504" s="79"/>
      <c r="H504" s="28"/>
      <c r="I504" s="29"/>
      <c r="J504" s="85"/>
    </row>
    <row r="505" spans="2:10" x14ac:dyDescent="0.2">
      <c r="B505" s="79"/>
      <c r="C505" s="28"/>
      <c r="D505" s="29"/>
      <c r="E505" s="85"/>
      <c r="G505" s="79"/>
      <c r="H505" s="28"/>
      <c r="I505" s="29"/>
      <c r="J505" s="84"/>
    </row>
    <row r="506" spans="2:10" x14ac:dyDescent="0.2">
      <c r="B506" s="79"/>
      <c r="C506" s="28"/>
      <c r="D506" s="29"/>
      <c r="E506" s="85"/>
      <c r="G506" s="79"/>
      <c r="H506" s="28"/>
      <c r="I506" s="29"/>
      <c r="J506" s="85"/>
    </row>
    <row r="507" spans="2:10" x14ac:dyDescent="0.2">
      <c r="B507" s="79"/>
      <c r="C507" s="28"/>
      <c r="D507" s="29"/>
      <c r="E507" s="84"/>
      <c r="G507" s="79"/>
      <c r="H507" s="28"/>
      <c r="I507" s="29"/>
      <c r="J507" s="85"/>
    </row>
    <row r="508" spans="2:10" x14ac:dyDescent="0.2">
      <c r="B508" s="79"/>
      <c r="C508" s="28"/>
      <c r="D508" s="29"/>
      <c r="E508" s="85"/>
      <c r="G508" s="79"/>
      <c r="H508" s="28"/>
      <c r="I508" s="29"/>
      <c r="J508" s="84"/>
    </row>
    <row r="509" spans="2:10" x14ac:dyDescent="0.2">
      <c r="B509" s="79"/>
      <c r="C509" s="28"/>
      <c r="D509" s="29"/>
      <c r="E509" s="84"/>
      <c r="G509" s="79"/>
      <c r="H509" s="28"/>
      <c r="I509" s="29"/>
      <c r="J509" s="85"/>
    </row>
    <row r="510" spans="2:10" x14ac:dyDescent="0.2">
      <c r="B510" s="79"/>
      <c r="C510" s="28"/>
      <c r="D510" s="29"/>
      <c r="E510" s="85"/>
      <c r="G510" s="79"/>
      <c r="H510" s="28"/>
      <c r="I510" s="29"/>
      <c r="J510" s="84"/>
    </row>
    <row r="511" spans="2:10" x14ac:dyDescent="0.2">
      <c r="B511" s="79"/>
      <c r="C511" s="28"/>
      <c r="D511" s="29"/>
      <c r="E511" s="85"/>
      <c r="G511" s="79"/>
      <c r="H511" s="28"/>
      <c r="I511" s="29"/>
      <c r="J511" s="85"/>
    </row>
    <row r="512" spans="2:10" x14ac:dyDescent="0.2">
      <c r="B512" s="79"/>
      <c r="C512" s="28"/>
      <c r="D512" s="29"/>
      <c r="E512" s="84"/>
      <c r="G512" s="79"/>
      <c r="H512" s="28"/>
      <c r="I512" s="29"/>
      <c r="J512" s="85"/>
    </row>
    <row r="513" spans="2:10" x14ac:dyDescent="0.2">
      <c r="B513" s="79"/>
      <c r="C513" s="28"/>
      <c r="D513" s="29"/>
      <c r="E513" s="85"/>
      <c r="G513" s="79"/>
      <c r="H513" s="28"/>
      <c r="I513" s="29"/>
      <c r="J513" s="84"/>
    </row>
    <row r="514" spans="2:10" x14ac:dyDescent="0.2">
      <c r="B514" s="79"/>
      <c r="C514" s="28"/>
      <c r="D514" s="29"/>
      <c r="E514" s="84"/>
      <c r="G514" s="79"/>
      <c r="H514" s="28"/>
      <c r="I514" s="29"/>
      <c r="J514" s="85"/>
    </row>
    <row r="515" spans="2:10" x14ac:dyDescent="0.2">
      <c r="B515" s="79"/>
      <c r="C515" s="28"/>
      <c r="D515" s="29"/>
      <c r="E515" s="85"/>
      <c r="G515" s="79"/>
      <c r="H515" s="28"/>
      <c r="I515" s="29"/>
      <c r="J515" s="84"/>
    </row>
    <row r="516" spans="2:10" x14ac:dyDescent="0.2">
      <c r="B516" s="79"/>
      <c r="C516" s="28"/>
      <c r="D516" s="29"/>
      <c r="E516" s="84"/>
      <c r="G516" s="79"/>
      <c r="H516" s="28"/>
      <c r="I516" s="29"/>
      <c r="J516" s="85"/>
    </row>
    <row r="517" spans="2:10" x14ac:dyDescent="0.2">
      <c r="B517" s="79"/>
      <c r="C517" s="28"/>
      <c r="D517" s="29"/>
      <c r="E517" s="85"/>
      <c r="G517" s="79"/>
      <c r="H517" s="28"/>
      <c r="I517" s="29"/>
      <c r="J517" s="85"/>
    </row>
    <row r="518" spans="2:10" x14ac:dyDescent="0.2">
      <c r="B518" s="79"/>
      <c r="C518" s="28"/>
      <c r="D518" s="29"/>
      <c r="E518" s="85"/>
      <c r="G518" s="79"/>
      <c r="H518" s="28"/>
      <c r="I518" s="29"/>
      <c r="J518" s="84"/>
    </row>
    <row r="519" spans="2:10" x14ac:dyDescent="0.2">
      <c r="B519" s="79"/>
      <c r="C519" s="28"/>
      <c r="D519" s="29"/>
      <c r="E519" s="84"/>
      <c r="G519" s="79"/>
      <c r="H519" s="28"/>
      <c r="I519" s="29"/>
      <c r="J519" s="85"/>
    </row>
    <row r="520" spans="2:10" x14ac:dyDescent="0.2">
      <c r="B520" s="79"/>
      <c r="C520" s="28"/>
      <c r="D520" s="29"/>
      <c r="E520" s="85"/>
      <c r="G520" s="79"/>
      <c r="H520" s="28"/>
      <c r="I520" s="29"/>
      <c r="J520" s="84"/>
    </row>
    <row r="521" spans="2:10" x14ac:dyDescent="0.2">
      <c r="B521" s="79"/>
      <c r="C521" s="28"/>
      <c r="D521" s="29"/>
      <c r="E521" s="84"/>
      <c r="G521" s="79"/>
      <c r="H521" s="28"/>
      <c r="I521" s="29"/>
      <c r="J521" s="85"/>
    </row>
    <row r="522" spans="2:10" x14ac:dyDescent="0.2">
      <c r="B522" s="79"/>
      <c r="C522" s="28"/>
      <c r="D522" s="29"/>
      <c r="E522" s="85"/>
      <c r="G522" s="79"/>
      <c r="H522" s="28"/>
      <c r="I522" s="29"/>
      <c r="J522" s="85"/>
    </row>
    <row r="523" spans="2:10" x14ac:dyDescent="0.2">
      <c r="B523" s="79"/>
      <c r="C523" s="28"/>
      <c r="D523" s="29"/>
      <c r="E523" s="85"/>
      <c r="G523" s="79"/>
      <c r="H523" s="28"/>
      <c r="I523" s="29"/>
      <c r="J523" s="84"/>
    </row>
    <row r="524" spans="2:10" x14ac:dyDescent="0.2">
      <c r="B524" s="79"/>
      <c r="C524" s="28"/>
      <c r="D524" s="29"/>
      <c r="E524" s="84"/>
      <c r="G524" s="79"/>
      <c r="H524" s="28"/>
      <c r="I524" s="29"/>
      <c r="J524" s="85"/>
    </row>
    <row r="525" spans="2:10" x14ac:dyDescent="0.2">
      <c r="B525" s="79"/>
      <c r="C525" s="28"/>
      <c r="D525" s="29"/>
      <c r="E525" s="85"/>
      <c r="G525" s="79"/>
      <c r="H525" s="28"/>
      <c r="I525" s="29"/>
      <c r="J525" s="84"/>
    </row>
    <row r="526" spans="2:10" x14ac:dyDescent="0.2">
      <c r="B526" s="79"/>
      <c r="C526" s="28"/>
      <c r="D526" s="29"/>
      <c r="E526" s="84"/>
      <c r="G526" s="79"/>
      <c r="H526" s="28"/>
      <c r="I526" s="29"/>
      <c r="J526" s="85"/>
    </row>
    <row r="527" spans="2:10" x14ac:dyDescent="0.2">
      <c r="B527" s="79"/>
      <c r="C527" s="28"/>
      <c r="D527" s="29"/>
      <c r="E527" s="85"/>
      <c r="G527" s="79"/>
      <c r="H527" s="28"/>
      <c r="I527" s="29"/>
      <c r="J527" s="85"/>
    </row>
    <row r="528" spans="2:10" x14ac:dyDescent="0.2">
      <c r="B528" s="79"/>
      <c r="C528" s="28"/>
      <c r="D528" s="29"/>
      <c r="E528" s="84"/>
      <c r="G528" s="79"/>
      <c r="H528" s="28"/>
      <c r="I528" s="29"/>
      <c r="J528" s="84"/>
    </row>
    <row r="529" spans="2:10" x14ac:dyDescent="0.2">
      <c r="B529" s="79"/>
      <c r="C529" s="28"/>
      <c r="D529" s="29"/>
      <c r="E529" s="85"/>
      <c r="G529" s="79"/>
      <c r="H529" s="28"/>
      <c r="I529" s="29"/>
      <c r="J529" s="85"/>
    </row>
    <row r="530" spans="2:10" x14ac:dyDescent="0.2">
      <c r="B530" s="79"/>
      <c r="C530" s="28"/>
      <c r="D530" s="29"/>
      <c r="E530" s="85"/>
      <c r="G530" s="79"/>
      <c r="H530" s="28"/>
      <c r="I530" s="29"/>
      <c r="J530" s="84"/>
    </row>
    <row r="531" spans="2:10" x14ac:dyDescent="0.2">
      <c r="B531" s="79"/>
      <c r="C531" s="28"/>
      <c r="D531" s="29"/>
      <c r="E531" s="84"/>
      <c r="G531" s="79"/>
      <c r="H531" s="28"/>
      <c r="I531" s="29"/>
      <c r="J531" s="85"/>
    </row>
    <row r="532" spans="2:10" x14ac:dyDescent="0.2">
      <c r="B532" s="79"/>
      <c r="C532" s="28"/>
      <c r="D532" s="29"/>
      <c r="E532" s="85"/>
      <c r="G532" s="79"/>
      <c r="H532" s="28"/>
      <c r="I532" s="29"/>
      <c r="J532" s="85"/>
    </row>
    <row r="533" spans="2:10" x14ac:dyDescent="0.2">
      <c r="B533" s="79"/>
      <c r="C533" s="28"/>
      <c r="D533" s="29"/>
      <c r="E533" s="84"/>
      <c r="G533" s="79"/>
      <c r="H533" s="28"/>
      <c r="I533" s="29"/>
      <c r="J533" s="84"/>
    </row>
    <row r="534" spans="2:10" x14ac:dyDescent="0.2">
      <c r="B534" s="79"/>
      <c r="C534" s="28"/>
      <c r="D534" s="29"/>
      <c r="E534" s="85"/>
      <c r="G534" s="79"/>
      <c r="H534" s="28"/>
      <c r="I534" s="29"/>
      <c r="J534" s="85"/>
    </row>
    <row r="535" spans="2:10" x14ac:dyDescent="0.2">
      <c r="B535" s="79"/>
      <c r="C535" s="28"/>
      <c r="D535" s="29"/>
      <c r="E535" s="85"/>
      <c r="G535" s="79"/>
      <c r="H535" s="28"/>
      <c r="I535" s="29"/>
      <c r="J535" s="84"/>
    </row>
    <row r="536" spans="2:10" x14ac:dyDescent="0.2">
      <c r="B536" s="79"/>
      <c r="C536" s="28"/>
      <c r="D536" s="29"/>
      <c r="E536" s="84"/>
      <c r="G536" s="79"/>
      <c r="H536" s="28"/>
      <c r="I536" s="29"/>
      <c r="J536" s="85"/>
    </row>
    <row r="537" spans="2:10" x14ac:dyDescent="0.2">
      <c r="B537" s="79"/>
      <c r="C537" s="28"/>
      <c r="D537" s="29"/>
      <c r="E537" s="85"/>
      <c r="G537" s="79"/>
      <c r="H537" s="28"/>
      <c r="I537" s="29"/>
      <c r="J537" s="85"/>
    </row>
    <row r="538" spans="2:10" x14ac:dyDescent="0.2">
      <c r="B538" s="79"/>
      <c r="C538" s="28"/>
      <c r="D538" s="29"/>
      <c r="E538" s="84"/>
      <c r="G538" s="79"/>
      <c r="H538" s="28"/>
      <c r="I538" s="29"/>
      <c r="J538" s="84"/>
    </row>
    <row r="539" spans="2:10" x14ac:dyDescent="0.2">
      <c r="B539" s="79"/>
      <c r="C539" s="28"/>
      <c r="D539" s="29"/>
      <c r="E539" s="85"/>
      <c r="G539" s="79"/>
      <c r="H539" s="28"/>
      <c r="I539" s="29"/>
      <c r="J539" s="85"/>
    </row>
    <row r="540" spans="2:10" x14ac:dyDescent="0.2">
      <c r="B540" s="79"/>
      <c r="C540" s="28"/>
      <c r="D540" s="29"/>
      <c r="E540" s="84"/>
      <c r="G540" s="79"/>
      <c r="H540" s="28"/>
      <c r="I540" s="29"/>
      <c r="J540" s="84"/>
    </row>
    <row r="541" spans="2:10" x14ac:dyDescent="0.2">
      <c r="B541" s="79"/>
      <c r="C541" s="28"/>
      <c r="D541" s="29"/>
      <c r="E541" s="85"/>
      <c r="G541" s="79"/>
      <c r="H541" s="28"/>
      <c r="I541" s="29"/>
      <c r="J541" s="85"/>
    </row>
    <row r="542" spans="2:10" x14ac:dyDescent="0.2">
      <c r="B542" s="79"/>
      <c r="C542" s="28"/>
      <c r="D542" s="29"/>
      <c r="E542" s="85"/>
      <c r="G542" s="79"/>
      <c r="H542" s="28"/>
      <c r="I542" s="29"/>
      <c r="J542" s="85"/>
    </row>
    <row r="543" spans="2:10" x14ac:dyDescent="0.2">
      <c r="B543" s="79"/>
      <c r="C543" s="28"/>
      <c r="D543" s="29"/>
      <c r="E543" s="84"/>
      <c r="G543" s="79"/>
      <c r="H543" s="28"/>
      <c r="I543" s="29"/>
      <c r="J543" s="84"/>
    </row>
    <row r="544" spans="2:10" x14ac:dyDescent="0.2">
      <c r="B544" s="79"/>
      <c r="C544" s="28"/>
      <c r="D544" s="29"/>
      <c r="E544" s="85"/>
      <c r="G544" s="79"/>
      <c r="H544" s="28"/>
      <c r="I544" s="29"/>
      <c r="J544" s="85"/>
    </row>
    <row r="545" spans="2:10" x14ac:dyDescent="0.2">
      <c r="B545" s="79"/>
      <c r="C545" s="28"/>
      <c r="D545" s="29"/>
      <c r="E545" s="84"/>
      <c r="G545" s="79"/>
      <c r="H545" s="28"/>
      <c r="I545" s="29"/>
      <c r="J545" s="84"/>
    </row>
    <row r="546" spans="2:10" x14ac:dyDescent="0.2">
      <c r="B546" s="79"/>
      <c r="C546" s="28"/>
      <c r="D546" s="29"/>
      <c r="E546" s="85"/>
      <c r="G546" s="79"/>
      <c r="H546" s="28"/>
      <c r="I546" s="29"/>
      <c r="J546" s="85"/>
    </row>
    <row r="547" spans="2:10" x14ac:dyDescent="0.2">
      <c r="B547" s="79"/>
      <c r="C547" s="28"/>
      <c r="D547" s="29"/>
      <c r="E547" s="85"/>
      <c r="G547" s="79"/>
      <c r="H547" s="28"/>
      <c r="I547" s="29"/>
      <c r="J547" s="85"/>
    </row>
    <row r="548" spans="2:10" x14ac:dyDescent="0.2">
      <c r="B548" s="79"/>
      <c r="C548" s="28"/>
      <c r="D548" s="29"/>
      <c r="E548" s="84"/>
      <c r="G548" s="79"/>
      <c r="H548" s="28"/>
      <c r="I548" s="29"/>
      <c r="J548" s="84"/>
    </row>
    <row r="549" spans="2:10" x14ac:dyDescent="0.2">
      <c r="B549" s="79"/>
      <c r="C549" s="28"/>
      <c r="D549" s="29"/>
      <c r="E549" s="85"/>
      <c r="G549" s="79"/>
      <c r="H549" s="28"/>
      <c r="I549" s="29"/>
      <c r="J549" s="85"/>
    </row>
    <row r="550" spans="2:10" x14ac:dyDescent="0.2">
      <c r="B550" s="79"/>
      <c r="C550" s="28"/>
      <c r="D550" s="29"/>
      <c r="E550" s="84"/>
      <c r="G550" s="79"/>
      <c r="H550" s="28"/>
      <c r="I550" s="29"/>
      <c r="J550" s="84"/>
    </row>
    <row r="551" spans="2:10" x14ac:dyDescent="0.2">
      <c r="B551" s="79"/>
      <c r="C551" s="28"/>
      <c r="D551" s="29"/>
      <c r="E551" s="85"/>
      <c r="G551" s="79"/>
      <c r="H551" s="28"/>
      <c r="I551" s="29"/>
      <c r="J551" s="85"/>
    </row>
    <row r="552" spans="2:10" x14ac:dyDescent="0.2">
      <c r="B552" s="79"/>
      <c r="C552" s="28"/>
      <c r="D552" s="29"/>
      <c r="E552" s="84"/>
      <c r="G552" s="79"/>
      <c r="H552" s="28"/>
      <c r="I552" s="29"/>
      <c r="J552" s="85"/>
    </row>
    <row r="553" spans="2:10" x14ac:dyDescent="0.2">
      <c r="B553" s="79"/>
      <c r="C553" s="28"/>
      <c r="D553" s="29"/>
      <c r="E553" s="85"/>
      <c r="G553" s="79"/>
      <c r="H553" s="28"/>
      <c r="I553" s="29"/>
      <c r="J553" s="84"/>
    </row>
    <row r="554" spans="2:10" x14ac:dyDescent="0.2">
      <c r="B554" s="79"/>
      <c r="C554" s="28"/>
      <c r="D554" s="29"/>
      <c r="E554" s="85"/>
      <c r="G554" s="79"/>
      <c r="H554" s="28"/>
      <c r="I554" s="29"/>
      <c r="J554" s="85"/>
    </row>
    <row r="555" spans="2:10" x14ac:dyDescent="0.2">
      <c r="B555" s="79"/>
      <c r="C555" s="28"/>
      <c r="D555" s="29"/>
      <c r="E555" s="84"/>
      <c r="G555" s="79"/>
      <c r="H555" s="28"/>
      <c r="I555" s="29"/>
      <c r="J555" s="84"/>
    </row>
    <row r="556" spans="2:10" x14ac:dyDescent="0.2">
      <c r="B556" s="79"/>
      <c r="C556" s="28"/>
      <c r="D556" s="29"/>
      <c r="E556" s="85"/>
      <c r="G556" s="79"/>
      <c r="H556" s="28"/>
      <c r="I556" s="29"/>
      <c r="J556" s="85"/>
    </row>
    <row r="557" spans="2:10" x14ac:dyDescent="0.2">
      <c r="B557" s="79"/>
      <c r="C557" s="28"/>
      <c r="D557" s="29"/>
      <c r="E557" s="84"/>
      <c r="G557" s="79"/>
      <c r="H557" s="28"/>
      <c r="I557" s="29"/>
      <c r="J557" s="85"/>
    </row>
    <row r="558" spans="2:10" x14ac:dyDescent="0.2">
      <c r="B558" s="79"/>
      <c r="C558" s="28"/>
      <c r="D558" s="29"/>
      <c r="E558" s="85"/>
      <c r="G558" s="79"/>
      <c r="H558" s="28"/>
      <c r="I558" s="29"/>
      <c r="J558" s="84"/>
    </row>
    <row r="559" spans="2:10" x14ac:dyDescent="0.2">
      <c r="B559" s="79"/>
      <c r="C559" s="28"/>
      <c r="D559" s="29"/>
      <c r="E559" s="85"/>
      <c r="G559" s="79"/>
      <c r="H559" s="28"/>
      <c r="I559" s="29"/>
      <c r="J559" s="85"/>
    </row>
    <row r="560" spans="2:10" x14ac:dyDescent="0.2">
      <c r="B560" s="79"/>
      <c r="C560" s="28"/>
      <c r="D560" s="29"/>
      <c r="E560" s="84"/>
      <c r="G560" s="79"/>
      <c r="H560" s="28"/>
      <c r="I560" s="29"/>
      <c r="J560" s="84"/>
    </row>
    <row r="561" spans="2:10" x14ac:dyDescent="0.2">
      <c r="B561" s="79"/>
      <c r="C561" s="28"/>
      <c r="D561" s="29"/>
      <c r="E561" s="85"/>
      <c r="G561" s="79"/>
      <c r="H561" s="28"/>
      <c r="I561" s="29"/>
      <c r="J561" s="85"/>
    </row>
    <row r="562" spans="2:10" x14ac:dyDescent="0.2">
      <c r="B562" s="79"/>
      <c r="C562" s="28"/>
      <c r="D562" s="29"/>
      <c r="E562" s="84"/>
      <c r="G562" s="79"/>
      <c r="H562" s="28"/>
      <c r="I562" s="29"/>
      <c r="J562" s="85"/>
    </row>
    <row r="563" spans="2:10" x14ac:dyDescent="0.2">
      <c r="B563" s="79"/>
      <c r="C563" s="28"/>
      <c r="D563" s="29"/>
      <c r="E563" s="85"/>
      <c r="G563" s="79"/>
      <c r="H563" s="28"/>
      <c r="I563" s="29"/>
      <c r="J563" s="84"/>
    </row>
    <row r="564" spans="2:10" x14ac:dyDescent="0.2">
      <c r="B564" s="79"/>
      <c r="C564" s="28"/>
      <c r="D564" s="29"/>
      <c r="E564" s="84"/>
      <c r="G564" s="79"/>
      <c r="H564" s="28"/>
      <c r="I564" s="29"/>
      <c r="J564" s="85"/>
    </row>
    <row r="565" spans="2:10" x14ac:dyDescent="0.2">
      <c r="B565" s="79"/>
      <c r="C565" s="28"/>
      <c r="D565" s="29"/>
      <c r="E565" s="85"/>
      <c r="G565" s="79"/>
      <c r="H565" s="28"/>
      <c r="I565" s="29"/>
      <c r="J565" s="84"/>
    </row>
    <row r="566" spans="2:10" x14ac:dyDescent="0.2">
      <c r="B566" s="79"/>
      <c r="C566" s="28"/>
      <c r="D566" s="29"/>
      <c r="E566" s="85"/>
      <c r="G566" s="79"/>
      <c r="H566" s="28"/>
      <c r="I566" s="29"/>
      <c r="J566" s="85"/>
    </row>
    <row r="567" spans="2:10" x14ac:dyDescent="0.2">
      <c r="B567" s="79"/>
      <c r="C567" s="28"/>
      <c r="D567" s="29"/>
      <c r="E567" s="84"/>
      <c r="G567" s="79"/>
      <c r="H567" s="28"/>
      <c r="I567" s="29"/>
      <c r="J567" s="85"/>
    </row>
    <row r="568" spans="2:10" x14ac:dyDescent="0.2">
      <c r="B568" s="79"/>
      <c r="C568" s="28"/>
      <c r="D568" s="29"/>
      <c r="E568" s="85"/>
      <c r="G568" s="79"/>
      <c r="H568" s="28"/>
      <c r="I568" s="29"/>
      <c r="J568" s="84"/>
    </row>
    <row r="569" spans="2:10" x14ac:dyDescent="0.2">
      <c r="B569" s="79"/>
      <c r="C569" s="28"/>
      <c r="D569" s="29"/>
      <c r="E569" s="84"/>
      <c r="G569" s="79"/>
      <c r="H569" s="28"/>
      <c r="I569" s="29"/>
      <c r="J569" s="85"/>
    </row>
    <row r="570" spans="2:10" x14ac:dyDescent="0.2">
      <c r="B570" s="79"/>
      <c r="C570" s="28"/>
      <c r="D570" s="29"/>
      <c r="E570" s="85"/>
      <c r="G570" s="79"/>
      <c r="H570" s="28"/>
      <c r="I570" s="29"/>
      <c r="J570" s="84"/>
    </row>
    <row r="571" spans="2:10" x14ac:dyDescent="0.2">
      <c r="B571" s="79"/>
      <c r="C571" s="28"/>
      <c r="D571" s="29"/>
      <c r="E571" s="85"/>
      <c r="G571" s="79"/>
      <c r="H571" s="28"/>
      <c r="I571" s="29"/>
      <c r="J571" s="85"/>
    </row>
    <row r="572" spans="2:10" x14ac:dyDescent="0.2">
      <c r="B572" s="79"/>
      <c r="C572" s="28"/>
      <c r="D572" s="29"/>
      <c r="E572" s="84"/>
      <c r="G572" s="79"/>
      <c r="H572" s="28"/>
      <c r="I572" s="29"/>
      <c r="J572" s="85"/>
    </row>
    <row r="573" spans="2:10" x14ac:dyDescent="0.2">
      <c r="B573" s="79"/>
      <c r="C573" s="28"/>
      <c r="D573" s="29"/>
      <c r="E573" s="85"/>
      <c r="G573" s="79"/>
      <c r="H573" s="28"/>
      <c r="I573" s="29"/>
      <c r="J573" s="84"/>
    </row>
    <row r="574" spans="2:10" x14ac:dyDescent="0.2">
      <c r="B574" s="79"/>
      <c r="C574" s="28"/>
      <c r="D574" s="29"/>
      <c r="E574" s="84"/>
      <c r="G574" s="79"/>
      <c r="H574" s="28"/>
      <c r="I574" s="29"/>
      <c r="J574" s="85"/>
    </row>
    <row r="575" spans="2:10" x14ac:dyDescent="0.2">
      <c r="B575" s="79"/>
      <c r="C575" s="28"/>
      <c r="D575" s="29"/>
      <c r="E575" s="85"/>
      <c r="G575" s="79"/>
      <c r="H575" s="28"/>
      <c r="I575" s="29"/>
      <c r="J575" s="84"/>
    </row>
    <row r="576" spans="2:10" x14ac:dyDescent="0.2">
      <c r="B576" s="79"/>
      <c r="C576" s="28"/>
      <c r="D576" s="29"/>
      <c r="E576" s="84"/>
      <c r="G576" s="79"/>
      <c r="H576" s="28"/>
      <c r="I576" s="29"/>
      <c r="J576" s="85"/>
    </row>
    <row r="577" spans="2:10" x14ac:dyDescent="0.2">
      <c r="B577" s="79"/>
      <c r="C577" s="28"/>
      <c r="D577" s="29"/>
      <c r="E577" s="85"/>
      <c r="G577" s="79"/>
      <c r="H577" s="28"/>
      <c r="I577" s="29"/>
      <c r="J577" s="85"/>
    </row>
    <row r="578" spans="2:10" x14ac:dyDescent="0.2">
      <c r="B578" s="79"/>
      <c r="C578" s="28"/>
      <c r="D578" s="29"/>
      <c r="E578" s="85"/>
      <c r="G578" s="79"/>
      <c r="H578" s="28"/>
      <c r="I578" s="29"/>
      <c r="J578" s="84"/>
    </row>
    <row r="579" spans="2:10" x14ac:dyDescent="0.2">
      <c r="B579" s="79"/>
      <c r="C579" s="28"/>
      <c r="D579" s="29"/>
      <c r="E579" s="84"/>
      <c r="G579" s="79"/>
      <c r="H579" s="28"/>
      <c r="I579" s="29"/>
      <c r="J579" s="85"/>
    </row>
    <row r="580" spans="2:10" x14ac:dyDescent="0.2">
      <c r="B580" s="79"/>
      <c r="C580" s="28"/>
      <c r="D580" s="29"/>
      <c r="E580" s="85"/>
      <c r="G580" s="79"/>
      <c r="H580" s="28"/>
      <c r="I580" s="29"/>
      <c r="J580" s="84"/>
    </row>
    <row r="581" spans="2:10" x14ac:dyDescent="0.2">
      <c r="B581" s="79"/>
      <c r="C581" s="28"/>
      <c r="D581" s="29"/>
      <c r="E581" s="84"/>
      <c r="G581" s="79"/>
      <c r="H581" s="28"/>
      <c r="I581" s="29"/>
      <c r="J581" s="85"/>
    </row>
    <row r="582" spans="2:10" x14ac:dyDescent="0.2">
      <c r="B582" s="79"/>
      <c r="C582" s="28"/>
      <c r="D582" s="29"/>
      <c r="E582" s="85"/>
      <c r="G582" s="79"/>
      <c r="H582" s="28"/>
      <c r="I582" s="29"/>
      <c r="J582" s="85"/>
    </row>
    <row r="583" spans="2:10" x14ac:dyDescent="0.2">
      <c r="B583" s="79"/>
      <c r="C583" s="28"/>
      <c r="D583" s="29"/>
      <c r="E583" s="85"/>
      <c r="G583" s="79"/>
      <c r="H583" s="28"/>
      <c r="I583" s="29"/>
      <c r="J583" s="84"/>
    </row>
    <row r="584" spans="2:10" x14ac:dyDescent="0.2">
      <c r="B584" s="79"/>
      <c r="C584" s="28"/>
      <c r="D584" s="29"/>
      <c r="E584" s="84"/>
      <c r="G584" s="79"/>
      <c r="H584" s="28"/>
      <c r="I584" s="29"/>
      <c r="J584" s="85"/>
    </row>
    <row r="585" spans="2:10" x14ac:dyDescent="0.2">
      <c r="B585" s="79"/>
      <c r="C585" s="28"/>
      <c r="D585" s="29"/>
      <c r="E585" s="85"/>
      <c r="G585" s="79"/>
      <c r="H585" s="28"/>
      <c r="I585" s="29"/>
      <c r="J585" s="84"/>
    </row>
    <row r="586" spans="2:10" x14ac:dyDescent="0.2">
      <c r="B586" s="79"/>
      <c r="C586" s="28"/>
      <c r="D586" s="29"/>
      <c r="E586" s="84"/>
      <c r="G586" s="79"/>
      <c r="H586" s="28"/>
      <c r="I586" s="29"/>
      <c r="J586" s="85"/>
    </row>
    <row r="587" spans="2:10" x14ac:dyDescent="0.2">
      <c r="B587" s="79"/>
      <c r="C587" s="28"/>
      <c r="D587" s="29"/>
      <c r="E587" s="85"/>
      <c r="G587" s="79"/>
      <c r="H587" s="28"/>
      <c r="I587" s="29"/>
      <c r="J587" s="85"/>
    </row>
    <row r="588" spans="2:10" x14ac:dyDescent="0.2">
      <c r="B588" s="79"/>
      <c r="C588" s="28"/>
      <c r="D588" s="29"/>
      <c r="E588" s="84"/>
      <c r="G588" s="79"/>
      <c r="H588" s="28"/>
      <c r="I588" s="29"/>
      <c r="J588" s="84"/>
    </row>
    <row r="589" spans="2:10" x14ac:dyDescent="0.2">
      <c r="B589" s="79"/>
      <c r="C589" s="28"/>
      <c r="D589" s="29"/>
      <c r="E589" s="85"/>
      <c r="G589" s="79"/>
      <c r="H589" s="28"/>
      <c r="I589" s="29"/>
      <c r="J589" s="85"/>
    </row>
    <row r="590" spans="2:10" x14ac:dyDescent="0.2">
      <c r="B590" s="79"/>
      <c r="C590" s="28"/>
      <c r="D590" s="29"/>
      <c r="E590" s="85"/>
      <c r="G590" s="79"/>
      <c r="H590" s="28"/>
      <c r="I590" s="29"/>
      <c r="J590" s="84"/>
    </row>
    <row r="591" spans="2:10" x14ac:dyDescent="0.2">
      <c r="B591" s="79"/>
      <c r="C591" s="28"/>
      <c r="D591" s="29"/>
      <c r="E591" s="84"/>
      <c r="G591" s="79"/>
      <c r="H591" s="28"/>
      <c r="I591" s="29"/>
      <c r="J591" s="85"/>
    </row>
    <row r="592" spans="2:10" x14ac:dyDescent="0.2">
      <c r="B592" s="79"/>
      <c r="C592" s="28"/>
      <c r="D592" s="29"/>
      <c r="E592" s="85"/>
      <c r="G592" s="79"/>
      <c r="H592" s="28"/>
      <c r="I592" s="29"/>
      <c r="J592" s="85"/>
    </row>
    <row r="593" spans="2:10" x14ac:dyDescent="0.2">
      <c r="B593" s="79"/>
      <c r="C593" s="28"/>
      <c r="D593" s="29"/>
      <c r="E593" s="84"/>
      <c r="G593" s="79"/>
      <c r="H593" s="28"/>
      <c r="I593" s="29"/>
      <c r="J593" s="84"/>
    </row>
    <row r="594" spans="2:10" x14ac:dyDescent="0.2">
      <c r="B594" s="79"/>
      <c r="C594" s="28"/>
      <c r="D594" s="29"/>
      <c r="E594" s="85"/>
      <c r="G594" s="79"/>
      <c r="H594" s="28"/>
      <c r="I594" s="29"/>
      <c r="J594" s="85"/>
    </row>
    <row r="595" spans="2:10" x14ac:dyDescent="0.2">
      <c r="B595" s="79"/>
      <c r="C595" s="28"/>
      <c r="D595" s="29"/>
      <c r="E595" s="85"/>
      <c r="G595" s="79"/>
      <c r="H595" s="28"/>
      <c r="I595" s="29"/>
      <c r="J595" s="84"/>
    </row>
    <row r="596" spans="2:10" x14ac:dyDescent="0.2">
      <c r="B596" s="79"/>
      <c r="C596" s="28"/>
      <c r="D596" s="29"/>
      <c r="E596" s="84"/>
      <c r="G596" s="79"/>
      <c r="H596" s="28"/>
      <c r="I596" s="29"/>
      <c r="J596" s="85"/>
    </row>
    <row r="597" spans="2:10" x14ac:dyDescent="0.2">
      <c r="B597" s="79"/>
      <c r="C597" s="28"/>
      <c r="D597" s="29"/>
      <c r="E597" s="85"/>
      <c r="G597" s="79"/>
      <c r="H597" s="28"/>
      <c r="I597" s="29"/>
      <c r="J597" s="85"/>
    </row>
    <row r="598" spans="2:10" x14ac:dyDescent="0.2">
      <c r="B598" s="79"/>
      <c r="C598" s="28"/>
      <c r="D598" s="29"/>
      <c r="E598" s="84"/>
      <c r="G598" s="79"/>
      <c r="H598" s="28"/>
      <c r="I598" s="29"/>
      <c r="J598" s="84"/>
    </row>
    <row r="599" spans="2:10" x14ac:dyDescent="0.2">
      <c r="B599" s="79"/>
      <c r="C599" s="28"/>
      <c r="D599" s="29"/>
      <c r="E599" s="85"/>
      <c r="G599" s="79"/>
      <c r="H599" s="28"/>
      <c r="I599" s="29"/>
      <c r="J599" s="85"/>
    </row>
    <row r="600" spans="2:10" x14ac:dyDescent="0.2">
      <c r="B600" s="79"/>
      <c r="C600" s="28"/>
      <c r="D600" s="29"/>
      <c r="E600" s="84"/>
      <c r="G600" s="79"/>
      <c r="H600" s="28"/>
      <c r="I600" s="29"/>
      <c r="J600" s="84"/>
    </row>
    <row r="601" spans="2:10" x14ac:dyDescent="0.2">
      <c r="B601" s="79"/>
      <c r="C601" s="28"/>
      <c r="D601" s="29"/>
      <c r="E601" s="85"/>
      <c r="G601" s="79"/>
      <c r="H601" s="28"/>
      <c r="I601" s="29"/>
      <c r="J601" s="85"/>
    </row>
    <row r="602" spans="2:10" x14ac:dyDescent="0.2">
      <c r="B602" s="79"/>
      <c r="C602" s="28"/>
      <c r="D602" s="29"/>
      <c r="E602" s="85"/>
      <c r="G602" s="79"/>
      <c r="H602" s="28"/>
      <c r="I602" s="29"/>
      <c r="J602" s="85"/>
    </row>
    <row r="603" spans="2:10" x14ac:dyDescent="0.2">
      <c r="B603" s="79"/>
      <c r="C603" s="28"/>
      <c r="D603" s="29"/>
      <c r="E603" s="84"/>
      <c r="G603" s="79"/>
      <c r="H603" s="28"/>
      <c r="I603" s="29"/>
      <c r="J603" s="84"/>
    </row>
    <row r="604" spans="2:10" x14ac:dyDescent="0.2">
      <c r="B604" s="79"/>
      <c r="C604" s="28"/>
      <c r="D604" s="29"/>
      <c r="E604" s="85"/>
      <c r="G604" s="79"/>
      <c r="H604" s="28"/>
      <c r="I604" s="29"/>
      <c r="J604" s="85"/>
    </row>
    <row r="605" spans="2:10" x14ac:dyDescent="0.2">
      <c r="B605" s="79"/>
      <c r="C605" s="28"/>
      <c r="D605" s="29"/>
      <c r="E605" s="84"/>
      <c r="G605" s="79"/>
      <c r="H605" s="28"/>
      <c r="I605" s="29"/>
      <c r="J605" s="84"/>
    </row>
    <row r="606" spans="2:10" x14ac:dyDescent="0.2">
      <c r="B606" s="79"/>
      <c r="C606" s="28"/>
      <c r="D606" s="29"/>
      <c r="E606" s="85"/>
      <c r="G606" s="79"/>
      <c r="H606" s="28"/>
      <c r="I606" s="29"/>
      <c r="J606" s="85"/>
    </row>
    <row r="607" spans="2:10" x14ac:dyDescent="0.2">
      <c r="B607" s="79"/>
      <c r="C607" s="28"/>
      <c r="D607" s="29"/>
      <c r="E607" s="85"/>
      <c r="G607" s="79"/>
      <c r="H607" s="28"/>
      <c r="I607" s="29"/>
      <c r="J607" s="85"/>
    </row>
    <row r="608" spans="2:10" x14ac:dyDescent="0.2">
      <c r="B608" s="79"/>
      <c r="C608" s="28"/>
      <c r="D608" s="29"/>
      <c r="E608" s="84"/>
      <c r="G608" s="79"/>
      <c r="H608" s="28"/>
      <c r="I608" s="29"/>
      <c r="J608" s="84"/>
    </row>
    <row r="609" spans="2:10" x14ac:dyDescent="0.2">
      <c r="B609" s="79"/>
      <c r="C609" s="28"/>
      <c r="D609" s="29"/>
      <c r="E609" s="85"/>
      <c r="G609" s="79"/>
      <c r="H609" s="28"/>
      <c r="I609" s="29"/>
      <c r="J609" s="85"/>
    </row>
    <row r="610" spans="2:10" x14ac:dyDescent="0.2">
      <c r="B610" s="79"/>
      <c r="C610" s="28"/>
      <c r="D610" s="29"/>
      <c r="E610" s="84"/>
      <c r="G610" s="79"/>
      <c r="H610" s="28"/>
      <c r="I610" s="29"/>
      <c r="J610" s="84"/>
    </row>
    <row r="611" spans="2:10" x14ac:dyDescent="0.2">
      <c r="B611" s="79"/>
      <c r="C611" s="28"/>
      <c r="D611" s="29"/>
      <c r="E611" s="85"/>
      <c r="G611" s="79"/>
      <c r="H611" s="28"/>
      <c r="I611" s="29"/>
      <c r="J611" s="85"/>
    </row>
    <row r="612" spans="2:10" x14ac:dyDescent="0.2">
      <c r="B612" s="79"/>
      <c r="C612" s="28"/>
      <c r="D612" s="29"/>
      <c r="E612" s="84"/>
      <c r="G612" s="79"/>
      <c r="H612" s="28"/>
      <c r="I612" s="29"/>
      <c r="J612" s="85"/>
    </row>
    <row r="613" spans="2:10" x14ac:dyDescent="0.2">
      <c r="B613" s="79"/>
      <c r="C613" s="28"/>
      <c r="D613" s="29"/>
      <c r="E613" s="85"/>
      <c r="G613" s="79"/>
      <c r="H613" s="28"/>
      <c r="I613" s="29"/>
      <c r="J613" s="84"/>
    </row>
    <row r="614" spans="2:10" x14ac:dyDescent="0.2">
      <c r="B614" s="79"/>
      <c r="C614" s="28"/>
      <c r="D614" s="29"/>
      <c r="E614" s="85"/>
      <c r="G614" s="79"/>
      <c r="H614" s="28"/>
      <c r="I614" s="29"/>
      <c r="J614" s="85"/>
    </row>
    <row r="615" spans="2:10" x14ac:dyDescent="0.2">
      <c r="B615" s="79"/>
      <c r="C615" s="28"/>
      <c r="D615" s="29"/>
      <c r="E615" s="84"/>
      <c r="G615" s="79"/>
      <c r="H615" s="28"/>
      <c r="I615" s="29"/>
      <c r="J615" s="84"/>
    </row>
    <row r="616" spans="2:10" x14ac:dyDescent="0.2">
      <c r="B616" s="79"/>
      <c r="C616" s="28"/>
      <c r="D616" s="29"/>
      <c r="E616" s="85"/>
      <c r="G616" s="79"/>
      <c r="H616" s="28"/>
      <c r="I616" s="29"/>
      <c r="J616" s="85"/>
    </row>
    <row r="617" spans="2:10" x14ac:dyDescent="0.2">
      <c r="B617" s="79"/>
      <c r="C617" s="28"/>
      <c r="D617" s="29"/>
      <c r="E617" s="84"/>
      <c r="G617" s="79"/>
      <c r="H617" s="28"/>
      <c r="I617" s="29"/>
      <c r="J617" s="85"/>
    </row>
    <row r="618" spans="2:10" x14ac:dyDescent="0.2">
      <c r="B618" s="79"/>
      <c r="C618" s="28"/>
      <c r="D618" s="29"/>
      <c r="E618" s="85"/>
      <c r="G618" s="79"/>
      <c r="H618" s="28"/>
      <c r="I618" s="29"/>
      <c r="J618" s="84"/>
    </row>
    <row r="619" spans="2:10" x14ac:dyDescent="0.2">
      <c r="B619" s="79"/>
      <c r="C619" s="28"/>
      <c r="D619" s="29"/>
      <c r="E619" s="85"/>
      <c r="G619" s="79"/>
      <c r="H619" s="28"/>
      <c r="I619" s="29"/>
      <c r="J619" s="85"/>
    </row>
    <row r="620" spans="2:10" x14ac:dyDescent="0.2">
      <c r="B620" s="79"/>
      <c r="C620" s="28"/>
      <c r="D620" s="29"/>
      <c r="E620" s="84"/>
      <c r="G620" s="79"/>
      <c r="H620" s="28"/>
      <c r="I620" s="29"/>
      <c r="J620" s="84"/>
    </row>
    <row r="621" spans="2:10" x14ac:dyDescent="0.2">
      <c r="B621" s="79"/>
      <c r="C621" s="28"/>
      <c r="D621" s="29"/>
      <c r="E621" s="85"/>
      <c r="G621" s="79"/>
      <c r="H621" s="28"/>
      <c r="I621" s="29"/>
      <c r="J621" s="85"/>
    </row>
    <row r="622" spans="2:10" x14ac:dyDescent="0.2">
      <c r="B622" s="79"/>
      <c r="C622" s="28"/>
      <c r="D622" s="29"/>
      <c r="E622" s="84"/>
      <c r="G622" s="79"/>
      <c r="H622" s="28"/>
      <c r="I622" s="29"/>
      <c r="J622" s="85"/>
    </row>
    <row r="623" spans="2:10" x14ac:dyDescent="0.2">
      <c r="B623" s="79"/>
      <c r="C623" s="28"/>
      <c r="D623" s="29"/>
      <c r="E623" s="85"/>
      <c r="G623" s="79"/>
      <c r="H623" s="28"/>
      <c r="I623" s="29"/>
      <c r="J623" s="84"/>
    </row>
    <row r="624" spans="2:10" x14ac:dyDescent="0.2">
      <c r="B624" s="79"/>
      <c r="C624" s="28"/>
      <c r="D624" s="29"/>
      <c r="E624" s="84"/>
      <c r="G624" s="79"/>
      <c r="H624" s="28"/>
      <c r="I624" s="29"/>
      <c r="J624" s="85"/>
    </row>
    <row r="625" spans="2:10" x14ac:dyDescent="0.2">
      <c r="B625" s="79"/>
      <c r="C625" s="28"/>
      <c r="D625" s="29"/>
      <c r="E625" s="85"/>
      <c r="G625" s="79"/>
      <c r="H625" s="28"/>
      <c r="I625" s="29"/>
      <c r="J625" s="84"/>
    </row>
    <row r="626" spans="2:10" x14ac:dyDescent="0.2">
      <c r="B626" s="79"/>
      <c r="C626" s="28"/>
      <c r="D626" s="29"/>
      <c r="E626" s="85"/>
      <c r="G626" s="79"/>
      <c r="H626" s="28"/>
      <c r="I626" s="29"/>
      <c r="J626" s="85"/>
    </row>
    <row r="627" spans="2:10" x14ac:dyDescent="0.2">
      <c r="B627" s="79"/>
      <c r="C627" s="28"/>
      <c r="D627" s="29"/>
      <c r="E627" s="84"/>
      <c r="G627" s="79"/>
      <c r="H627" s="28"/>
      <c r="I627" s="29"/>
      <c r="J627" s="85"/>
    </row>
    <row r="628" spans="2:10" x14ac:dyDescent="0.2">
      <c r="B628" s="79"/>
      <c r="C628" s="28"/>
      <c r="D628" s="29"/>
      <c r="E628" s="85"/>
      <c r="G628" s="79"/>
      <c r="H628" s="28"/>
      <c r="I628" s="29"/>
      <c r="J628" s="84"/>
    </row>
    <row r="629" spans="2:10" x14ac:dyDescent="0.2">
      <c r="B629" s="79"/>
      <c r="C629" s="28"/>
      <c r="D629" s="29"/>
      <c r="E629" s="84"/>
      <c r="G629" s="79"/>
      <c r="H629" s="28"/>
      <c r="I629" s="29"/>
      <c r="J629" s="85"/>
    </row>
    <row r="630" spans="2:10" x14ac:dyDescent="0.2">
      <c r="B630" s="79"/>
      <c r="C630" s="28"/>
      <c r="D630" s="29"/>
      <c r="E630" s="85"/>
      <c r="G630" s="79"/>
      <c r="H630" s="28"/>
      <c r="I630" s="29"/>
      <c r="J630" s="84"/>
    </row>
    <row r="631" spans="2:10" x14ac:dyDescent="0.2">
      <c r="B631" s="79"/>
      <c r="C631" s="28"/>
      <c r="D631" s="29"/>
      <c r="E631" s="85"/>
      <c r="G631" s="79"/>
      <c r="H631" s="28"/>
      <c r="I631" s="29"/>
      <c r="J631" s="85"/>
    </row>
    <row r="632" spans="2:10" x14ac:dyDescent="0.2">
      <c r="B632" s="79"/>
      <c r="C632" s="28"/>
      <c r="D632" s="29"/>
      <c r="E632" s="84"/>
      <c r="G632" s="79"/>
      <c r="H632" s="28"/>
      <c r="I632" s="29"/>
      <c r="J632" s="85"/>
    </row>
    <row r="633" spans="2:10" x14ac:dyDescent="0.2">
      <c r="B633" s="79"/>
      <c r="C633" s="28"/>
      <c r="D633" s="29"/>
      <c r="E633" s="85"/>
      <c r="G633" s="79"/>
      <c r="H633" s="28"/>
      <c r="I633" s="29"/>
      <c r="J633" s="84"/>
    </row>
    <row r="634" spans="2:10" x14ac:dyDescent="0.2">
      <c r="B634" s="79"/>
      <c r="C634" s="28"/>
      <c r="D634" s="29"/>
      <c r="E634" s="84"/>
      <c r="G634" s="79"/>
      <c r="H634" s="28"/>
      <c r="I634" s="29"/>
      <c r="J634" s="85"/>
    </row>
    <row r="635" spans="2:10" x14ac:dyDescent="0.2">
      <c r="B635" s="79"/>
      <c r="C635" s="28"/>
      <c r="D635" s="29"/>
      <c r="E635" s="85"/>
      <c r="G635" s="79"/>
      <c r="H635" s="28"/>
      <c r="I635" s="29"/>
      <c r="J635" s="84"/>
    </row>
    <row r="636" spans="2:10" x14ac:dyDescent="0.2">
      <c r="B636" s="79"/>
      <c r="C636" s="28"/>
      <c r="D636" s="29"/>
      <c r="E636" s="84"/>
      <c r="G636" s="79"/>
      <c r="H636" s="28"/>
      <c r="I636" s="29"/>
      <c r="J636" s="85"/>
    </row>
    <row r="637" spans="2:10" x14ac:dyDescent="0.2">
      <c r="B637" s="79"/>
      <c r="C637" s="28"/>
      <c r="D637" s="29"/>
      <c r="E637" s="85"/>
      <c r="G637" s="79"/>
      <c r="H637" s="28"/>
      <c r="I637" s="29"/>
      <c r="J637" s="85"/>
    </row>
    <row r="638" spans="2:10" x14ac:dyDescent="0.2">
      <c r="B638" s="79"/>
      <c r="C638" s="28"/>
      <c r="D638" s="29"/>
      <c r="E638" s="85"/>
      <c r="G638" s="79"/>
      <c r="H638" s="28"/>
      <c r="I638" s="29"/>
      <c r="J638" s="84"/>
    </row>
    <row r="639" spans="2:10" x14ac:dyDescent="0.2">
      <c r="B639" s="79"/>
      <c r="C639" s="28"/>
      <c r="D639" s="29"/>
      <c r="E639" s="84"/>
      <c r="G639" s="79"/>
      <c r="H639" s="28"/>
      <c r="I639" s="29"/>
      <c r="J639" s="85"/>
    </row>
    <row r="640" spans="2:10" x14ac:dyDescent="0.2">
      <c r="B640" s="79"/>
      <c r="C640" s="28"/>
      <c r="D640" s="29"/>
      <c r="E640" s="85"/>
      <c r="G640" s="79"/>
      <c r="H640" s="28"/>
      <c r="I640" s="29"/>
      <c r="J640" s="84"/>
    </row>
    <row r="641" spans="2:10" x14ac:dyDescent="0.2">
      <c r="B641" s="79"/>
      <c r="C641" s="28"/>
      <c r="D641" s="29"/>
      <c r="E641" s="84"/>
      <c r="G641" s="79"/>
      <c r="H641" s="28"/>
      <c r="I641" s="29"/>
      <c r="J641" s="85"/>
    </row>
    <row r="642" spans="2:10" x14ac:dyDescent="0.2">
      <c r="B642" s="79"/>
      <c r="C642" s="28"/>
      <c r="D642" s="29"/>
      <c r="E642" s="85"/>
      <c r="G642" s="79"/>
      <c r="H642" s="28"/>
      <c r="I642" s="29"/>
      <c r="J642" s="85"/>
    </row>
    <row r="643" spans="2:10" x14ac:dyDescent="0.2">
      <c r="B643" s="79"/>
      <c r="C643" s="28"/>
      <c r="D643" s="29"/>
      <c r="E643" s="85"/>
      <c r="G643" s="79"/>
      <c r="H643" s="28"/>
      <c r="I643" s="29"/>
      <c r="J643" s="84"/>
    </row>
    <row r="644" spans="2:10" x14ac:dyDescent="0.2">
      <c r="B644" s="79"/>
      <c r="C644" s="28"/>
      <c r="D644" s="29"/>
      <c r="E644" s="84"/>
      <c r="G644" s="79"/>
      <c r="H644" s="28"/>
      <c r="I644" s="29"/>
      <c r="J644" s="85"/>
    </row>
    <row r="645" spans="2:10" x14ac:dyDescent="0.2">
      <c r="B645" s="79"/>
      <c r="C645" s="28"/>
      <c r="D645" s="29"/>
      <c r="E645" s="85"/>
      <c r="G645" s="79"/>
      <c r="H645" s="28"/>
      <c r="I645" s="29"/>
      <c r="J645" s="84"/>
    </row>
    <row r="646" spans="2:10" x14ac:dyDescent="0.2">
      <c r="B646" s="79"/>
      <c r="C646" s="28"/>
      <c r="D646" s="29"/>
      <c r="E646" s="84"/>
      <c r="G646" s="79"/>
      <c r="H646" s="28"/>
      <c r="I646" s="29"/>
      <c r="J646" s="85"/>
    </row>
    <row r="647" spans="2:10" x14ac:dyDescent="0.2">
      <c r="B647" s="79"/>
      <c r="C647" s="28"/>
      <c r="D647" s="29"/>
      <c r="E647" s="85"/>
      <c r="G647" s="79"/>
      <c r="H647" s="28"/>
      <c r="I647" s="29"/>
      <c r="J647" s="85"/>
    </row>
    <row r="648" spans="2:10" x14ac:dyDescent="0.2">
      <c r="B648" s="79"/>
      <c r="C648" s="28"/>
      <c r="D648" s="29"/>
      <c r="E648" s="84"/>
      <c r="G648" s="79"/>
      <c r="H648" s="28"/>
      <c r="I648" s="29"/>
      <c r="J648" s="84"/>
    </row>
    <row r="649" spans="2:10" x14ac:dyDescent="0.2">
      <c r="B649" s="79"/>
      <c r="C649" s="28"/>
      <c r="D649" s="29"/>
      <c r="E649" s="85"/>
      <c r="G649" s="79"/>
      <c r="H649" s="28"/>
      <c r="I649" s="29"/>
      <c r="J649" s="85"/>
    </row>
    <row r="650" spans="2:10" x14ac:dyDescent="0.2">
      <c r="B650" s="79"/>
      <c r="C650" s="28"/>
      <c r="D650" s="29"/>
      <c r="E650" s="85"/>
      <c r="G650" s="79"/>
      <c r="H650" s="28"/>
      <c r="I650" s="29"/>
      <c r="J650" s="84"/>
    </row>
    <row r="651" spans="2:10" x14ac:dyDescent="0.2">
      <c r="B651" s="79"/>
      <c r="C651" s="28"/>
      <c r="D651" s="29"/>
      <c r="E651" s="84"/>
      <c r="G651" s="79"/>
      <c r="H651" s="28"/>
      <c r="I651" s="29"/>
      <c r="J651" s="85"/>
    </row>
    <row r="652" spans="2:10" x14ac:dyDescent="0.2">
      <c r="B652" s="79"/>
      <c r="C652" s="28"/>
      <c r="D652" s="29"/>
      <c r="E652" s="85"/>
      <c r="G652" s="79"/>
      <c r="H652" s="28"/>
      <c r="I652" s="29"/>
      <c r="J652" s="85"/>
    </row>
    <row r="653" spans="2:10" x14ac:dyDescent="0.2">
      <c r="B653" s="79"/>
      <c r="C653" s="28"/>
      <c r="D653" s="29"/>
      <c r="E653" s="84"/>
      <c r="G653" s="79"/>
      <c r="H653" s="28"/>
      <c r="I653" s="29"/>
      <c r="J653" s="84"/>
    </row>
    <row r="654" spans="2:10" x14ac:dyDescent="0.2">
      <c r="B654" s="79"/>
      <c r="C654" s="28"/>
      <c r="D654" s="29"/>
      <c r="E654" s="85"/>
      <c r="G654" s="79"/>
      <c r="H654" s="28"/>
      <c r="I654" s="29"/>
      <c r="J654" s="85"/>
    </row>
    <row r="655" spans="2:10" x14ac:dyDescent="0.2">
      <c r="B655" s="79"/>
      <c r="C655" s="28"/>
      <c r="D655" s="29"/>
      <c r="E655" s="85"/>
      <c r="G655" s="79"/>
      <c r="H655" s="28"/>
      <c r="I655" s="29"/>
      <c r="J655" s="84"/>
    </row>
    <row r="656" spans="2:10" x14ac:dyDescent="0.2">
      <c r="B656" s="79"/>
      <c r="C656" s="28"/>
      <c r="D656" s="29"/>
      <c r="E656" s="84"/>
      <c r="G656" s="79"/>
      <c r="H656" s="28"/>
      <c r="I656" s="29"/>
      <c r="J656" s="85"/>
    </row>
    <row r="657" spans="2:10" x14ac:dyDescent="0.2">
      <c r="B657" s="79"/>
      <c r="C657" s="28"/>
      <c r="D657" s="29"/>
      <c r="E657" s="85"/>
      <c r="G657" s="79"/>
      <c r="H657" s="28"/>
      <c r="I657" s="29"/>
      <c r="J657" s="85"/>
    </row>
    <row r="658" spans="2:10" x14ac:dyDescent="0.2">
      <c r="B658" s="79"/>
      <c r="C658" s="28"/>
      <c r="D658" s="29"/>
      <c r="E658" s="84"/>
      <c r="G658" s="79"/>
      <c r="H658" s="28"/>
      <c r="I658" s="29"/>
      <c r="J658" s="84"/>
    </row>
    <row r="659" spans="2:10" x14ac:dyDescent="0.2">
      <c r="B659" s="79"/>
      <c r="C659" s="28"/>
      <c r="D659" s="29"/>
      <c r="E659" s="85"/>
      <c r="G659" s="79"/>
      <c r="H659" s="28"/>
      <c r="I659" s="29"/>
      <c r="J659" s="85"/>
    </row>
    <row r="660" spans="2:10" x14ac:dyDescent="0.2">
      <c r="B660" s="79"/>
      <c r="C660" s="28"/>
      <c r="D660" s="29"/>
      <c r="E660" s="84"/>
      <c r="G660" s="79"/>
      <c r="H660" s="28"/>
      <c r="I660" s="29"/>
      <c r="J660" s="84"/>
    </row>
    <row r="661" spans="2:10" x14ac:dyDescent="0.2">
      <c r="B661" s="79"/>
      <c r="C661" s="28"/>
      <c r="D661" s="29"/>
      <c r="E661" s="85"/>
      <c r="G661" s="79"/>
      <c r="H661" s="28"/>
      <c r="I661" s="29"/>
      <c r="J661" s="85"/>
    </row>
    <row r="662" spans="2:10" x14ac:dyDescent="0.2">
      <c r="B662" s="79"/>
      <c r="C662" s="28"/>
      <c r="D662" s="29"/>
      <c r="E662" s="85"/>
      <c r="G662" s="79"/>
      <c r="H662" s="28"/>
      <c r="I662" s="29"/>
      <c r="J662" s="85"/>
    </row>
    <row r="663" spans="2:10" x14ac:dyDescent="0.2">
      <c r="B663" s="79"/>
      <c r="C663" s="28"/>
      <c r="D663" s="29"/>
      <c r="E663" s="84"/>
      <c r="G663" s="79"/>
      <c r="H663" s="28"/>
      <c r="I663" s="29"/>
      <c r="J663" s="84"/>
    </row>
    <row r="664" spans="2:10" x14ac:dyDescent="0.2">
      <c r="B664" s="79"/>
      <c r="C664" s="28"/>
      <c r="D664" s="29"/>
      <c r="E664" s="85"/>
      <c r="G664" s="79"/>
      <c r="H664" s="28"/>
      <c r="I664" s="29"/>
      <c r="J664" s="85"/>
    </row>
    <row r="665" spans="2:10" x14ac:dyDescent="0.2">
      <c r="B665" s="79"/>
      <c r="C665" s="28"/>
      <c r="D665" s="29"/>
      <c r="E665" s="84"/>
      <c r="G665" s="79"/>
      <c r="H665" s="28"/>
      <c r="I665" s="29"/>
      <c r="J665" s="84"/>
    </row>
    <row r="666" spans="2:10" x14ac:dyDescent="0.2">
      <c r="B666" s="79"/>
      <c r="C666" s="28"/>
      <c r="D666" s="29"/>
      <c r="E666" s="85"/>
      <c r="G666" s="79"/>
      <c r="H666" s="28"/>
      <c r="I666" s="29"/>
      <c r="J666" s="85"/>
    </row>
    <row r="667" spans="2:10" x14ac:dyDescent="0.2">
      <c r="B667" s="79"/>
      <c r="C667" s="28"/>
      <c r="D667" s="29"/>
      <c r="E667" s="85"/>
      <c r="G667" s="79"/>
      <c r="H667" s="28"/>
      <c r="I667" s="29"/>
      <c r="J667" s="85"/>
    </row>
    <row r="668" spans="2:10" x14ac:dyDescent="0.2">
      <c r="B668" s="79"/>
      <c r="C668" s="28"/>
      <c r="D668" s="29"/>
      <c r="E668" s="84"/>
      <c r="G668" s="79"/>
      <c r="H668" s="28"/>
      <c r="I668" s="29"/>
      <c r="J668" s="84"/>
    </row>
    <row r="669" spans="2:10" x14ac:dyDescent="0.2">
      <c r="B669" s="79"/>
      <c r="C669" s="28"/>
      <c r="D669" s="29"/>
      <c r="E669" s="85"/>
      <c r="G669" s="79"/>
      <c r="H669" s="28"/>
      <c r="I669" s="29"/>
      <c r="J669" s="85"/>
    </row>
    <row r="670" spans="2:10" x14ac:dyDescent="0.2">
      <c r="B670" s="79"/>
      <c r="C670" s="28"/>
      <c r="D670" s="29"/>
      <c r="E670" s="84"/>
      <c r="G670" s="79"/>
      <c r="H670" s="28"/>
      <c r="I670" s="29"/>
      <c r="J670" s="84"/>
    </row>
    <row r="671" spans="2:10" x14ac:dyDescent="0.2">
      <c r="B671" s="79"/>
      <c r="C671" s="28"/>
      <c r="D671" s="29"/>
      <c r="E671" s="85"/>
      <c r="G671" s="79"/>
      <c r="H671" s="28"/>
      <c r="I671" s="29"/>
      <c r="J671" s="85"/>
    </row>
    <row r="672" spans="2:10" x14ac:dyDescent="0.2">
      <c r="B672" s="79"/>
      <c r="C672" s="28"/>
      <c r="D672" s="29"/>
      <c r="E672" s="84"/>
      <c r="G672" s="79"/>
      <c r="H672" s="28"/>
      <c r="I672" s="29"/>
      <c r="J672" s="85"/>
    </row>
    <row r="673" spans="2:10" x14ac:dyDescent="0.2">
      <c r="B673" s="79"/>
      <c r="C673" s="28"/>
      <c r="D673" s="29"/>
      <c r="E673" s="85"/>
      <c r="G673" s="79"/>
      <c r="H673" s="28"/>
      <c r="I673" s="29"/>
      <c r="J673" s="84"/>
    </row>
    <row r="674" spans="2:10" x14ac:dyDescent="0.2">
      <c r="B674" s="79"/>
      <c r="C674" s="28"/>
      <c r="D674" s="29"/>
      <c r="E674" s="85"/>
      <c r="G674" s="79"/>
      <c r="H674" s="28"/>
      <c r="I674" s="29"/>
      <c r="J674" s="85"/>
    </row>
    <row r="675" spans="2:10" x14ac:dyDescent="0.2">
      <c r="B675" s="79"/>
      <c r="C675" s="28"/>
      <c r="D675" s="29"/>
      <c r="E675" s="84"/>
      <c r="G675" s="79"/>
      <c r="H675" s="28"/>
      <c r="I675" s="29"/>
      <c r="J675" s="84"/>
    </row>
    <row r="676" spans="2:10" x14ac:dyDescent="0.2">
      <c r="B676" s="79"/>
      <c r="C676" s="28"/>
      <c r="D676" s="29"/>
      <c r="E676" s="85"/>
      <c r="G676" s="79"/>
      <c r="H676" s="28"/>
      <c r="I676" s="29"/>
      <c r="J676" s="85"/>
    </row>
    <row r="677" spans="2:10" x14ac:dyDescent="0.2">
      <c r="B677" s="79"/>
      <c r="C677" s="28"/>
      <c r="D677" s="29"/>
      <c r="E677" s="84"/>
      <c r="G677" s="79"/>
      <c r="H677" s="28"/>
      <c r="I677" s="29"/>
      <c r="J677" s="85"/>
    </row>
    <row r="678" spans="2:10" x14ac:dyDescent="0.2">
      <c r="B678" s="79"/>
      <c r="C678" s="28"/>
      <c r="D678" s="29"/>
      <c r="E678" s="85"/>
      <c r="G678" s="79"/>
      <c r="H678" s="28"/>
      <c r="I678" s="29"/>
      <c r="J678" s="84"/>
    </row>
    <row r="679" spans="2:10" x14ac:dyDescent="0.2">
      <c r="B679" s="79"/>
      <c r="C679" s="28"/>
      <c r="D679" s="29"/>
      <c r="E679" s="85"/>
      <c r="G679" s="79"/>
      <c r="H679" s="28"/>
      <c r="I679" s="29"/>
      <c r="J679" s="85"/>
    </row>
    <row r="680" spans="2:10" x14ac:dyDescent="0.2">
      <c r="B680" s="79"/>
      <c r="C680" s="28"/>
      <c r="D680" s="29"/>
      <c r="E680" s="84"/>
      <c r="G680" s="79"/>
      <c r="H680" s="28"/>
      <c r="I680" s="29"/>
      <c r="J680" s="84"/>
    </row>
    <row r="681" spans="2:10" x14ac:dyDescent="0.2">
      <c r="B681" s="79"/>
      <c r="C681" s="28"/>
      <c r="D681" s="29"/>
      <c r="E681" s="85"/>
      <c r="G681" s="79"/>
      <c r="H681" s="28"/>
      <c r="I681" s="29"/>
      <c r="J681" s="85"/>
    </row>
    <row r="682" spans="2:10" x14ac:dyDescent="0.2">
      <c r="B682" s="79"/>
      <c r="C682" s="28"/>
      <c r="D682" s="29"/>
      <c r="E682" s="84"/>
      <c r="G682" s="79"/>
      <c r="H682" s="28"/>
      <c r="I682" s="29"/>
      <c r="J682" s="85"/>
    </row>
    <row r="683" spans="2:10" x14ac:dyDescent="0.2">
      <c r="B683" s="79"/>
      <c r="C683" s="28"/>
      <c r="D683" s="29"/>
      <c r="E683" s="85"/>
      <c r="G683" s="79"/>
      <c r="H683" s="28"/>
      <c r="I683" s="29"/>
      <c r="J683" s="84"/>
    </row>
    <row r="684" spans="2:10" x14ac:dyDescent="0.2">
      <c r="B684" s="79"/>
      <c r="C684" s="28"/>
      <c r="D684" s="29"/>
      <c r="E684" s="84"/>
      <c r="G684" s="79"/>
      <c r="H684" s="28"/>
      <c r="I684" s="29"/>
      <c r="J684" s="85"/>
    </row>
    <row r="685" spans="2:10" x14ac:dyDescent="0.2">
      <c r="B685" s="79"/>
      <c r="C685" s="28"/>
      <c r="D685" s="29"/>
      <c r="E685" s="85"/>
      <c r="G685" s="79"/>
      <c r="H685" s="28"/>
      <c r="I685" s="29"/>
      <c r="J685" s="84"/>
    </row>
    <row r="686" spans="2:10" x14ac:dyDescent="0.2">
      <c r="B686" s="79"/>
      <c r="C686" s="28"/>
      <c r="D686" s="29"/>
      <c r="E686" s="85"/>
      <c r="G686" s="79"/>
      <c r="H686" s="28"/>
      <c r="I686" s="29"/>
      <c r="J686" s="85"/>
    </row>
    <row r="687" spans="2:10" x14ac:dyDescent="0.2">
      <c r="B687" s="79"/>
      <c r="C687" s="28"/>
      <c r="D687" s="29"/>
      <c r="E687" s="84"/>
      <c r="G687" s="79"/>
      <c r="H687" s="28"/>
      <c r="I687" s="29"/>
      <c r="J687" s="85"/>
    </row>
    <row r="688" spans="2:10" x14ac:dyDescent="0.2">
      <c r="B688" s="79"/>
      <c r="C688" s="28"/>
      <c r="D688" s="29"/>
      <c r="E688" s="85"/>
      <c r="G688" s="79"/>
      <c r="H688" s="28"/>
      <c r="I688" s="29"/>
      <c r="J688" s="84"/>
    </row>
    <row r="689" spans="2:10" x14ac:dyDescent="0.2">
      <c r="B689" s="79"/>
      <c r="C689" s="28"/>
      <c r="D689" s="29"/>
      <c r="E689" s="84"/>
      <c r="G689" s="79"/>
      <c r="H689" s="28"/>
      <c r="I689" s="29"/>
      <c r="J689" s="85"/>
    </row>
    <row r="690" spans="2:10" x14ac:dyDescent="0.2">
      <c r="B690" s="79"/>
      <c r="C690" s="28"/>
      <c r="D690" s="29"/>
      <c r="E690" s="85"/>
      <c r="G690" s="79"/>
      <c r="H690" s="28"/>
      <c r="I690" s="29"/>
      <c r="J690" s="84"/>
    </row>
    <row r="691" spans="2:10" x14ac:dyDescent="0.2">
      <c r="B691" s="79"/>
      <c r="C691" s="28"/>
      <c r="D691" s="29"/>
      <c r="E691" s="85"/>
      <c r="G691" s="79"/>
      <c r="H691" s="28"/>
      <c r="I691" s="29"/>
      <c r="J691" s="85"/>
    </row>
    <row r="692" spans="2:10" x14ac:dyDescent="0.2">
      <c r="B692" s="79"/>
      <c r="C692" s="28"/>
      <c r="D692" s="29"/>
      <c r="E692" s="84"/>
      <c r="G692" s="79"/>
      <c r="H692" s="28"/>
      <c r="I692" s="29"/>
      <c r="J692" s="85"/>
    </row>
    <row r="693" spans="2:10" x14ac:dyDescent="0.2">
      <c r="B693" s="79"/>
      <c r="C693" s="28"/>
      <c r="D693" s="29"/>
      <c r="E693" s="85"/>
      <c r="G693" s="79"/>
      <c r="H693" s="28"/>
      <c r="I693" s="29"/>
      <c r="J693" s="84"/>
    </row>
    <row r="694" spans="2:10" x14ac:dyDescent="0.2">
      <c r="B694" s="79"/>
      <c r="C694" s="28"/>
      <c r="D694" s="29"/>
      <c r="E694" s="84"/>
      <c r="G694" s="79"/>
      <c r="H694" s="28"/>
      <c r="I694" s="29"/>
      <c r="J694" s="85"/>
    </row>
    <row r="695" spans="2:10" x14ac:dyDescent="0.2">
      <c r="B695" s="79"/>
      <c r="C695" s="28"/>
      <c r="D695" s="29"/>
      <c r="E695" s="85"/>
      <c r="G695" s="79"/>
      <c r="H695" s="28"/>
      <c r="I695" s="29"/>
      <c r="J695" s="84"/>
    </row>
    <row r="696" spans="2:10" x14ac:dyDescent="0.2">
      <c r="B696" s="79"/>
      <c r="C696" s="28"/>
      <c r="D696" s="29"/>
      <c r="E696" s="84"/>
      <c r="G696" s="79"/>
      <c r="H696" s="28"/>
      <c r="I696" s="29"/>
      <c r="J696" s="85"/>
    </row>
    <row r="697" spans="2:10" x14ac:dyDescent="0.2">
      <c r="B697" s="79"/>
      <c r="C697" s="28"/>
      <c r="D697" s="29"/>
      <c r="E697" s="85"/>
      <c r="G697" s="79"/>
      <c r="H697" s="28"/>
      <c r="I697" s="29"/>
      <c r="J697" s="85"/>
    </row>
    <row r="698" spans="2:10" x14ac:dyDescent="0.2">
      <c r="B698" s="79"/>
      <c r="C698" s="28"/>
      <c r="D698" s="29"/>
      <c r="E698" s="85"/>
      <c r="G698" s="79"/>
      <c r="H698" s="28"/>
      <c r="I698" s="29"/>
      <c r="J698" s="84"/>
    </row>
    <row r="699" spans="2:10" x14ac:dyDescent="0.2">
      <c r="B699" s="79"/>
      <c r="C699" s="28"/>
      <c r="D699" s="29"/>
      <c r="E699" s="84"/>
      <c r="G699" s="79"/>
      <c r="H699" s="28"/>
      <c r="I699" s="29"/>
      <c r="J699" s="85"/>
    </row>
    <row r="700" spans="2:10" x14ac:dyDescent="0.2">
      <c r="B700" s="79"/>
      <c r="C700" s="28"/>
      <c r="D700" s="29"/>
      <c r="E700" s="85"/>
      <c r="G700" s="79"/>
      <c r="H700" s="28"/>
      <c r="I700" s="29"/>
      <c r="J700" s="84"/>
    </row>
    <row r="701" spans="2:10" x14ac:dyDescent="0.2">
      <c r="B701" s="79"/>
      <c r="C701" s="28"/>
      <c r="D701" s="29"/>
      <c r="E701" s="84"/>
      <c r="G701" s="79"/>
      <c r="H701" s="28"/>
      <c r="I701" s="29"/>
      <c r="J701" s="85"/>
    </row>
    <row r="702" spans="2:10" x14ac:dyDescent="0.2">
      <c r="B702" s="79"/>
      <c r="C702" s="28"/>
      <c r="D702" s="29"/>
      <c r="E702" s="85"/>
      <c r="G702" s="79"/>
      <c r="H702" s="28"/>
      <c r="I702" s="29"/>
      <c r="J702" s="85"/>
    </row>
    <row r="703" spans="2:10" x14ac:dyDescent="0.2">
      <c r="B703" s="79"/>
      <c r="C703" s="28"/>
      <c r="D703" s="29"/>
      <c r="E703" s="85"/>
      <c r="G703" s="79"/>
      <c r="H703" s="28"/>
      <c r="I703" s="29"/>
      <c r="J703" s="84"/>
    </row>
    <row r="704" spans="2:10" x14ac:dyDescent="0.2">
      <c r="B704" s="79"/>
      <c r="C704" s="28"/>
      <c r="D704" s="29"/>
      <c r="E704" s="84"/>
      <c r="G704" s="79"/>
      <c r="H704" s="28"/>
      <c r="I704" s="29"/>
      <c r="J704" s="85"/>
    </row>
    <row r="705" spans="2:10" x14ac:dyDescent="0.2">
      <c r="B705" s="79"/>
      <c r="C705" s="28"/>
      <c r="D705" s="29"/>
      <c r="E705" s="85"/>
      <c r="G705" s="79"/>
      <c r="H705" s="28"/>
      <c r="I705" s="29"/>
      <c r="J705" s="84"/>
    </row>
    <row r="706" spans="2:10" x14ac:dyDescent="0.2">
      <c r="B706" s="79"/>
      <c r="C706" s="28"/>
      <c r="D706" s="29"/>
      <c r="E706" s="84"/>
      <c r="G706" s="79"/>
      <c r="H706" s="28"/>
      <c r="I706" s="29"/>
      <c r="J706" s="85"/>
    </row>
    <row r="707" spans="2:10" x14ac:dyDescent="0.2">
      <c r="B707" s="79"/>
      <c r="C707" s="28"/>
      <c r="D707" s="29"/>
      <c r="E707" s="85"/>
      <c r="G707" s="79"/>
      <c r="H707" s="28"/>
      <c r="I707" s="29"/>
      <c r="J707" s="85"/>
    </row>
    <row r="708" spans="2:10" x14ac:dyDescent="0.2">
      <c r="B708" s="79"/>
      <c r="C708" s="28"/>
      <c r="D708" s="29"/>
      <c r="E708" s="84"/>
      <c r="G708" s="79"/>
      <c r="H708" s="28"/>
      <c r="I708" s="29"/>
      <c r="J708" s="84"/>
    </row>
    <row r="709" spans="2:10" x14ac:dyDescent="0.2">
      <c r="B709" s="79"/>
      <c r="C709" s="28"/>
      <c r="D709" s="29"/>
      <c r="E709" s="85"/>
      <c r="G709" s="79"/>
      <c r="H709" s="28"/>
      <c r="I709" s="29"/>
      <c r="J709" s="85"/>
    </row>
    <row r="710" spans="2:10" x14ac:dyDescent="0.2">
      <c r="B710" s="79"/>
      <c r="C710" s="28"/>
      <c r="D710" s="29"/>
      <c r="E710" s="85"/>
      <c r="G710" s="79"/>
      <c r="H710" s="28"/>
      <c r="I710" s="29"/>
      <c r="J710" s="84"/>
    </row>
    <row r="711" spans="2:10" x14ac:dyDescent="0.2">
      <c r="B711" s="79"/>
      <c r="C711" s="28"/>
      <c r="D711" s="29"/>
      <c r="E711" s="84"/>
      <c r="G711" s="79"/>
      <c r="H711" s="28"/>
      <c r="I711" s="29"/>
      <c r="J711" s="85"/>
    </row>
    <row r="712" spans="2:10" x14ac:dyDescent="0.2">
      <c r="B712" s="79"/>
      <c r="C712" s="28"/>
      <c r="D712" s="29"/>
      <c r="E712" s="85"/>
      <c r="G712" s="79"/>
      <c r="H712" s="28"/>
      <c r="I712" s="29"/>
      <c r="J712" s="85"/>
    </row>
    <row r="713" spans="2:10" x14ac:dyDescent="0.2">
      <c r="B713" s="79"/>
      <c r="C713" s="28"/>
      <c r="D713" s="29"/>
      <c r="E713" s="84"/>
      <c r="G713" s="79"/>
      <c r="H713" s="28"/>
      <c r="I713" s="29"/>
      <c r="J713" s="84"/>
    </row>
    <row r="714" spans="2:10" x14ac:dyDescent="0.2">
      <c r="B714" s="79"/>
      <c r="C714" s="28"/>
      <c r="D714" s="29"/>
      <c r="E714" s="85"/>
      <c r="G714" s="79"/>
      <c r="H714" s="28"/>
      <c r="I714" s="29"/>
      <c r="J714" s="85"/>
    </row>
    <row r="715" spans="2:10" x14ac:dyDescent="0.2">
      <c r="B715" s="79"/>
      <c r="C715" s="28"/>
      <c r="D715" s="29"/>
      <c r="E715" s="85"/>
      <c r="G715" s="79"/>
      <c r="H715" s="28"/>
      <c r="I715" s="29"/>
      <c r="J715" s="84"/>
    </row>
    <row r="716" spans="2:10" x14ac:dyDescent="0.2">
      <c r="B716" s="79"/>
      <c r="C716" s="28"/>
      <c r="D716" s="29"/>
      <c r="E716" s="84"/>
      <c r="G716" s="79"/>
      <c r="H716" s="28"/>
      <c r="I716" s="29"/>
      <c r="J716" s="85"/>
    </row>
    <row r="717" spans="2:10" x14ac:dyDescent="0.2">
      <c r="B717" s="79"/>
      <c r="C717" s="28"/>
      <c r="D717" s="29"/>
      <c r="E717" s="85"/>
      <c r="G717" s="79"/>
      <c r="H717" s="28"/>
      <c r="I717" s="29"/>
      <c r="J717" s="85"/>
    </row>
    <row r="718" spans="2:10" x14ac:dyDescent="0.2">
      <c r="B718" s="79"/>
      <c r="C718" s="28"/>
      <c r="D718" s="29"/>
      <c r="E718" s="84"/>
      <c r="G718" s="79"/>
      <c r="H718" s="28"/>
      <c r="I718" s="29"/>
      <c r="J718" s="84"/>
    </row>
    <row r="719" spans="2:10" x14ac:dyDescent="0.2">
      <c r="B719" s="79"/>
      <c r="C719" s="28"/>
      <c r="D719" s="29"/>
      <c r="E719" s="85"/>
      <c r="G719" s="79"/>
      <c r="H719" s="28"/>
      <c r="I719" s="29"/>
      <c r="J719" s="85"/>
    </row>
    <row r="720" spans="2:10" x14ac:dyDescent="0.2">
      <c r="B720" s="79"/>
      <c r="C720" s="28"/>
      <c r="D720" s="29"/>
      <c r="E720" s="84"/>
      <c r="G720" s="79"/>
      <c r="H720" s="28"/>
      <c r="I720" s="29"/>
      <c r="J720" s="84"/>
    </row>
    <row r="721" spans="2:10" x14ac:dyDescent="0.2">
      <c r="B721" s="79"/>
      <c r="C721" s="28"/>
      <c r="D721" s="29"/>
      <c r="E721" s="85"/>
      <c r="G721" s="79"/>
      <c r="H721" s="28"/>
      <c r="I721" s="29"/>
      <c r="J721" s="85"/>
    </row>
    <row r="722" spans="2:10" x14ac:dyDescent="0.2">
      <c r="B722" s="79"/>
      <c r="C722" s="28"/>
      <c r="D722" s="29"/>
      <c r="E722" s="85"/>
      <c r="G722" s="79"/>
      <c r="H722" s="28"/>
      <c r="I722" s="29"/>
      <c r="J722" s="85"/>
    </row>
    <row r="723" spans="2:10" x14ac:dyDescent="0.2">
      <c r="B723" s="79"/>
      <c r="C723" s="28"/>
      <c r="D723" s="29"/>
      <c r="E723" s="84"/>
      <c r="G723" s="79"/>
      <c r="H723" s="28"/>
      <c r="I723" s="29"/>
      <c r="J723" s="84"/>
    </row>
    <row r="724" spans="2:10" x14ac:dyDescent="0.2">
      <c r="B724" s="79"/>
      <c r="C724" s="28"/>
      <c r="D724" s="29"/>
      <c r="E724" s="85"/>
      <c r="G724" s="79"/>
      <c r="H724" s="28"/>
      <c r="I724" s="29"/>
      <c r="J724" s="85"/>
    </row>
    <row r="725" spans="2:10" x14ac:dyDescent="0.2">
      <c r="B725" s="79"/>
      <c r="C725" s="28"/>
      <c r="D725" s="29"/>
      <c r="E725" s="84"/>
      <c r="G725" s="79"/>
      <c r="H725" s="28"/>
      <c r="I725" s="29"/>
      <c r="J725" s="84"/>
    </row>
    <row r="726" spans="2:10" x14ac:dyDescent="0.2">
      <c r="B726" s="79"/>
      <c r="C726" s="28"/>
      <c r="D726" s="29"/>
      <c r="E726" s="85"/>
      <c r="G726" s="79"/>
      <c r="H726" s="28"/>
      <c r="I726" s="29"/>
      <c r="J726" s="85"/>
    </row>
    <row r="727" spans="2:10" x14ac:dyDescent="0.2">
      <c r="B727" s="79"/>
      <c r="C727" s="28"/>
      <c r="D727" s="29"/>
      <c r="E727" s="85"/>
      <c r="G727" s="79"/>
      <c r="H727" s="28"/>
      <c r="I727" s="29"/>
      <c r="J727" s="85"/>
    </row>
    <row r="728" spans="2:10" x14ac:dyDescent="0.2">
      <c r="B728" s="79"/>
      <c r="C728" s="28"/>
      <c r="D728" s="29"/>
      <c r="E728" s="84"/>
      <c r="G728" s="79"/>
      <c r="H728" s="28"/>
      <c r="I728" s="29"/>
      <c r="J728" s="84"/>
    </row>
    <row r="729" spans="2:10" x14ac:dyDescent="0.2">
      <c r="B729" s="79"/>
      <c r="C729" s="28"/>
      <c r="D729" s="29"/>
      <c r="E729" s="85"/>
      <c r="G729" s="79"/>
      <c r="H729" s="28"/>
      <c r="I729" s="29"/>
      <c r="J729" s="85"/>
    </row>
    <row r="730" spans="2:10" x14ac:dyDescent="0.2">
      <c r="B730" s="79"/>
      <c r="C730" s="28"/>
      <c r="D730" s="29"/>
      <c r="E730" s="84"/>
      <c r="G730" s="79"/>
      <c r="H730" s="28"/>
      <c r="I730" s="29"/>
      <c r="J730" s="84"/>
    </row>
    <row r="731" spans="2:10" x14ac:dyDescent="0.2">
      <c r="B731" s="79"/>
      <c r="C731" s="28"/>
      <c r="D731" s="29"/>
      <c r="E731" s="85"/>
      <c r="G731" s="79"/>
      <c r="H731" s="28"/>
      <c r="I731" s="29"/>
      <c r="J731" s="85"/>
    </row>
    <row r="732" spans="2:10" x14ac:dyDescent="0.2">
      <c r="B732" s="79"/>
      <c r="C732" s="28"/>
      <c r="D732" s="29"/>
      <c r="E732" s="84"/>
      <c r="G732" s="79"/>
      <c r="H732" s="28"/>
      <c r="I732" s="29"/>
      <c r="J732" s="85"/>
    </row>
    <row r="733" spans="2:10" x14ac:dyDescent="0.2">
      <c r="B733" s="79"/>
      <c r="C733" s="28"/>
      <c r="D733" s="29"/>
      <c r="E733" s="85"/>
      <c r="G733" s="79"/>
      <c r="H733" s="28"/>
      <c r="I733" s="29"/>
      <c r="J733" s="84"/>
    </row>
    <row r="734" spans="2:10" x14ac:dyDescent="0.2">
      <c r="B734" s="79"/>
      <c r="C734" s="28"/>
      <c r="D734" s="29"/>
      <c r="E734" s="85"/>
      <c r="G734" s="79"/>
      <c r="H734" s="28"/>
      <c r="I734" s="29"/>
      <c r="J734" s="85"/>
    </row>
    <row r="735" spans="2:10" x14ac:dyDescent="0.2">
      <c r="B735" s="79"/>
      <c r="C735" s="28"/>
      <c r="D735" s="29"/>
      <c r="E735" s="84"/>
      <c r="G735" s="79"/>
      <c r="H735" s="28"/>
      <c r="I735" s="29"/>
      <c r="J735" s="84"/>
    </row>
    <row r="736" spans="2:10" x14ac:dyDescent="0.2">
      <c r="B736" s="79"/>
      <c r="C736" s="28"/>
      <c r="D736" s="29"/>
      <c r="E736" s="85"/>
      <c r="G736" s="79"/>
      <c r="H736" s="28"/>
      <c r="I736" s="29"/>
      <c r="J736" s="85"/>
    </row>
    <row r="737" spans="2:10" x14ac:dyDescent="0.2">
      <c r="B737" s="79"/>
      <c r="C737" s="28"/>
      <c r="D737" s="29"/>
      <c r="E737" s="84"/>
      <c r="G737" s="79"/>
      <c r="H737" s="28"/>
      <c r="I737" s="29"/>
      <c r="J737" s="85"/>
    </row>
    <row r="738" spans="2:10" x14ac:dyDescent="0.2">
      <c r="B738" s="79"/>
      <c r="C738" s="28"/>
      <c r="D738" s="29"/>
      <c r="E738" s="85"/>
      <c r="G738" s="79"/>
      <c r="H738" s="28"/>
      <c r="I738" s="29"/>
      <c r="J738" s="84"/>
    </row>
    <row r="739" spans="2:10" x14ac:dyDescent="0.2">
      <c r="B739" s="79"/>
      <c r="C739" s="28"/>
      <c r="D739" s="29"/>
      <c r="E739" s="85"/>
      <c r="G739" s="79"/>
      <c r="H739" s="28"/>
      <c r="I739" s="29"/>
      <c r="J739" s="85"/>
    </row>
    <row r="740" spans="2:10" x14ac:dyDescent="0.2">
      <c r="B740" s="79"/>
      <c r="C740" s="28"/>
      <c r="D740" s="29"/>
      <c r="E740" s="84"/>
      <c r="G740" s="79"/>
      <c r="H740" s="28"/>
      <c r="I740" s="29"/>
      <c r="J740" s="84"/>
    </row>
    <row r="741" spans="2:10" x14ac:dyDescent="0.2">
      <c r="B741" s="79"/>
      <c r="C741" s="28"/>
      <c r="D741" s="29"/>
      <c r="E741" s="85"/>
      <c r="G741" s="79"/>
      <c r="H741" s="28"/>
      <c r="I741" s="29"/>
      <c r="J741" s="85"/>
    </row>
    <row r="742" spans="2:10" x14ac:dyDescent="0.2">
      <c r="B742" s="79"/>
      <c r="C742" s="28"/>
      <c r="D742" s="29"/>
      <c r="E742" s="84"/>
      <c r="G742" s="79"/>
      <c r="H742" s="28"/>
      <c r="I742" s="29"/>
      <c r="J742" s="85"/>
    </row>
    <row r="743" spans="2:10" x14ac:dyDescent="0.2">
      <c r="B743" s="79"/>
      <c r="C743" s="28"/>
      <c r="D743" s="29"/>
      <c r="E743" s="85"/>
      <c r="G743" s="79"/>
      <c r="H743" s="28"/>
      <c r="I743" s="29"/>
      <c r="J743" s="84"/>
    </row>
    <row r="744" spans="2:10" x14ac:dyDescent="0.2">
      <c r="B744" s="79"/>
      <c r="C744" s="28"/>
      <c r="D744" s="29"/>
      <c r="E744" s="84"/>
      <c r="G744" s="79"/>
      <c r="H744" s="28"/>
      <c r="I744" s="29"/>
      <c r="J744" s="85"/>
    </row>
    <row r="745" spans="2:10" x14ac:dyDescent="0.2">
      <c r="B745" s="79"/>
      <c r="C745" s="28"/>
      <c r="D745" s="29"/>
      <c r="E745" s="85"/>
      <c r="G745" s="79"/>
      <c r="H745" s="28"/>
      <c r="I745" s="29"/>
      <c r="J745" s="84"/>
    </row>
    <row r="746" spans="2:10" x14ac:dyDescent="0.2">
      <c r="B746" s="79"/>
      <c r="C746" s="28"/>
      <c r="D746" s="29"/>
      <c r="E746" s="85"/>
      <c r="G746" s="79"/>
      <c r="H746" s="28"/>
      <c r="I746" s="29"/>
      <c r="J746" s="85"/>
    </row>
    <row r="747" spans="2:10" x14ac:dyDescent="0.2">
      <c r="B747" s="79"/>
      <c r="C747" s="28"/>
      <c r="D747" s="29"/>
      <c r="E747" s="84"/>
      <c r="G747" s="79"/>
      <c r="H747" s="28"/>
      <c r="I747" s="29"/>
      <c r="J747" s="85"/>
    </row>
    <row r="748" spans="2:10" x14ac:dyDescent="0.2">
      <c r="B748" s="79"/>
      <c r="C748" s="28"/>
      <c r="D748" s="29"/>
      <c r="E748" s="85"/>
      <c r="G748" s="79"/>
      <c r="H748" s="28"/>
      <c r="I748" s="29"/>
      <c r="J748" s="84"/>
    </row>
    <row r="749" spans="2:10" x14ac:dyDescent="0.2">
      <c r="B749" s="79"/>
      <c r="C749" s="28"/>
      <c r="D749" s="29"/>
      <c r="E749" s="84"/>
      <c r="G749" s="79"/>
      <c r="H749" s="28"/>
      <c r="I749" s="29"/>
      <c r="J749" s="85"/>
    </row>
    <row r="750" spans="2:10" x14ac:dyDescent="0.2">
      <c r="B750" s="79"/>
      <c r="C750" s="28"/>
      <c r="D750" s="29"/>
      <c r="E750" s="85"/>
      <c r="G750" s="79"/>
      <c r="H750" s="28"/>
      <c r="I750" s="29"/>
      <c r="J750" s="84"/>
    </row>
    <row r="751" spans="2:10" x14ac:dyDescent="0.2">
      <c r="B751" s="79"/>
      <c r="C751" s="28"/>
      <c r="D751" s="29"/>
      <c r="E751" s="85"/>
      <c r="G751" s="79"/>
      <c r="H751" s="28"/>
      <c r="I751" s="29"/>
      <c r="J751" s="85"/>
    </row>
    <row r="752" spans="2:10" x14ac:dyDescent="0.2">
      <c r="B752" s="79"/>
      <c r="C752" s="28"/>
      <c r="D752" s="29"/>
      <c r="E752" s="84"/>
      <c r="G752" s="79"/>
      <c r="H752" s="28"/>
      <c r="I752" s="29"/>
      <c r="J752" s="85"/>
    </row>
    <row r="753" spans="2:10" x14ac:dyDescent="0.2">
      <c r="B753" s="79"/>
      <c r="C753" s="28"/>
      <c r="D753" s="29"/>
      <c r="E753" s="85"/>
      <c r="G753" s="79"/>
      <c r="H753" s="28"/>
      <c r="I753" s="29"/>
      <c r="J753" s="84"/>
    </row>
    <row r="754" spans="2:10" x14ac:dyDescent="0.2">
      <c r="B754" s="79"/>
      <c r="C754" s="28"/>
      <c r="D754" s="29"/>
      <c r="E754" s="84"/>
      <c r="G754" s="79"/>
      <c r="H754" s="28"/>
      <c r="I754" s="29"/>
      <c r="J754" s="85"/>
    </row>
    <row r="755" spans="2:10" x14ac:dyDescent="0.2">
      <c r="B755" s="79"/>
      <c r="C755" s="28"/>
      <c r="D755" s="29"/>
      <c r="E755" s="85"/>
      <c r="G755" s="79"/>
      <c r="H755" s="28"/>
      <c r="I755" s="29"/>
      <c r="J755" s="84"/>
    </row>
    <row r="756" spans="2:10" x14ac:dyDescent="0.2">
      <c r="B756" s="79"/>
      <c r="C756" s="28"/>
      <c r="D756" s="29"/>
      <c r="E756" s="84"/>
      <c r="G756" s="79"/>
      <c r="H756" s="28"/>
      <c r="I756" s="29"/>
      <c r="J756" s="85"/>
    </row>
    <row r="757" spans="2:10" x14ac:dyDescent="0.2">
      <c r="B757" s="79"/>
      <c r="C757" s="28"/>
      <c r="D757" s="29"/>
      <c r="E757" s="85"/>
      <c r="G757" s="79"/>
      <c r="H757" s="28"/>
      <c r="I757" s="29"/>
      <c r="J757" s="85"/>
    </row>
    <row r="758" spans="2:10" x14ac:dyDescent="0.2">
      <c r="B758" s="79"/>
      <c r="C758" s="28"/>
      <c r="D758" s="29"/>
      <c r="E758" s="85"/>
      <c r="G758" s="79"/>
      <c r="H758" s="28"/>
      <c r="I758" s="29"/>
      <c r="J758" s="84"/>
    </row>
    <row r="759" spans="2:10" x14ac:dyDescent="0.2">
      <c r="B759" s="79"/>
      <c r="C759" s="28"/>
      <c r="D759" s="29"/>
      <c r="E759" s="84"/>
      <c r="G759" s="79"/>
      <c r="H759" s="28"/>
      <c r="I759" s="29"/>
      <c r="J759" s="85"/>
    </row>
    <row r="760" spans="2:10" x14ac:dyDescent="0.2">
      <c r="B760" s="79"/>
      <c r="C760" s="28"/>
      <c r="D760" s="29"/>
      <c r="E760" s="85"/>
      <c r="G760" s="79"/>
      <c r="H760" s="28"/>
      <c r="I760" s="29"/>
      <c r="J760" s="84"/>
    </row>
    <row r="761" spans="2:10" x14ac:dyDescent="0.2">
      <c r="B761" s="79"/>
      <c r="C761" s="28"/>
      <c r="D761" s="29"/>
      <c r="E761" s="84"/>
      <c r="G761" s="79"/>
      <c r="H761" s="28"/>
      <c r="I761" s="29"/>
      <c r="J761" s="85"/>
    </row>
    <row r="762" spans="2:10" x14ac:dyDescent="0.2">
      <c r="B762" s="79"/>
      <c r="C762" s="28"/>
      <c r="D762" s="29"/>
      <c r="E762" s="85"/>
      <c r="G762" s="79"/>
      <c r="H762" s="28"/>
      <c r="I762" s="29"/>
      <c r="J762" s="85"/>
    </row>
    <row r="763" spans="2:10" x14ac:dyDescent="0.2">
      <c r="B763" s="79"/>
      <c r="C763" s="28"/>
      <c r="D763" s="29"/>
      <c r="E763" s="85"/>
      <c r="G763" s="79"/>
      <c r="H763" s="28"/>
      <c r="I763" s="29"/>
      <c r="J763" s="84"/>
    </row>
    <row r="764" spans="2:10" x14ac:dyDescent="0.2">
      <c r="B764" s="79"/>
      <c r="C764" s="28"/>
      <c r="D764" s="29"/>
      <c r="E764" s="84"/>
      <c r="G764" s="79"/>
      <c r="H764" s="28"/>
      <c r="I764" s="29"/>
      <c r="J764" s="85"/>
    </row>
    <row r="765" spans="2:10" x14ac:dyDescent="0.2">
      <c r="B765" s="79"/>
      <c r="C765" s="28"/>
      <c r="D765" s="29"/>
      <c r="E765" s="85"/>
      <c r="G765" s="79"/>
      <c r="H765" s="28"/>
      <c r="I765" s="29"/>
      <c r="J765" s="84"/>
    </row>
    <row r="766" spans="2:10" x14ac:dyDescent="0.2">
      <c r="B766" s="79"/>
      <c r="C766" s="28"/>
      <c r="D766" s="29"/>
      <c r="E766" s="84"/>
      <c r="G766" s="79"/>
      <c r="H766" s="28"/>
      <c r="I766" s="29"/>
      <c r="J766" s="85"/>
    </row>
    <row r="767" spans="2:10" x14ac:dyDescent="0.2">
      <c r="B767" s="79"/>
      <c r="C767" s="28"/>
      <c r="D767" s="29"/>
      <c r="E767" s="85"/>
      <c r="G767" s="79"/>
      <c r="H767" s="28"/>
      <c r="I767" s="29"/>
      <c r="J767" s="85"/>
    </row>
    <row r="768" spans="2:10" x14ac:dyDescent="0.2">
      <c r="B768" s="79"/>
      <c r="C768" s="28"/>
      <c r="D768" s="29"/>
      <c r="E768" s="84"/>
      <c r="G768" s="79"/>
      <c r="H768" s="28"/>
      <c r="I768" s="29"/>
      <c r="J768" s="84"/>
    </row>
    <row r="769" spans="2:10" x14ac:dyDescent="0.2">
      <c r="B769" s="79"/>
      <c r="C769" s="28"/>
      <c r="D769" s="29"/>
      <c r="E769" s="85"/>
      <c r="G769" s="79"/>
      <c r="H769" s="28"/>
      <c r="I769" s="29"/>
      <c r="J769" s="85"/>
    </row>
    <row r="770" spans="2:10" x14ac:dyDescent="0.2">
      <c r="B770" s="79"/>
      <c r="C770" s="28"/>
      <c r="D770" s="29"/>
      <c r="E770" s="85"/>
      <c r="G770" s="79"/>
      <c r="H770" s="28"/>
      <c r="I770" s="29"/>
      <c r="J770" s="84"/>
    </row>
    <row r="771" spans="2:10" x14ac:dyDescent="0.2">
      <c r="B771" s="79"/>
      <c r="C771" s="28"/>
      <c r="D771" s="29"/>
      <c r="E771" s="84"/>
      <c r="G771" s="79"/>
      <c r="H771" s="28"/>
      <c r="I771" s="29"/>
      <c r="J771" s="85"/>
    </row>
    <row r="772" spans="2:10" x14ac:dyDescent="0.2">
      <c r="B772" s="79"/>
      <c r="C772" s="28"/>
      <c r="D772" s="29"/>
      <c r="E772" s="85"/>
      <c r="G772" s="79"/>
      <c r="H772" s="28"/>
      <c r="I772" s="29"/>
      <c r="J772" s="85"/>
    </row>
    <row r="773" spans="2:10" x14ac:dyDescent="0.2">
      <c r="B773" s="79"/>
      <c r="C773" s="28"/>
      <c r="D773" s="29"/>
      <c r="E773" s="84"/>
      <c r="G773" s="79"/>
      <c r="H773" s="28"/>
      <c r="I773" s="29"/>
      <c r="J773" s="84"/>
    </row>
    <row r="774" spans="2:10" x14ac:dyDescent="0.2">
      <c r="B774" s="79"/>
      <c r="C774" s="28"/>
      <c r="D774" s="29"/>
      <c r="E774" s="85"/>
      <c r="G774" s="79"/>
      <c r="H774" s="28"/>
      <c r="I774" s="29"/>
      <c r="J774" s="85"/>
    </row>
    <row r="775" spans="2:10" x14ac:dyDescent="0.2">
      <c r="B775" s="79"/>
      <c r="C775" s="28"/>
      <c r="D775" s="29"/>
      <c r="E775" s="85"/>
      <c r="G775" s="79"/>
      <c r="H775" s="28"/>
      <c r="I775" s="29"/>
      <c r="J775" s="84"/>
    </row>
    <row r="776" spans="2:10" x14ac:dyDescent="0.2">
      <c r="B776" s="79"/>
      <c r="C776" s="28"/>
      <c r="D776" s="29"/>
      <c r="E776" s="84"/>
      <c r="G776" s="79"/>
      <c r="H776" s="28"/>
      <c r="I776" s="29"/>
      <c r="J776" s="85"/>
    </row>
    <row r="777" spans="2:10" x14ac:dyDescent="0.2">
      <c r="B777" s="79"/>
      <c r="C777" s="28"/>
      <c r="D777" s="29"/>
      <c r="E777" s="85"/>
      <c r="G777" s="79"/>
      <c r="H777" s="28"/>
      <c r="I777" s="29"/>
      <c r="J777" s="85"/>
    </row>
    <row r="778" spans="2:10" x14ac:dyDescent="0.2">
      <c r="B778" s="79"/>
      <c r="C778" s="28"/>
      <c r="D778" s="29"/>
      <c r="E778" s="84"/>
      <c r="G778" s="79"/>
      <c r="H778" s="28"/>
      <c r="I778" s="29"/>
      <c r="J778" s="84"/>
    </row>
    <row r="779" spans="2:10" x14ac:dyDescent="0.2">
      <c r="B779" s="79"/>
      <c r="C779" s="28"/>
      <c r="D779" s="29"/>
      <c r="E779" s="85"/>
      <c r="G779" s="79"/>
      <c r="H779" s="28"/>
      <c r="I779" s="29"/>
      <c r="J779" s="85"/>
    </row>
    <row r="780" spans="2:10" x14ac:dyDescent="0.2">
      <c r="B780" s="79"/>
      <c r="C780" s="28"/>
      <c r="D780" s="29"/>
      <c r="E780" s="84"/>
      <c r="G780" s="79"/>
      <c r="H780" s="28"/>
      <c r="I780" s="29"/>
      <c r="J780" s="84"/>
    </row>
    <row r="781" spans="2:10" x14ac:dyDescent="0.2">
      <c r="B781" s="79"/>
      <c r="C781" s="28"/>
      <c r="D781" s="29"/>
      <c r="E781" s="85"/>
      <c r="G781" s="79"/>
      <c r="H781" s="28"/>
      <c r="I781" s="29"/>
      <c r="J781" s="85"/>
    </row>
    <row r="782" spans="2:10" x14ac:dyDescent="0.2">
      <c r="B782" s="79"/>
      <c r="C782" s="28"/>
      <c r="D782" s="29"/>
      <c r="E782" s="85"/>
      <c r="G782" s="79"/>
      <c r="H782" s="28"/>
      <c r="I782" s="29"/>
      <c r="J782" s="85"/>
    </row>
    <row r="783" spans="2:10" x14ac:dyDescent="0.2">
      <c r="B783" s="79"/>
      <c r="C783" s="28"/>
      <c r="D783" s="29"/>
      <c r="E783" s="84"/>
      <c r="G783" s="79"/>
      <c r="H783" s="28"/>
      <c r="I783" s="29"/>
      <c r="J783" s="84"/>
    </row>
    <row r="784" spans="2:10" x14ac:dyDescent="0.2">
      <c r="B784" s="79"/>
      <c r="C784" s="28"/>
      <c r="D784" s="29"/>
      <c r="E784" s="85"/>
      <c r="G784" s="79"/>
      <c r="H784" s="28"/>
      <c r="I784" s="29"/>
      <c r="J784" s="85"/>
    </row>
    <row r="785" spans="2:10" x14ac:dyDescent="0.2">
      <c r="B785" s="79"/>
      <c r="C785" s="28"/>
      <c r="D785" s="29"/>
      <c r="E785" s="84"/>
      <c r="G785" s="79"/>
      <c r="H785" s="28"/>
      <c r="I785" s="29"/>
      <c r="J785" s="84"/>
    </row>
    <row r="786" spans="2:10" x14ac:dyDescent="0.2">
      <c r="B786" s="79"/>
      <c r="C786" s="28"/>
      <c r="D786" s="29"/>
      <c r="E786" s="85"/>
      <c r="G786" s="79"/>
      <c r="H786" s="28"/>
      <c r="I786" s="29"/>
      <c r="J786" s="85"/>
    </row>
    <row r="787" spans="2:10" x14ac:dyDescent="0.2">
      <c r="B787" s="79"/>
      <c r="C787" s="28"/>
      <c r="D787" s="29"/>
      <c r="E787" s="85"/>
      <c r="G787" s="79"/>
      <c r="H787" s="28"/>
      <c r="I787" s="29"/>
      <c r="J787" s="85"/>
    </row>
    <row r="788" spans="2:10" x14ac:dyDescent="0.2">
      <c r="B788" s="79"/>
      <c r="C788" s="28"/>
      <c r="D788" s="29"/>
      <c r="E788" s="84"/>
      <c r="G788" s="79"/>
      <c r="H788" s="28"/>
      <c r="I788" s="29"/>
      <c r="J788" s="84"/>
    </row>
    <row r="789" spans="2:10" x14ac:dyDescent="0.2">
      <c r="B789" s="79"/>
      <c r="C789" s="28"/>
      <c r="D789" s="29"/>
      <c r="E789" s="85"/>
      <c r="G789" s="79"/>
      <c r="H789" s="28"/>
      <c r="I789" s="29"/>
      <c r="J789" s="85"/>
    </row>
    <row r="790" spans="2:10" x14ac:dyDescent="0.2">
      <c r="B790" s="79"/>
      <c r="C790" s="28"/>
      <c r="D790" s="29"/>
      <c r="E790" s="84"/>
      <c r="G790" s="79"/>
      <c r="H790" s="28"/>
      <c r="I790" s="29"/>
      <c r="J790" s="84"/>
    </row>
    <row r="791" spans="2:10" x14ac:dyDescent="0.2">
      <c r="B791" s="79"/>
      <c r="C791" s="28"/>
      <c r="D791" s="29"/>
      <c r="E791" s="85"/>
      <c r="G791" s="79"/>
      <c r="H791" s="28"/>
      <c r="I791" s="29"/>
      <c r="J791" s="85"/>
    </row>
    <row r="792" spans="2:10" x14ac:dyDescent="0.2">
      <c r="B792" s="79"/>
      <c r="C792" s="28"/>
      <c r="D792" s="29"/>
      <c r="E792" s="84"/>
      <c r="G792" s="79"/>
      <c r="H792" s="28"/>
      <c r="I792" s="29"/>
      <c r="J792" s="85"/>
    </row>
    <row r="793" spans="2:10" x14ac:dyDescent="0.2">
      <c r="B793" s="79"/>
      <c r="C793" s="28"/>
      <c r="D793" s="29"/>
      <c r="E793" s="85"/>
      <c r="G793" s="79"/>
      <c r="H793" s="28"/>
      <c r="I793" s="29"/>
      <c r="J793" s="84"/>
    </row>
    <row r="794" spans="2:10" x14ac:dyDescent="0.2">
      <c r="B794" s="79"/>
      <c r="C794" s="28"/>
      <c r="D794" s="29"/>
      <c r="E794" s="85"/>
      <c r="G794" s="79"/>
      <c r="H794" s="28"/>
      <c r="I794" s="29"/>
      <c r="J794" s="85"/>
    </row>
    <row r="795" spans="2:10" x14ac:dyDescent="0.2">
      <c r="B795" s="79"/>
      <c r="C795" s="28"/>
      <c r="D795" s="29"/>
      <c r="E795" s="84"/>
      <c r="G795" s="79"/>
      <c r="H795" s="28"/>
      <c r="I795" s="29"/>
      <c r="J795" s="84"/>
    </row>
    <row r="796" spans="2:10" x14ac:dyDescent="0.2">
      <c r="B796" s="79"/>
      <c r="C796" s="28"/>
      <c r="D796" s="29"/>
      <c r="E796" s="85"/>
      <c r="G796" s="79"/>
      <c r="H796" s="28"/>
      <c r="I796" s="29"/>
      <c r="J796" s="85"/>
    </row>
    <row r="797" spans="2:10" x14ac:dyDescent="0.2">
      <c r="B797" s="79"/>
      <c r="C797" s="28"/>
      <c r="D797" s="29"/>
      <c r="E797" s="84"/>
      <c r="G797" s="79"/>
      <c r="H797" s="28"/>
      <c r="I797" s="29"/>
      <c r="J797" s="85"/>
    </row>
    <row r="798" spans="2:10" x14ac:dyDescent="0.2">
      <c r="B798" s="79"/>
      <c r="C798" s="28"/>
      <c r="D798" s="29"/>
      <c r="E798" s="85"/>
      <c r="G798" s="79"/>
      <c r="H798" s="28"/>
      <c r="I798" s="29"/>
      <c r="J798" s="84"/>
    </row>
    <row r="799" spans="2:10" x14ac:dyDescent="0.2">
      <c r="B799" s="79"/>
      <c r="C799" s="28"/>
      <c r="D799" s="29"/>
      <c r="E799" s="85"/>
      <c r="G799" s="79"/>
      <c r="H799" s="28"/>
      <c r="I799" s="29"/>
      <c r="J799" s="85"/>
    </row>
    <row r="800" spans="2:10" x14ac:dyDescent="0.2">
      <c r="B800" s="79"/>
      <c r="C800" s="28"/>
      <c r="D800" s="29"/>
      <c r="E800" s="84"/>
      <c r="G800" s="79"/>
      <c r="H800" s="28"/>
      <c r="I800" s="29"/>
      <c r="J800" s="84"/>
    </row>
    <row r="801" spans="2:10" x14ac:dyDescent="0.2">
      <c r="B801" s="79"/>
      <c r="C801" s="28"/>
      <c r="D801" s="29"/>
      <c r="E801" s="85"/>
      <c r="G801" s="79"/>
      <c r="H801" s="28"/>
      <c r="I801" s="29"/>
      <c r="J801" s="85"/>
    </row>
    <row r="802" spans="2:10" x14ac:dyDescent="0.2">
      <c r="B802" s="79"/>
      <c r="C802" s="28"/>
      <c r="D802" s="29"/>
      <c r="E802" s="84"/>
      <c r="G802" s="79"/>
      <c r="H802" s="28"/>
      <c r="I802" s="29"/>
      <c r="J802" s="85"/>
    </row>
    <row r="803" spans="2:10" x14ac:dyDescent="0.2">
      <c r="B803" s="79"/>
      <c r="C803" s="28"/>
      <c r="D803" s="29"/>
      <c r="E803" s="85"/>
      <c r="G803" s="79"/>
      <c r="H803" s="28"/>
      <c r="I803" s="29"/>
      <c r="J803" s="84"/>
    </row>
    <row r="804" spans="2:10" x14ac:dyDescent="0.2">
      <c r="B804" s="79"/>
      <c r="C804" s="28"/>
      <c r="D804" s="29"/>
      <c r="E804" s="84"/>
      <c r="G804" s="79"/>
      <c r="H804" s="28"/>
      <c r="I804" s="29"/>
      <c r="J804" s="85"/>
    </row>
    <row r="805" spans="2:10" x14ac:dyDescent="0.2">
      <c r="B805" s="79"/>
      <c r="C805" s="28"/>
      <c r="D805" s="29"/>
      <c r="E805" s="85"/>
      <c r="G805" s="79"/>
      <c r="H805" s="28"/>
      <c r="I805" s="29"/>
      <c r="J805" s="84"/>
    </row>
    <row r="806" spans="2:10" x14ac:dyDescent="0.2">
      <c r="B806" s="79"/>
      <c r="C806" s="28"/>
      <c r="D806" s="29"/>
      <c r="E806" s="85"/>
      <c r="G806" s="79"/>
      <c r="H806" s="28"/>
      <c r="I806" s="29"/>
      <c r="J806" s="85"/>
    </row>
    <row r="807" spans="2:10" x14ac:dyDescent="0.2">
      <c r="B807" s="79"/>
      <c r="C807" s="28"/>
      <c r="D807" s="29"/>
      <c r="E807" s="84"/>
      <c r="G807" s="79"/>
      <c r="H807" s="28"/>
      <c r="I807" s="29"/>
      <c r="J807" s="85"/>
    </row>
    <row r="808" spans="2:10" x14ac:dyDescent="0.2">
      <c r="B808" s="79"/>
      <c r="C808" s="28"/>
      <c r="D808" s="29"/>
      <c r="E808" s="85"/>
      <c r="G808" s="79"/>
      <c r="H808" s="28"/>
      <c r="I808" s="29"/>
      <c r="J808" s="84"/>
    </row>
    <row r="809" spans="2:10" x14ac:dyDescent="0.2">
      <c r="B809" s="79"/>
      <c r="C809" s="28"/>
      <c r="D809" s="29"/>
      <c r="E809" s="84"/>
      <c r="G809" s="79"/>
      <c r="H809" s="28"/>
      <c r="I809" s="29"/>
      <c r="J809" s="85"/>
    </row>
    <row r="810" spans="2:10" x14ac:dyDescent="0.2">
      <c r="B810" s="79"/>
      <c r="C810" s="28"/>
      <c r="D810" s="29"/>
      <c r="E810" s="85"/>
      <c r="G810" s="79"/>
      <c r="H810" s="28"/>
      <c r="I810" s="29"/>
      <c r="J810" s="84"/>
    </row>
    <row r="811" spans="2:10" x14ac:dyDescent="0.2">
      <c r="B811" s="79"/>
      <c r="C811" s="28"/>
      <c r="D811" s="29"/>
      <c r="E811" s="85"/>
      <c r="G811" s="79"/>
      <c r="H811" s="28"/>
      <c r="I811" s="29"/>
      <c r="J811" s="85"/>
    </row>
    <row r="812" spans="2:10" x14ac:dyDescent="0.2">
      <c r="B812" s="79"/>
      <c r="C812" s="28"/>
      <c r="D812" s="29"/>
      <c r="E812" s="84"/>
      <c r="G812" s="79"/>
      <c r="H812" s="28"/>
      <c r="I812" s="29"/>
      <c r="J812" s="85"/>
    </row>
    <row r="813" spans="2:10" x14ac:dyDescent="0.2">
      <c r="B813" s="79"/>
      <c r="C813" s="28"/>
      <c r="D813" s="29"/>
      <c r="E813" s="85"/>
      <c r="G813" s="79"/>
      <c r="H813" s="28"/>
      <c r="I813" s="29"/>
      <c r="J813" s="84"/>
    </row>
    <row r="814" spans="2:10" x14ac:dyDescent="0.2">
      <c r="B814" s="79"/>
      <c r="C814" s="28"/>
      <c r="D814" s="29"/>
      <c r="E814" s="84"/>
      <c r="G814" s="79"/>
      <c r="H814" s="28"/>
      <c r="I814" s="29"/>
      <c r="J814" s="85"/>
    </row>
    <row r="815" spans="2:10" x14ac:dyDescent="0.2">
      <c r="B815" s="79"/>
      <c r="C815" s="28"/>
      <c r="D815" s="29"/>
      <c r="E815" s="85"/>
      <c r="G815" s="79"/>
      <c r="H815" s="28"/>
      <c r="I815" s="29"/>
      <c r="J815" s="84"/>
    </row>
    <row r="816" spans="2:10" x14ac:dyDescent="0.2">
      <c r="B816" s="79"/>
      <c r="C816" s="28"/>
      <c r="D816" s="29"/>
      <c r="E816" s="84"/>
      <c r="G816" s="79"/>
      <c r="H816" s="28"/>
      <c r="I816" s="29"/>
      <c r="J816" s="85"/>
    </row>
    <row r="817" spans="2:10" x14ac:dyDescent="0.2">
      <c r="B817" s="79"/>
      <c r="C817" s="28"/>
      <c r="D817" s="29"/>
      <c r="E817" s="85"/>
      <c r="G817" s="79"/>
      <c r="H817" s="28"/>
      <c r="I817" s="29"/>
      <c r="J817" s="85"/>
    </row>
    <row r="818" spans="2:10" x14ac:dyDescent="0.2">
      <c r="B818" s="79"/>
      <c r="C818" s="28"/>
      <c r="D818" s="29"/>
      <c r="E818" s="85"/>
      <c r="G818" s="79"/>
      <c r="H818" s="28"/>
      <c r="I818" s="29"/>
      <c r="J818" s="84"/>
    </row>
    <row r="819" spans="2:10" x14ac:dyDescent="0.2">
      <c r="B819" s="79"/>
      <c r="C819" s="28"/>
      <c r="D819" s="29"/>
      <c r="E819" s="84"/>
      <c r="G819" s="79"/>
      <c r="H819" s="28"/>
      <c r="I819" s="29"/>
      <c r="J819" s="85"/>
    </row>
    <row r="820" spans="2:10" x14ac:dyDescent="0.2">
      <c r="B820" s="79"/>
      <c r="C820" s="28"/>
      <c r="D820" s="29"/>
      <c r="E820" s="85"/>
      <c r="G820" s="79"/>
      <c r="H820" s="28"/>
      <c r="I820" s="29"/>
      <c r="J820" s="84"/>
    </row>
    <row r="821" spans="2:10" x14ac:dyDescent="0.2">
      <c r="B821" s="79"/>
      <c r="C821" s="28"/>
      <c r="D821" s="29"/>
      <c r="E821" s="84"/>
      <c r="G821" s="79"/>
      <c r="H821" s="28"/>
      <c r="I821" s="29"/>
      <c r="J821" s="85"/>
    </row>
    <row r="822" spans="2:10" x14ac:dyDescent="0.2">
      <c r="B822" s="79"/>
      <c r="C822" s="28"/>
      <c r="D822" s="29"/>
      <c r="E822" s="85"/>
      <c r="G822" s="79"/>
      <c r="H822" s="28"/>
      <c r="I822" s="29"/>
      <c r="J822" s="85"/>
    </row>
    <row r="823" spans="2:10" x14ac:dyDescent="0.2">
      <c r="B823" s="79"/>
      <c r="C823" s="28"/>
      <c r="D823" s="29"/>
      <c r="E823" s="85"/>
      <c r="G823" s="79"/>
      <c r="H823" s="28"/>
      <c r="I823" s="29"/>
      <c r="J823" s="84"/>
    </row>
    <row r="824" spans="2:10" x14ac:dyDescent="0.2">
      <c r="B824" s="79"/>
      <c r="C824" s="28"/>
      <c r="D824" s="29"/>
      <c r="E824" s="84"/>
      <c r="G824" s="79"/>
      <c r="H824" s="28"/>
      <c r="I824" s="29"/>
      <c r="J824" s="85"/>
    </row>
    <row r="825" spans="2:10" x14ac:dyDescent="0.2">
      <c r="B825" s="79"/>
      <c r="C825" s="28"/>
      <c r="D825" s="29"/>
      <c r="E825" s="85"/>
      <c r="G825" s="79"/>
      <c r="H825" s="28"/>
      <c r="I825" s="29"/>
      <c r="J825" s="84"/>
    </row>
    <row r="826" spans="2:10" x14ac:dyDescent="0.2">
      <c r="B826" s="79"/>
      <c r="C826" s="28"/>
      <c r="D826" s="29"/>
      <c r="E826" s="84"/>
      <c r="G826" s="79"/>
      <c r="H826" s="28"/>
      <c r="I826" s="29"/>
      <c r="J826" s="85"/>
    </row>
    <row r="827" spans="2:10" x14ac:dyDescent="0.2">
      <c r="B827" s="79"/>
      <c r="C827" s="28"/>
      <c r="D827" s="29"/>
      <c r="E827" s="85"/>
      <c r="G827" s="79"/>
      <c r="H827" s="28"/>
      <c r="I827" s="29"/>
      <c r="J827" s="85"/>
    </row>
    <row r="828" spans="2:10" x14ac:dyDescent="0.2">
      <c r="B828" s="79"/>
      <c r="C828" s="28"/>
      <c r="D828" s="29"/>
      <c r="E828" s="84"/>
      <c r="G828" s="79"/>
      <c r="H828" s="28"/>
      <c r="I828" s="29"/>
      <c r="J828" s="84"/>
    </row>
    <row r="829" spans="2:10" x14ac:dyDescent="0.2">
      <c r="B829" s="79"/>
      <c r="C829" s="28"/>
      <c r="D829" s="29"/>
      <c r="E829" s="85"/>
      <c r="G829" s="79"/>
      <c r="H829" s="28"/>
      <c r="I829" s="29"/>
      <c r="J829" s="85"/>
    </row>
    <row r="830" spans="2:10" x14ac:dyDescent="0.2">
      <c r="B830" s="79"/>
      <c r="C830" s="28"/>
      <c r="D830" s="29"/>
      <c r="E830" s="85"/>
      <c r="G830" s="79"/>
      <c r="H830" s="28"/>
      <c r="I830" s="29"/>
      <c r="J830" s="84"/>
    </row>
    <row r="831" spans="2:10" x14ac:dyDescent="0.2">
      <c r="B831" s="79"/>
      <c r="C831" s="28"/>
      <c r="D831" s="29"/>
      <c r="E831" s="84"/>
      <c r="G831" s="79"/>
      <c r="H831" s="28"/>
      <c r="I831" s="29"/>
      <c r="J831" s="85"/>
    </row>
    <row r="832" spans="2:10" x14ac:dyDescent="0.2">
      <c r="B832" s="79"/>
      <c r="C832" s="28"/>
      <c r="D832" s="29"/>
      <c r="E832" s="85"/>
      <c r="G832" s="79"/>
      <c r="H832" s="28"/>
      <c r="I832" s="29"/>
      <c r="J832" s="85"/>
    </row>
    <row r="833" spans="2:10" x14ac:dyDescent="0.2">
      <c r="B833" s="79"/>
      <c r="C833" s="28"/>
      <c r="D833" s="29"/>
      <c r="E833" s="84"/>
      <c r="G833" s="79"/>
      <c r="H833" s="28"/>
      <c r="I833" s="29"/>
      <c r="J833" s="84"/>
    </row>
    <row r="834" spans="2:10" x14ac:dyDescent="0.2">
      <c r="B834" s="79"/>
      <c r="C834" s="28"/>
      <c r="D834" s="29"/>
      <c r="E834" s="85"/>
      <c r="G834" s="79"/>
      <c r="H834" s="28"/>
      <c r="I834" s="29"/>
      <c r="J834" s="85"/>
    </row>
    <row r="835" spans="2:10" x14ac:dyDescent="0.2">
      <c r="B835" s="79"/>
      <c r="C835" s="28"/>
      <c r="D835" s="29"/>
      <c r="E835" s="85"/>
      <c r="G835" s="79"/>
      <c r="H835" s="28"/>
      <c r="I835" s="29"/>
      <c r="J835" s="84"/>
    </row>
    <row r="836" spans="2:10" x14ac:dyDescent="0.2">
      <c r="B836" s="79"/>
      <c r="C836" s="28"/>
      <c r="D836" s="29"/>
      <c r="E836" s="84"/>
      <c r="G836" s="79"/>
      <c r="H836" s="28"/>
      <c r="I836" s="29"/>
      <c r="J836" s="85"/>
    </row>
    <row r="837" spans="2:10" x14ac:dyDescent="0.2">
      <c r="B837" s="79"/>
      <c r="C837" s="28"/>
      <c r="D837" s="29"/>
      <c r="E837" s="85"/>
      <c r="G837" s="79"/>
      <c r="H837" s="28"/>
      <c r="I837" s="29"/>
      <c r="J837" s="85"/>
    </row>
    <row r="838" spans="2:10" x14ac:dyDescent="0.2">
      <c r="B838" s="79"/>
      <c r="C838" s="28"/>
      <c r="D838" s="29"/>
      <c r="E838" s="84"/>
      <c r="G838" s="79"/>
      <c r="H838" s="28"/>
      <c r="I838" s="29"/>
      <c r="J838" s="84"/>
    </row>
    <row r="839" spans="2:10" x14ac:dyDescent="0.2">
      <c r="B839" s="79"/>
      <c r="C839" s="28"/>
      <c r="D839" s="29"/>
      <c r="E839" s="85"/>
      <c r="G839" s="79"/>
      <c r="H839" s="28"/>
      <c r="I839" s="29"/>
      <c r="J839" s="85"/>
    </row>
    <row r="840" spans="2:10" x14ac:dyDescent="0.2">
      <c r="B840" s="79"/>
      <c r="C840" s="28"/>
      <c r="D840" s="29"/>
      <c r="E840" s="84"/>
      <c r="G840" s="79"/>
      <c r="H840" s="28"/>
      <c r="I840" s="29"/>
      <c r="J840" s="84"/>
    </row>
    <row r="841" spans="2:10" x14ac:dyDescent="0.2">
      <c r="B841" s="79"/>
      <c r="C841" s="28"/>
      <c r="D841" s="29"/>
      <c r="E841" s="85"/>
      <c r="G841" s="79"/>
      <c r="H841" s="28"/>
      <c r="I841" s="29"/>
      <c r="J841" s="85"/>
    </row>
    <row r="842" spans="2:10" x14ac:dyDescent="0.2">
      <c r="B842" s="79"/>
      <c r="C842" s="28"/>
      <c r="D842" s="29"/>
      <c r="E842" s="85"/>
      <c r="G842" s="79"/>
      <c r="H842" s="28"/>
      <c r="I842" s="29"/>
      <c r="J842" s="85"/>
    </row>
    <row r="843" spans="2:10" x14ac:dyDescent="0.2">
      <c r="B843" s="79"/>
      <c r="C843" s="28"/>
      <c r="D843" s="29"/>
      <c r="E843" s="84"/>
      <c r="G843" s="79"/>
      <c r="H843" s="28"/>
      <c r="I843" s="29"/>
      <c r="J843" s="84"/>
    </row>
    <row r="844" spans="2:10" x14ac:dyDescent="0.2">
      <c r="B844" s="79"/>
      <c r="C844" s="28"/>
      <c r="D844" s="29"/>
      <c r="E844" s="85"/>
      <c r="G844" s="79"/>
      <c r="H844" s="28"/>
      <c r="I844" s="29"/>
      <c r="J844" s="85"/>
    </row>
    <row r="845" spans="2:10" x14ac:dyDescent="0.2">
      <c r="B845" s="79"/>
      <c r="C845" s="28"/>
      <c r="D845" s="29"/>
      <c r="E845" s="84"/>
      <c r="G845" s="79"/>
      <c r="H845" s="28"/>
      <c r="I845" s="29"/>
      <c r="J845" s="84"/>
    </row>
    <row r="846" spans="2:10" x14ac:dyDescent="0.2">
      <c r="B846" s="79"/>
      <c r="C846" s="28"/>
      <c r="D846" s="29"/>
      <c r="E846" s="85"/>
      <c r="G846" s="79"/>
      <c r="H846" s="28"/>
      <c r="I846" s="29"/>
      <c r="J846" s="85"/>
    </row>
    <row r="847" spans="2:10" x14ac:dyDescent="0.2">
      <c r="B847" s="79"/>
      <c r="C847" s="28"/>
      <c r="D847" s="29"/>
      <c r="E847" s="85"/>
      <c r="G847" s="79"/>
      <c r="H847" s="28"/>
      <c r="I847" s="29"/>
      <c r="J847" s="85"/>
    </row>
    <row r="848" spans="2:10" x14ac:dyDescent="0.2">
      <c r="B848" s="79"/>
      <c r="C848" s="28"/>
      <c r="D848" s="29"/>
      <c r="E848" s="84"/>
      <c r="G848" s="79"/>
      <c r="H848" s="28"/>
      <c r="I848" s="29"/>
      <c r="J848" s="84"/>
    </row>
    <row r="849" spans="2:10" x14ac:dyDescent="0.2">
      <c r="B849" s="79"/>
      <c r="C849" s="28"/>
      <c r="D849" s="29"/>
      <c r="E849" s="85"/>
      <c r="G849" s="79"/>
      <c r="H849" s="28"/>
      <c r="I849" s="29"/>
      <c r="J849" s="85"/>
    </row>
    <row r="850" spans="2:10" x14ac:dyDescent="0.2">
      <c r="B850" s="79"/>
      <c r="C850" s="28"/>
      <c r="D850" s="29"/>
      <c r="E850" s="84"/>
      <c r="G850" s="79"/>
      <c r="H850" s="28"/>
      <c r="I850" s="29"/>
      <c r="J850" s="84"/>
    </row>
    <row r="851" spans="2:10" x14ac:dyDescent="0.2">
      <c r="B851" s="79"/>
      <c r="C851" s="28"/>
      <c r="D851" s="29"/>
      <c r="E851" s="85"/>
      <c r="G851" s="79"/>
      <c r="H851" s="28"/>
      <c r="I851" s="29"/>
      <c r="J851" s="85"/>
    </row>
    <row r="852" spans="2:10" x14ac:dyDescent="0.2">
      <c r="B852" s="79"/>
      <c r="C852" s="28"/>
      <c r="D852" s="29"/>
      <c r="E852" s="84"/>
      <c r="G852" s="79"/>
      <c r="H852" s="28"/>
      <c r="I852" s="29"/>
      <c r="J852" s="85"/>
    </row>
    <row r="853" spans="2:10" x14ac:dyDescent="0.2">
      <c r="B853" s="79"/>
      <c r="C853" s="28"/>
      <c r="D853" s="29"/>
      <c r="E853" s="85"/>
      <c r="G853" s="79"/>
      <c r="H853" s="28"/>
      <c r="I853" s="29"/>
      <c r="J853" s="84"/>
    </row>
    <row r="854" spans="2:10" x14ac:dyDescent="0.2">
      <c r="B854" s="79"/>
      <c r="C854" s="28"/>
      <c r="D854" s="29"/>
      <c r="E854" s="85"/>
      <c r="G854" s="79"/>
      <c r="H854" s="28"/>
      <c r="I854" s="29"/>
      <c r="J854" s="85"/>
    </row>
    <row r="855" spans="2:10" x14ac:dyDescent="0.2">
      <c r="B855" s="79"/>
      <c r="C855" s="28"/>
      <c r="D855" s="29"/>
      <c r="E855" s="84"/>
      <c r="G855" s="79"/>
      <c r="H855" s="28"/>
      <c r="I855" s="29"/>
      <c r="J855" s="84"/>
    </row>
    <row r="856" spans="2:10" x14ac:dyDescent="0.2">
      <c r="B856" s="79"/>
      <c r="C856" s="28"/>
      <c r="D856" s="29"/>
      <c r="E856" s="85"/>
      <c r="G856" s="79"/>
      <c r="H856" s="28"/>
      <c r="I856" s="29"/>
      <c r="J856" s="85"/>
    </row>
    <row r="857" spans="2:10" x14ac:dyDescent="0.2">
      <c r="B857" s="79"/>
      <c r="C857" s="28"/>
      <c r="D857" s="29"/>
      <c r="E857" s="84"/>
      <c r="G857" s="79"/>
      <c r="H857" s="28"/>
      <c r="I857" s="29"/>
      <c r="J857" s="85"/>
    </row>
    <row r="858" spans="2:10" x14ac:dyDescent="0.2">
      <c r="B858" s="79"/>
      <c r="C858" s="28"/>
      <c r="D858" s="29"/>
      <c r="E858" s="85"/>
      <c r="G858" s="79"/>
      <c r="H858" s="28"/>
      <c r="I858" s="29"/>
      <c r="J858" s="84"/>
    </row>
    <row r="859" spans="2:10" x14ac:dyDescent="0.2">
      <c r="B859" s="79"/>
      <c r="C859" s="28"/>
      <c r="D859" s="29"/>
      <c r="E859" s="85"/>
      <c r="G859" s="79"/>
      <c r="H859" s="28"/>
      <c r="I859" s="29"/>
      <c r="J859" s="85"/>
    </row>
    <row r="860" spans="2:10" x14ac:dyDescent="0.2">
      <c r="B860" s="79"/>
      <c r="C860" s="28"/>
      <c r="D860" s="29"/>
      <c r="E860" s="84"/>
      <c r="G860" s="79"/>
      <c r="H860" s="28"/>
      <c r="I860" s="29"/>
      <c r="J860" s="84"/>
    </row>
    <row r="861" spans="2:10" x14ac:dyDescent="0.2">
      <c r="B861" s="79"/>
      <c r="C861" s="28"/>
      <c r="D861" s="29"/>
      <c r="E861" s="85"/>
      <c r="G861" s="79"/>
      <c r="H861" s="28"/>
      <c r="I861" s="29"/>
      <c r="J861" s="85"/>
    </row>
    <row r="862" spans="2:10" x14ac:dyDescent="0.2">
      <c r="B862" s="79"/>
      <c r="C862" s="28"/>
      <c r="D862" s="29"/>
      <c r="E862" s="84"/>
      <c r="G862" s="79"/>
      <c r="H862" s="28"/>
      <c r="I862" s="29"/>
      <c r="J862" s="85"/>
    </row>
    <row r="863" spans="2:10" x14ac:dyDescent="0.2">
      <c r="B863" s="79"/>
      <c r="C863" s="28"/>
      <c r="D863" s="29"/>
      <c r="E863" s="85"/>
      <c r="G863" s="79"/>
      <c r="H863" s="28"/>
      <c r="I863" s="29"/>
      <c r="J863" s="84"/>
    </row>
    <row r="864" spans="2:10" x14ac:dyDescent="0.2">
      <c r="B864" s="79"/>
      <c r="C864" s="28"/>
      <c r="D864" s="29"/>
      <c r="E864" s="84"/>
      <c r="G864" s="79"/>
      <c r="H864" s="28"/>
      <c r="I864" s="29"/>
      <c r="J864" s="85"/>
    </row>
    <row r="865" spans="2:10" x14ac:dyDescent="0.2">
      <c r="B865" s="79"/>
      <c r="C865" s="28"/>
      <c r="D865" s="29"/>
      <c r="E865" s="85"/>
      <c r="G865" s="79"/>
      <c r="H865" s="28"/>
      <c r="I865" s="29"/>
      <c r="J865" s="84"/>
    </row>
    <row r="866" spans="2:10" x14ac:dyDescent="0.2">
      <c r="B866" s="79"/>
      <c r="C866" s="28"/>
      <c r="D866" s="29"/>
      <c r="E866" s="85"/>
      <c r="G866" s="79"/>
      <c r="H866" s="28"/>
      <c r="I866" s="29"/>
      <c r="J866" s="85"/>
    </row>
    <row r="867" spans="2:10" x14ac:dyDescent="0.2">
      <c r="B867" s="79"/>
      <c r="C867" s="28"/>
      <c r="D867" s="29"/>
      <c r="E867" s="84"/>
      <c r="G867" s="79"/>
      <c r="H867" s="28"/>
      <c r="I867" s="29"/>
      <c r="J867" s="85"/>
    </row>
    <row r="868" spans="2:10" x14ac:dyDescent="0.2">
      <c r="B868" s="79"/>
      <c r="C868" s="28"/>
      <c r="D868" s="29"/>
      <c r="E868" s="85"/>
      <c r="G868" s="79"/>
      <c r="H868" s="28"/>
      <c r="I868" s="29"/>
      <c r="J868" s="84"/>
    </row>
    <row r="869" spans="2:10" x14ac:dyDescent="0.2">
      <c r="B869" s="79"/>
      <c r="C869" s="28"/>
      <c r="D869" s="29"/>
      <c r="E869" s="84"/>
      <c r="G869" s="79"/>
      <c r="H869" s="28"/>
      <c r="I869" s="29"/>
      <c r="J869" s="85"/>
    </row>
    <row r="870" spans="2:10" x14ac:dyDescent="0.2">
      <c r="B870" s="79"/>
      <c r="C870" s="28"/>
      <c r="D870" s="29"/>
      <c r="E870" s="85"/>
      <c r="G870" s="79"/>
      <c r="H870" s="28"/>
      <c r="I870" s="29"/>
      <c r="J870" s="84"/>
    </row>
    <row r="871" spans="2:10" x14ac:dyDescent="0.2">
      <c r="B871" s="79"/>
      <c r="C871" s="28"/>
      <c r="D871" s="29"/>
      <c r="E871" s="85"/>
      <c r="G871" s="79"/>
      <c r="H871" s="28"/>
      <c r="I871" s="29"/>
      <c r="J871" s="85"/>
    </row>
    <row r="872" spans="2:10" x14ac:dyDescent="0.2">
      <c r="B872" s="79"/>
      <c r="C872" s="28"/>
      <c r="D872" s="29"/>
      <c r="E872" s="84"/>
      <c r="G872" s="79"/>
      <c r="H872" s="28"/>
      <c r="I872" s="29"/>
      <c r="J872" s="85"/>
    </row>
    <row r="873" spans="2:10" x14ac:dyDescent="0.2">
      <c r="B873" s="79"/>
      <c r="C873" s="28"/>
      <c r="D873" s="29"/>
      <c r="E873" s="85"/>
      <c r="G873" s="79"/>
      <c r="H873" s="28"/>
      <c r="I873" s="29"/>
      <c r="J873" s="84"/>
    </row>
    <row r="874" spans="2:10" x14ac:dyDescent="0.2">
      <c r="B874" s="79"/>
      <c r="C874" s="28"/>
      <c r="D874" s="29"/>
      <c r="E874" s="84"/>
      <c r="G874" s="79"/>
      <c r="H874" s="28"/>
      <c r="I874" s="29"/>
      <c r="J874" s="85"/>
    </row>
    <row r="875" spans="2:10" x14ac:dyDescent="0.2">
      <c r="B875" s="79"/>
      <c r="C875" s="28"/>
      <c r="D875" s="29"/>
      <c r="E875" s="85"/>
      <c r="G875" s="79"/>
      <c r="H875" s="28"/>
      <c r="I875" s="29"/>
      <c r="J875" s="84"/>
    </row>
    <row r="876" spans="2:10" x14ac:dyDescent="0.2">
      <c r="B876" s="79"/>
      <c r="C876" s="28"/>
      <c r="D876" s="29"/>
      <c r="E876" s="84"/>
      <c r="G876" s="79"/>
      <c r="H876" s="28"/>
      <c r="I876" s="29"/>
      <c r="J876" s="85"/>
    </row>
    <row r="877" spans="2:10" x14ac:dyDescent="0.2">
      <c r="B877" s="79"/>
      <c r="C877" s="28"/>
      <c r="D877" s="29"/>
      <c r="E877" s="85"/>
      <c r="G877" s="79"/>
      <c r="H877" s="28"/>
      <c r="I877" s="29"/>
      <c r="J877" s="85"/>
    </row>
    <row r="878" spans="2:10" x14ac:dyDescent="0.2">
      <c r="B878" s="79"/>
      <c r="C878" s="28"/>
      <c r="D878" s="29"/>
      <c r="E878" s="85"/>
      <c r="G878" s="79"/>
      <c r="H878" s="28"/>
      <c r="I878" s="29"/>
      <c r="J878" s="84"/>
    </row>
    <row r="879" spans="2:10" x14ac:dyDescent="0.2">
      <c r="B879" s="79"/>
      <c r="C879" s="28"/>
      <c r="D879" s="29"/>
      <c r="E879" s="84"/>
      <c r="G879" s="79"/>
      <c r="H879" s="28"/>
      <c r="I879" s="29"/>
      <c r="J879" s="85"/>
    </row>
    <row r="880" spans="2:10" x14ac:dyDescent="0.2">
      <c r="B880" s="79"/>
      <c r="C880" s="28"/>
      <c r="D880" s="29"/>
      <c r="E880" s="85"/>
      <c r="G880" s="79"/>
      <c r="H880" s="28"/>
      <c r="I880" s="29"/>
      <c r="J880" s="84"/>
    </row>
    <row r="881" spans="2:10" x14ac:dyDescent="0.2">
      <c r="B881" s="79"/>
      <c r="C881" s="28"/>
      <c r="D881" s="29"/>
      <c r="E881" s="84"/>
      <c r="G881" s="79"/>
      <c r="H881" s="28"/>
      <c r="I881" s="29"/>
      <c r="J881" s="85"/>
    </row>
    <row r="882" spans="2:10" x14ac:dyDescent="0.2">
      <c r="B882" s="79"/>
      <c r="C882" s="28"/>
      <c r="D882" s="29"/>
      <c r="E882" s="85"/>
      <c r="G882" s="79"/>
      <c r="H882" s="28"/>
      <c r="I882" s="29"/>
      <c r="J882" s="85"/>
    </row>
    <row r="883" spans="2:10" x14ac:dyDescent="0.2">
      <c r="B883" s="79"/>
      <c r="C883" s="28"/>
      <c r="D883" s="29"/>
      <c r="E883" s="85"/>
      <c r="G883" s="79"/>
      <c r="H883" s="28"/>
      <c r="I883" s="29"/>
      <c r="J883" s="84"/>
    </row>
    <row r="884" spans="2:10" x14ac:dyDescent="0.2">
      <c r="B884" s="79"/>
      <c r="C884" s="28"/>
      <c r="D884" s="29"/>
      <c r="E884" s="84"/>
      <c r="G884" s="79"/>
      <c r="H884" s="28"/>
      <c r="I884" s="29"/>
      <c r="J884" s="85"/>
    </row>
    <row r="885" spans="2:10" x14ac:dyDescent="0.2">
      <c r="B885" s="79"/>
      <c r="C885" s="28"/>
      <c r="D885" s="29"/>
      <c r="E885" s="85"/>
      <c r="G885" s="79"/>
      <c r="H885" s="28"/>
      <c r="I885" s="29"/>
      <c r="J885" s="84"/>
    </row>
    <row r="886" spans="2:10" x14ac:dyDescent="0.2">
      <c r="B886" s="79"/>
      <c r="C886" s="28"/>
      <c r="D886" s="29"/>
      <c r="E886" s="84"/>
      <c r="G886" s="79"/>
      <c r="H886" s="28"/>
      <c r="I886" s="29"/>
      <c r="J886" s="85"/>
    </row>
    <row r="887" spans="2:10" x14ac:dyDescent="0.2">
      <c r="B887" s="79"/>
      <c r="C887" s="28"/>
      <c r="D887" s="29"/>
      <c r="E887" s="85"/>
      <c r="G887" s="79"/>
      <c r="H887" s="28"/>
      <c r="I887" s="29"/>
      <c r="J887" s="85"/>
    </row>
    <row r="888" spans="2:10" x14ac:dyDescent="0.2">
      <c r="B888" s="79"/>
      <c r="C888" s="28"/>
      <c r="D888" s="29"/>
      <c r="E888" s="84"/>
      <c r="G888" s="79"/>
      <c r="H888" s="28"/>
      <c r="I888" s="29"/>
      <c r="J888" s="84"/>
    </row>
    <row r="889" spans="2:10" x14ac:dyDescent="0.2">
      <c r="B889" s="79"/>
      <c r="C889" s="28"/>
      <c r="D889" s="29"/>
      <c r="E889" s="85"/>
      <c r="G889" s="79"/>
      <c r="H889" s="28"/>
      <c r="I889" s="29"/>
      <c r="J889" s="85"/>
    </row>
    <row r="890" spans="2:10" x14ac:dyDescent="0.2">
      <c r="B890" s="79"/>
      <c r="C890" s="28"/>
      <c r="D890" s="29"/>
      <c r="E890" s="85"/>
      <c r="G890" s="79"/>
      <c r="H890" s="28"/>
      <c r="I890" s="29"/>
      <c r="J890" s="84"/>
    </row>
    <row r="891" spans="2:10" x14ac:dyDescent="0.2">
      <c r="B891" s="79"/>
      <c r="C891" s="28"/>
      <c r="D891" s="29"/>
      <c r="E891" s="84"/>
      <c r="G891" s="79"/>
      <c r="H891" s="28"/>
      <c r="I891" s="29"/>
      <c r="J891" s="85"/>
    </row>
    <row r="892" spans="2:10" x14ac:dyDescent="0.2">
      <c r="B892" s="79"/>
      <c r="C892" s="28"/>
      <c r="D892" s="29"/>
      <c r="E892" s="85"/>
      <c r="G892" s="79"/>
      <c r="H892" s="28"/>
      <c r="I892" s="29"/>
      <c r="J892" s="85"/>
    </row>
    <row r="893" spans="2:10" x14ac:dyDescent="0.2">
      <c r="B893" s="79"/>
      <c r="C893" s="28"/>
      <c r="D893" s="29"/>
      <c r="E893" s="84"/>
      <c r="G893" s="79"/>
      <c r="H893" s="28"/>
      <c r="I893" s="29"/>
      <c r="J893" s="84"/>
    </row>
    <row r="894" spans="2:10" x14ac:dyDescent="0.2">
      <c r="B894" s="79"/>
      <c r="C894" s="28"/>
      <c r="D894" s="29"/>
      <c r="E894" s="85"/>
      <c r="G894" s="79"/>
      <c r="H894" s="28"/>
      <c r="I894" s="29"/>
      <c r="J894" s="85"/>
    </row>
    <row r="895" spans="2:10" x14ac:dyDescent="0.2">
      <c r="B895" s="79"/>
      <c r="C895" s="28"/>
      <c r="D895" s="29"/>
      <c r="E895" s="85"/>
      <c r="G895" s="79"/>
      <c r="H895" s="28"/>
      <c r="I895" s="29"/>
      <c r="J895" s="84"/>
    </row>
    <row r="896" spans="2:10" x14ac:dyDescent="0.2">
      <c r="B896" s="79"/>
      <c r="C896" s="28"/>
      <c r="D896" s="29"/>
      <c r="E896" s="84"/>
      <c r="G896" s="79"/>
      <c r="H896" s="28"/>
      <c r="I896" s="29"/>
      <c r="J896" s="85"/>
    </row>
    <row r="897" spans="2:10" x14ac:dyDescent="0.2">
      <c r="B897" s="79"/>
      <c r="C897" s="28"/>
      <c r="D897" s="29"/>
      <c r="E897" s="85"/>
      <c r="G897" s="79"/>
      <c r="H897" s="28"/>
      <c r="I897" s="29"/>
      <c r="J897" s="85"/>
    </row>
    <row r="898" spans="2:10" x14ac:dyDescent="0.2">
      <c r="B898" s="79"/>
      <c r="C898" s="28"/>
      <c r="D898" s="29"/>
      <c r="E898" s="84"/>
      <c r="G898" s="79"/>
      <c r="H898" s="28"/>
      <c r="I898" s="29"/>
      <c r="J898" s="84"/>
    </row>
    <row r="899" spans="2:10" x14ac:dyDescent="0.2">
      <c r="B899" s="79"/>
      <c r="C899" s="28"/>
      <c r="D899" s="29"/>
      <c r="E899" s="85"/>
      <c r="G899" s="79"/>
      <c r="H899" s="28"/>
      <c r="I899" s="29"/>
      <c r="J899" s="85"/>
    </row>
    <row r="900" spans="2:10" x14ac:dyDescent="0.2">
      <c r="B900" s="79"/>
      <c r="C900" s="28"/>
      <c r="D900" s="29"/>
      <c r="E900" s="84"/>
      <c r="G900" s="79"/>
      <c r="H900" s="28"/>
      <c r="I900" s="29"/>
      <c r="J900" s="84"/>
    </row>
    <row r="901" spans="2:10" x14ac:dyDescent="0.2">
      <c r="B901" s="79"/>
      <c r="C901" s="28"/>
      <c r="D901" s="29"/>
      <c r="E901" s="85"/>
      <c r="G901" s="79"/>
      <c r="H901" s="28"/>
      <c r="I901" s="29"/>
      <c r="J901" s="85"/>
    </row>
    <row r="902" spans="2:10" x14ac:dyDescent="0.2">
      <c r="B902" s="79"/>
      <c r="C902" s="28"/>
      <c r="D902" s="29"/>
      <c r="E902" s="85"/>
      <c r="G902" s="79"/>
      <c r="H902" s="28"/>
      <c r="I902" s="29"/>
      <c r="J902" s="85"/>
    </row>
    <row r="903" spans="2:10" x14ac:dyDescent="0.2">
      <c r="B903" s="79"/>
      <c r="C903" s="28"/>
      <c r="D903" s="29"/>
      <c r="E903" s="84"/>
      <c r="G903" s="79"/>
      <c r="H903" s="28"/>
      <c r="I903" s="29"/>
      <c r="J903" s="84"/>
    </row>
    <row r="904" spans="2:10" x14ac:dyDescent="0.2">
      <c r="B904" s="79"/>
      <c r="C904" s="28"/>
      <c r="D904" s="29"/>
      <c r="E904" s="85"/>
      <c r="G904" s="79"/>
      <c r="H904" s="28"/>
      <c r="I904" s="29"/>
      <c r="J904" s="85"/>
    </row>
    <row r="905" spans="2:10" x14ac:dyDescent="0.2">
      <c r="B905" s="79"/>
      <c r="C905" s="28"/>
      <c r="D905" s="29"/>
      <c r="E905" s="84"/>
      <c r="G905" s="79"/>
      <c r="H905" s="28"/>
      <c r="I905" s="29"/>
      <c r="J905" s="84"/>
    </row>
    <row r="906" spans="2:10" x14ac:dyDescent="0.2">
      <c r="B906" s="79"/>
      <c r="C906" s="28"/>
      <c r="D906" s="29"/>
      <c r="E906" s="85"/>
      <c r="G906" s="79"/>
      <c r="H906" s="28"/>
      <c r="I906" s="29"/>
      <c r="J906" s="85"/>
    </row>
    <row r="907" spans="2:10" x14ac:dyDescent="0.2">
      <c r="B907" s="79"/>
      <c r="C907" s="28"/>
      <c r="D907" s="29"/>
      <c r="E907" s="85"/>
      <c r="G907" s="79"/>
      <c r="H907" s="28"/>
      <c r="I907" s="29"/>
      <c r="J907" s="85"/>
    </row>
    <row r="908" spans="2:10" x14ac:dyDescent="0.2">
      <c r="B908" s="79"/>
      <c r="C908" s="28"/>
      <c r="D908" s="29"/>
      <c r="E908" s="84"/>
      <c r="G908" s="79"/>
      <c r="H908" s="28"/>
      <c r="I908" s="29"/>
      <c r="J908" s="84"/>
    </row>
    <row r="909" spans="2:10" x14ac:dyDescent="0.2">
      <c r="B909" s="79"/>
      <c r="C909" s="28"/>
      <c r="D909" s="29"/>
      <c r="E909" s="85"/>
      <c r="G909" s="79"/>
      <c r="H909" s="28"/>
      <c r="I909" s="29"/>
      <c r="J909" s="85"/>
    </row>
    <row r="910" spans="2:10" x14ac:dyDescent="0.2">
      <c r="B910" s="79"/>
      <c r="C910" s="28"/>
      <c r="D910" s="29"/>
      <c r="E910" s="84"/>
      <c r="G910" s="79"/>
      <c r="H910" s="28"/>
      <c r="I910" s="29"/>
      <c r="J910" s="84"/>
    </row>
    <row r="911" spans="2:10" x14ac:dyDescent="0.2">
      <c r="B911" s="79"/>
      <c r="C911" s="28"/>
      <c r="D911" s="29"/>
      <c r="E911" s="85"/>
      <c r="G911" s="79"/>
      <c r="H911" s="28"/>
      <c r="I911" s="29"/>
      <c r="J911" s="85"/>
    </row>
    <row r="912" spans="2:10" x14ac:dyDescent="0.2">
      <c r="B912" s="79"/>
      <c r="C912" s="28"/>
      <c r="D912" s="29"/>
      <c r="E912" s="84"/>
      <c r="G912" s="79"/>
      <c r="H912" s="28"/>
      <c r="I912" s="29"/>
      <c r="J912" s="85"/>
    </row>
    <row r="913" spans="2:10" x14ac:dyDescent="0.2">
      <c r="B913" s="79"/>
      <c r="C913" s="28"/>
      <c r="D913" s="29"/>
      <c r="E913" s="85"/>
      <c r="G913" s="79"/>
      <c r="H913" s="28"/>
      <c r="I913" s="29"/>
      <c r="J913" s="84"/>
    </row>
    <row r="914" spans="2:10" x14ac:dyDescent="0.2">
      <c r="B914" s="79"/>
      <c r="C914" s="28"/>
      <c r="D914" s="29"/>
      <c r="E914" s="85"/>
      <c r="G914" s="79"/>
      <c r="H914" s="28"/>
      <c r="I914" s="29"/>
      <c r="J914" s="85"/>
    </row>
    <row r="915" spans="2:10" x14ac:dyDescent="0.2">
      <c r="B915" s="79"/>
      <c r="C915" s="28"/>
      <c r="D915" s="29"/>
      <c r="E915" s="84"/>
      <c r="G915" s="79"/>
      <c r="H915" s="28"/>
      <c r="I915" s="29"/>
      <c r="J915" s="84"/>
    </row>
    <row r="916" spans="2:10" x14ac:dyDescent="0.2">
      <c r="B916" s="79"/>
      <c r="C916" s="28"/>
      <c r="D916" s="29"/>
      <c r="E916" s="85"/>
      <c r="G916" s="79"/>
      <c r="H916" s="28"/>
      <c r="I916" s="29"/>
      <c r="J916" s="85"/>
    </row>
    <row r="917" spans="2:10" x14ac:dyDescent="0.2">
      <c r="B917" s="79"/>
      <c r="C917" s="28"/>
      <c r="D917" s="29"/>
      <c r="E917" s="84"/>
      <c r="G917" s="79"/>
      <c r="H917" s="28"/>
      <c r="I917" s="29"/>
      <c r="J917" s="85"/>
    </row>
    <row r="918" spans="2:10" x14ac:dyDescent="0.2">
      <c r="B918" s="79"/>
      <c r="C918" s="28"/>
      <c r="D918" s="29"/>
      <c r="E918" s="85"/>
      <c r="G918" s="79"/>
      <c r="H918" s="28"/>
      <c r="I918" s="29"/>
      <c r="J918" s="84"/>
    </row>
    <row r="919" spans="2:10" x14ac:dyDescent="0.2">
      <c r="B919" s="79"/>
      <c r="C919" s="28"/>
      <c r="D919" s="29"/>
      <c r="E919" s="85"/>
      <c r="G919" s="79"/>
      <c r="H919" s="28"/>
      <c r="I919" s="29"/>
      <c r="J919" s="85"/>
    </row>
    <row r="920" spans="2:10" x14ac:dyDescent="0.2">
      <c r="B920" s="79"/>
      <c r="C920" s="28"/>
      <c r="D920" s="29"/>
      <c r="E920" s="84"/>
      <c r="G920" s="79"/>
      <c r="H920" s="28"/>
      <c r="I920" s="29"/>
      <c r="J920" s="84"/>
    </row>
    <row r="921" spans="2:10" x14ac:dyDescent="0.2">
      <c r="B921" s="79"/>
      <c r="C921" s="28"/>
      <c r="D921" s="29"/>
      <c r="E921" s="85"/>
      <c r="G921" s="79"/>
      <c r="H921" s="28"/>
      <c r="I921" s="29"/>
      <c r="J921" s="85"/>
    </row>
    <row r="922" spans="2:10" x14ac:dyDescent="0.2">
      <c r="B922" s="79"/>
      <c r="C922" s="28"/>
      <c r="D922" s="29"/>
      <c r="E922" s="84"/>
      <c r="G922" s="79"/>
      <c r="H922" s="28"/>
      <c r="I922" s="29"/>
      <c r="J922" s="85"/>
    </row>
    <row r="923" spans="2:10" x14ac:dyDescent="0.2">
      <c r="B923" s="79"/>
      <c r="C923" s="28"/>
      <c r="D923" s="29"/>
      <c r="E923" s="85"/>
      <c r="G923" s="79"/>
      <c r="H923" s="28"/>
      <c r="I923" s="29"/>
      <c r="J923" s="84"/>
    </row>
    <row r="924" spans="2:10" x14ac:dyDescent="0.2">
      <c r="B924" s="79"/>
      <c r="C924" s="28"/>
      <c r="D924" s="29"/>
      <c r="E924" s="84"/>
      <c r="G924" s="79"/>
      <c r="H924" s="28"/>
      <c r="I924" s="29"/>
      <c r="J924" s="85"/>
    </row>
    <row r="925" spans="2:10" x14ac:dyDescent="0.2">
      <c r="B925" s="79"/>
      <c r="C925" s="28"/>
      <c r="D925" s="29"/>
      <c r="E925" s="85"/>
      <c r="G925" s="79"/>
      <c r="H925" s="28"/>
      <c r="I925" s="29"/>
      <c r="J925" s="84"/>
    </row>
    <row r="926" spans="2:10" x14ac:dyDescent="0.2">
      <c r="B926" s="79"/>
      <c r="C926" s="28"/>
      <c r="D926" s="29"/>
      <c r="E926" s="85"/>
      <c r="G926" s="79"/>
      <c r="H926" s="28"/>
      <c r="I926" s="29"/>
      <c r="J926" s="85"/>
    </row>
    <row r="927" spans="2:10" x14ac:dyDescent="0.2">
      <c r="B927" s="79"/>
      <c r="C927" s="28"/>
      <c r="D927" s="29"/>
      <c r="E927" s="84"/>
      <c r="G927" s="79"/>
      <c r="H927" s="28"/>
      <c r="I927" s="29"/>
      <c r="J927" s="85"/>
    </row>
    <row r="928" spans="2:10" x14ac:dyDescent="0.2">
      <c r="B928" s="79"/>
      <c r="C928" s="28"/>
      <c r="D928" s="29"/>
      <c r="E928" s="85"/>
      <c r="G928" s="79"/>
      <c r="H928" s="28"/>
      <c r="I928" s="29"/>
      <c r="J928" s="84"/>
    </row>
    <row r="929" spans="2:10" x14ac:dyDescent="0.2">
      <c r="B929" s="79"/>
      <c r="C929" s="28"/>
      <c r="D929" s="29"/>
      <c r="E929" s="84"/>
      <c r="G929" s="79"/>
      <c r="H929" s="28"/>
      <c r="I929" s="29"/>
      <c r="J929" s="85"/>
    </row>
    <row r="930" spans="2:10" x14ac:dyDescent="0.2">
      <c r="B930" s="79"/>
      <c r="C930" s="28"/>
      <c r="D930" s="29"/>
      <c r="E930" s="85"/>
      <c r="G930" s="79"/>
      <c r="H930" s="28"/>
      <c r="I930" s="29"/>
      <c r="J930" s="84"/>
    </row>
    <row r="931" spans="2:10" x14ac:dyDescent="0.2">
      <c r="B931" s="79"/>
      <c r="C931" s="28"/>
      <c r="D931" s="29"/>
      <c r="E931" s="85"/>
      <c r="G931" s="79"/>
      <c r="H931" s="28"/>
      <c r="I931" s="29"/>
      <c r="J931" s="85"/>
    </row>
    <row r="932" spans="2:10" x14ac:dyDescent="0.2">
      <c r="B932" s="79"/>
      <c r="C932" s="28"/>
      <c r="D932" s="29"/>
      <c r="E932" s="84"/>
      <c r="G932" s="79"/>
      <c r="H932" s="28"/>
      <c r="I932" s="29"/>
      <c r="J932" s="85"/>
    </row>
    <row r="933" spans="2:10" x14ac:dyDescent="0.2">
      <c r="B933" s="79"/>
      <c r="C933" s="28"/>
      <c r="D933" s="29"/>
      <c r="E933" s="85"/>
      <c r="G933" s="79"/>
      <c r="H933" s="28"/>
      <c r="I933" s="29"/>
      <c r="J933" s="84"/>
    </row>
    <row r="934" spans="2:10" x14ac:dyDescent="0.2">
      <c r="B934" s="79"/>
      <c r="C934" s="28"/>
      <c r="D934" s="29"/>
      <c r="E934" s="84"/>
      <c r="G934" s="79"/>
      <c r="H934" s="28"/>
      <c r="I934" s="29"/>
      <c r="J934" s="85"/>
    </row>
    <row r="935" spans="2:10" x14ac:dyDescent="0.2">
      <c r="B935" s="79"/>
      <c r="C935" s="28"/>
      <c r="D935" s="29"/>
      <c r="E935" s="85"/>
      <c r="G935" s="79"/>
      <c r="H935" s="28"/>
      <c r="I935" s="29"/>
      <c r="J935" s="84"/>
    </row>
    <row r="936" spans="2:10" x14ac:dyDescent="0.2">
      <c r="B936" s="79"/>
      <c r="C936" s="28"/>
      <c r="D936" s="29"/>
      <c r="E936" s="84"/>
      <c r="G936" s="79"/>
      <c r="H936" s="28"/>
      <c r="I936" s="29"/>
      <c r="J936" s="85"/>
    </row>
    <row r="937" spans="2:10" x14ac:dyDescent="0.2">
      <c r="B937" s="79"/>
      <c r="C937" s="28"/>
      <c r="D937" s="29"/>
      <c r="E937" s="85"/>
      <c r="G937" s="79"/>
      <c r="H937" s="28"/>
      <c r="I937" s="29"/>
      <c r="J937" s="85"/>
    </row>
    <row r="938" spans="2:10" x14ac:dyDescent="0.2">
      <c r="B938" s="79"/>
      <c r="C938" s="28"/>
      <c r="D938" s="29"/>
      <c r="E938" s="85"/>
      <c r="G938" s="79"/>
      <c r="H938" s="28"/>
      <c r="I938" s="29"/>
      <c r="J938" s="84"/>
    </row>
    <row r="939" spans="2:10" x14ac:dyDescent="0.2">
      <c r="B939" s="79"/>
      <c r="C939" s="28"/>
      <c r="D939" s="29"/>
      <c r="E939" s="84"/>
      <c r="G939" s="79"/>
      <c r="H939" s="28"/>
      <c r="I939" s="29"/>
      <c r="J939" s="85"/>
    </row>
    <row r="940" spans="2:10" x14ac:dyDescent="0.2">
      <c r="B940" s="79"/>
      <c r="C940" s="28"/>
      <c r="D940" s="29"/>
      <c r="E940" s="85"/>
      <c r="G940" s="79"/>
      <c r="H940" s="28"/>
      <c r="I940" s="29"/>
      <c r="J940" s="84"/>
    </row>
    <row r="941" spans="2:10" x14ac:dyDescent="0.2">
      <c r="B941" s="79"/>
      <c r="C941" s="28"/>
      <c r="D941" s="29"/>
      <c r="E941" s="84"/>
      <c r="G941" s="79"/>
      <c r="H941" s="28"/>
      <c r="I941" s="29"/>
      <c r="J941" s="85"/>
    </row>
    <row r="942" spans="2:10" x14ac:dyDescent="0.2">
      <c r="B942" s="79"/>
      <c r="C942" s="28"/>
      <c r="D942" s="29"/>
      <c r="E942" s="85"/>
      <c r="G942" s="79"/>
      <c r="H942" s="28"/>
      <c r="I942" s="29"/>
      <c r="J942" s="85"/>
    </row>
    <row r="943" spans="2:10" x14ac:dyDescent="0.2">
      <c r="B943" s="79"/>
      <c r="C943" s="28"/>
      <c r="D943" s="29"/>
      <c r="E943" s="85"/>
      <c r="G943" s="79"/>
      <c r="H943" s="28"/>
      <c r="I943" s="29"/>
      <c r="J943" s="84"/>
    </row>
    <row r="944" spans="2:10" x14ac:dyDescent="0.2">
      <c r="B944" s="79"/>
      <c r="C944" s="28"/>
      <c r="D944" s="29"/>
      <c r="E944" s="84"/>
      <c r="G944" s="79"/>
      <c r="H944" s="28"/>
      <c r="I944" s="29"/>
      <c r="J944" s="85"/>
    </row>
    <row r="945" spans="2:10" x14ac:dyDescent="0.2">
      <c r="B945" s="79"/>
      <c r="C945" s="28"/>
      <c r="D945" s="29"/>
      <c r="E945" s="85"/>
      <c r="G945" s="79"/>
      <c r="H945" s="28"/>
      <c r="I945" s="29"/>
      <c r="J945" s="84"/>
    </row>
    <row r="946" spans="2:10" x14ac:dyDescent="0.2">
      <c r="B946" s="79"/>
      <c r="C946" s="28"/>
      <c r="D946" s="29"/>
      <c r="E946" s="84"/>
      <c r="G946" s="79"/>
      <c r="H946" s="28"/>
      <c r="I946" s="29"/>
      <c r="J946" s="85"/>
    </row>
    <row r="947" spans="2:10" x14ac:dyDescent="0.2">
      <c r="B947" s="79"/>
      <c r="C947" s="28"/>
      <c r="D947" s="29"/>
      <c r="E947" s="85"/>
      <c r="G947" s="79"/>
      <c r="H947" s="28"/>
      <c r="I947" s="29"/>
      <c r="J947" s="85"/>
    </row>
    <row r="948" spans="2:10" x14ac:dyDescent="0.2">
      <c r="B948" s="79"/>
      <c r="C948" s="28"/>
      <c r="D948" s="29"/>
      <c r="E948" s="84"/>
      <c r="G948" s="79"/>
      <c r="H948" s="28"/>
      <c r="I948" s="29"/>
      <c r="J948" s="84"/>
    </row>
    <row r="949" spans="2:10" x14ac:dyDescent="0.2">
      <c r="B949" s="79"/>
      <c r="C949" s="28"/>
      <c r="D949" s="29"/>
      <c r="E949" s="85"/>
      <c r="G949" s="79"/>
      <c r="H949" s="28"/>
      <c r="I949" s="29"/>
      <c r="J949" s="85"/>
    </row>
    <row r="950" spans="2:10" x14ac:dyDescent="0.2">
      <c r="B950" s="79"/>
      <c r="C950" s="28"/>
      <c r="D950" s="29"/>
      <c r="E950" s="85"/>
      <c r="G950" s="79"/>
      <c r="H950" s="28"/>
      <c r="I950" s="29"/>
      <c r="J950" s="84"/>
    </row>
    <row r="951" spans="2:10" x14ac:dyDescent="0.2">
      <c r="B951" s="79"/>
      <c r="C951" s="28"/>
      <c r="D951" s="29"/>
      <c r="E951" s="84"/>
      <c r="G951" s="79"/>
      <c r="H951" s="28"/>
      <c r="I951" s="29"/>
      <c r="J951" s="85"/>
    </row>
    <row r="952" spans="2:10" x14ac:dyDescent="0.2">
      <c r="B952" s="79"/>
      <c r="C952" s="28"/>
      <c r="D952" s="29"/>
      <c r="E952" s="85"/>
      <c r="G952" s="79"/>
      <c r="H952" s="28"/>
      <c r="I952" s="29"/>
      <c r="J952" s="85"/>
    </row>
    <row r="953" spans="2:10" x14ac:dyDescent="0.2">
      <c r="B953" s="79"/>
      <c r="C953" s="28"/>
      <c r="D953" s="29"/>
      <c r="E953" s="84"/>
      <c r="G953" s="79"/>
      <c r="H953" s="28"/>
      <c r="I953" s="29"/>
      <c r="J953" s="84"/>
    </row>
    <row r="954" spans="2:10" x14ac:dyDescent="0.2">
      <c r="B954" s="79"/>
      <c r="C954" s="28"/>
      <c r="D954" s="29"/>
      <c r="E954" s="85"/>
      <c r="G954" s="79"/>
      <c r="H954" s="28"/>
      <c r="I954" s="29"/>
      <c r="J954" s="85"/>
    </row>
    <row r="955" spans="2:10" x14ac:dyDescent="0.2">
      <c r="B955" s="79"/>
      <c r="C955" s="28"/>
      <c r="D955" s="29"/>
      <c r="E955" s="85"/>
      <c r="G955" s="79"/>
      <c r="H955" s="28"/>
      <c r="I955" s="29"/>
      <c r="J955" s="84"/>
    </row>
    <row r="956" spans="2:10" x14ac:dyDescent="0.2">
      <c r="B956" s="79"/>
      <c r="C956" s="28"/>
      <c r="D956" s="29"/>
      <c r="E956" s="84"/>
      <c r="G956" s="79"/>
      <c r="H956" s="28"/>
      <c r="I956" s="29"/>
      <c r="J956" s="85"/>
    </row>
    <row r="957" spans="2:10" x14ac:dyDescent="0.2">
      <c r="B957" s="79"/>
      <c r="C957" s="28"/>
      <c r="D957" s="29"/>
      <c r="E957" s="85"/>
      <c r="G957" s="79"/>
      <c r="H957" s="28"/>
      <c r="I957" s="29"/>
      <c r="J957" s="85"/>
    </row>
    <row r="958" spans="2:10" x14ac:dyDescent="0.2">
      <c r="B958" s="79"/>
      <c r="C958" s="28"/>
      <c r="D958" s="29"/>
      <c r="E958" s="84"/>
      <c r="G958" s="79"/>
      <c r="H958" s="28"/>
      <c r="I958" s="29"/>
      <c r="J958" s="84"/>
    </row>
    <row r="959" spans="2:10" x14ac:dyDescent="0.2">
      <c r="B959" s="79"/>
      <c r="C959" s="28"/>
      <c r="D959" s="29"/>
      <c r="E959" s="85"/>
      <c r="G959" s="79"/>
      <c r="H959" s="28"/>
      <c r="I959" s="29"/>
      <c r="J959" s="85"/>
    </row>
    <row r="960" spans="2:10" x14ac:dyDescent="0.2">
      <c r="B960" s="79"/>
      <c r="C960" s="28"/>
      <c r="D960" s="29"/>
      <c r="E960" s="84"/>
      <c r="G960" s="79"/>
      <c r="H960" s="28"/>
      <c r="I960" s="29"/>
      <c r="J960" s="84"/>
    </row>
    <row r="961" spans="2:10" x14ac:dyDescent="0.2">
      <c r="B961" s="79"/>
      <c r="C961" s="28"/>
      <c r="D961" s="29"/>
      <c r="E961" s="85"/>
      <c r="G961" s="79"/>
      <c r="H961" s="28"/>
      <c r="I961" s="29"/>
      <c r="J961" s="85"/>
    </row>
    <row r="962" spans="2:10" x14ac:dyDescent="0.2">
      <c r="B962" s="79"/>
      <c r="C962" s="28"/>
      <c r="D962" s="29"/>
      <c r="E962" s="85"/>
      <c r="G962" s="79"/>
      <c r="H962" s="28"/>
      <c r="I962" s="29"/>
      <c r="J962" s="85"/>
    </row>
    <row r="963" spans="2:10" x14ac:dyDescent="0.2">
      <c r="B963" s="79"/>
      <c r="C963" s="28"/>
      <c r="D963" s="29"/>
      <c r="E963" s="84"/>
      <c r="G963" s="79"/>
      <c r="H963" s="28"/>
      <c r="I963" s="29"/>
      <c r="J963" s="84"/>
    </row>
    <row r="964" spans="2:10" x14ac:dyDescent="0.2">
      <c r="B964" s="79"/>
      <c r="C964" s="28"/>
      <c r="D964" s="29"/>
      <c r="E964" s="85"/>
      <c r="G964" s="79"/>
      <c r="H964" s="28"/>
      <c r="I964" s="29"/>
      <c r="J964" s="85"/>
    </row>
    <row r="965" spans="2:10" x14ac:dyDescent="0.2">
      <c r="B965" s="79"/>
      <c r="C965" s="28"/>
      <c r="D965" s="29"/>
      <c r="E965" s="84"/>
      <c r="G965" s="79"/>
      <c r="H965" s="28"/>
      <c r="I965" s="29"/>
      <c r="J965" s="84"/>
    </row>
    <row r="966" spans="2:10" x14ac:dyDescent="0.2">
      <c r="B966" s="79"/>
      <c r="C966" s="28"/>
      <c r="D966" s="29"/>
      <c r="E966" s="85"/>
      <c r="G966" s="79"/>
      <c r="H966" s="28"/>
      <c r="I966" s="29"/>
      <c r="J966" s="85"/>
    </row>
    <row r="967" spans="2:10" x14ac:dyDescent="0.2">
      <c r="B967" s="79"/>
      <c r="C967" s="28"/>
      <c r="D967" s="29"/>
      <c r="E967" s="85"/>
      <c r="G967" s="79"/>
      <c r="H967" s="28"/>
      <c r="I967" s="29"/>
      <c r="J967" s="85"/>
    </row>
    <row r="968" spans="2:10" x14ac:dyDescent="0.2">
      <c r="B968" s="79"/>
      <c r="C968" s="28"/>
      <c r="D968" s="29"/>
      <c r="E968" s="84"/>
      <c r="G968" s="79"/>
      <c r="H968" s="28"/>
      <c r="I968" s="29"/>
      <c r="J968" s="84"/>
    </row>
    <row r="969" spans="2:10" x14ac:dyDescent="0.2">
      <c r="B969" s="79"/>
      <c r="C969" s="28"/>
      <c r="D969" s="29"/>
      <c r="E969" s="85"/>
      <c r="G969" s="79"/>
      <c r="H969" s="28"/>
      <c r="I969" s="29"/>
      <c r="J969" s="85"/>
    </row>
    <row r="970" spans="2:10" x14ac:dyDescent="0.2">
      <c r="B970" s="79"/>
      <c r="C970" s="28"/>
      <c r="D970" s="29"/>
      <c r="E970" s="84"/>
      <c r="G970" s="79"/>
      <c r="H970" s="28"/>
      <c r="I970" s="29"/>
      <c r="J970" s="84"/>
    </row>
    <row r="971" spans="2:10" x14ac:dyDescent="0.2">
      <c r="B971" s="79"/>
      <c r="C971" s="28"/>
      <c r="D971" s="29"/>
      <c r="E971" s="85"/>
      <c r="G971" s="79"/>
      <c r="H971" s="28"/>
      <c r="I971" s="29"/>
      <c r="J971" s="85"/>
    </row>
    <row r="972" spans="2:10" x14ac:dyDescent="0.2">
      <c r="B972" s="79"/>
      <c r="C972" s="28"/>
      <c r="D972" s="29"/>
      <c r="E972" s="84"/>
      <c r="G972" s="79"/>
      <c r="H972" s="28"/>
      <c r="I972" s="29"/>
      <c r="J972" s="85"/>
    </row>
    <row r="973" spans="2:10" x14ac:dyDescent="0.2">
      <c r="B973" s="79"/>
      <c r="C973" s="28"/>
      <c r="D973" s="29"/>
      <c r="E973" s="85"/>
      <c r="G973" s="79"/>
      <c r="H973" s="28"/>
      <c r="I973" s="29"/>
      <c r="J973" s="84"/>
    </row>
    <row r="974" spans="2:10" x14ac:dyDescent="0.2">
      <c r="B974" s="79"/>
      <c r="C974" s="28"/>
      <c r="D974" s="29"/>
      <c r="E974" s="85"/>
      <c r="G974" s="79"/>
      <c r="H974" s="28"/>
      <c r="I974" s="29"/>
      <c r="J974" s="85"/>
    </row>
    <row r="975" spans="2:10" x14ac:dyDescent="0.2">
      <c r="B975" s="79"/>
      <c r="C975" s="28"/>
      <c r="D975" s="29"/>
      <c r="E975" s="84"/>
      <c r="G975" s="79"/>
      <c r="H975" s="28"/>
      <c r="I975" s="29"/>
      <c r="J975" s="84"/>
    </row>
    <row r="976" spans="2:10" x14ac:dyDescent="0.2">
      <c r="B976" s="79"/>
      <c r="C976" s="28"/>
      <c r="D976" s="29"/>
      <c r="E976" s="85"/>
      <c r="G976" s="79"/>
      <c r="H976" s="28"/>
      <c r="I976" s="29"/>
      <c r="J976" s="85"/>
    </row>
    <row r="977" spans="2:10" x14ac:dyDescent="0.2">
      <c r="B977" s="79"/>
      <c r="C977" s="28"/>
      <c r="D977" s="29"/>
      <c r="E977" s="84"/>
      <c r="G977" s="79"/>
      <c r="H977" s="28"/>
      <c r="I977" s="29"/>
      <c r="J977" s="85"/>
    </row>
    <row r="978" spans="2:10" x14ac:dyDescent="0.2">
      <c r="B978" s="79"/>
      <c r="C978" s="28"/>
      <c r="D978" s="29"/>
      <c r="E978" s="85"/>
      <c r="G978" s="79"/>
      <c r="H978" s="28"/>
      <c r="I978" s="29"/>
      <c r="J978" s="84"/>
    </row>
    <row r="979" spans="2:10" x14ac:dyDescent="0.2">
      <c r="B979" s="79"/>
      <c r="C979" s="28"/>
      <c r="D979" s="29"/>
      <c r="E979" s="85"/>
      <c r="G979" s="79"/>
      <c r="H979" s="28"/>
      <c r="I979" s="29"/>
      <c r="J979" s="85"/>
    </row>
    <row r="980" spans="2:10" x14ac:dyDescent="0.2">
      <c r="B980" s="79"/>
      <c r="C980" s="28"/>
      <c r="D980" s="29"/>
      <c r="E980" s="84"/>
      <c r="G980" s="79"/>
      <c r="H980" s="28"/>
      <c r="I980" s="29"/>
      <c r="J980" s="84"/>
    </row>
    <row r="981" spans="2:10" x14ac:dyDescent="0.2">
      <c r="B981" s="79"/>
      <c r="C981" s="28"/>
      <c r="D981" s="29"/>
      <c r="E981" s="85"/>
      <c r="G981" s="79"/>
      <c r="H981" s="28"/>
      <c r="I981" s="29"/>
      <c r="J981" s="85"/>
    </row>
    <row r="982" spans="2:10" x14ac:dyDescent="0.2">
      <c r="B982" s="79"/>
      <c r="C982" s="28"/>
      <c r="D982" s="29"/>
      <c r="E982" s="84"/>
      <c r="G982" s="79"/>
      <c r="H982" s="28"/>
      <c r="I982" s="29"/>
      <c r="J982" s="85"/>
    </row>
    <row r="983" spans="2:10" x14ac:dyDescent="0.2">
      <c r="B983" s="79"/>
      <c r="C983" s="28"/>
      <c r="D983" s="29"/>
      <c r="E983" s="85"/>
      <c r="G983" s="79"/>
      <c r="H983" s="28"/>
      <c r="I983" s="29"/>
      <c r="J983" s="84"/>
    </row>
    <row r="984" spans="2:10" x14ac:dyDescent="0.2">
      <c r="B984" s="79"/>
      <c r="C984" s="28"/>
      <c r="D984" s="29"/>
      <c r="E984" s="84"/>
      <c r="G984" s="79"/>
      <c r="H984" s="28"/>
      <c r="I984" s="29"/>
      <c r="J984" s="85"/>
    </row>
    <row r="985" spans="2:10" x14ac:dyDescent="0.2">
      <c r="B985" s="79"/>
      <c r="C985" s="28"/>
      <c r="D985" s="29"/>
      <c r="E985" s="85"/>
      <c r="G985" s="79"/>
      <c r="H985" s="28"/>
      <c r="I985" s="29"/>
      <c r="J985" s="84"/>
    </row>
    <row r="986" spans="2:10" x14ac:dyDescent="0.2">
      <c r="B986" s="79"/>
      <c r="C986" s="28"/>
      <c r="D986" s="29"/>
      <c r="E986" s="85"/>
      <c r="G986" s="79"/>
      <c r="H986" s="28"/>
      <c r="I986" s="29"/>
      <c r="J986" s="85"/>
    </row>
    <row r="987" spans="2:10" x14ac:dyDescent="0.2">
      <c r="B987" s="79"/>
      <c r="C987" s="28"/>
      <c r="D987" s="29"/>
      <c r="E987" s="84"/>
      <c r="G987" s="79"/>
      <c r="H987" s="28"/>
      <c r="I987" s="29"/>
      <c r="J987" s="85"/>
    </row>
    <row r="988" spans="2:10" x14ac:dyDescent="0.2">
      <c r="B988" s="79"/>
      <c r="C988" s="28"/>
      <c r="D988" s="29"/>
      <c r="E988" s="85"/>
      <c r="G988" s="79"/>
      <c r="H988" s="28"/>
      <c r="I988" s="29"/>
      <c r="J988" s="84"/>
    </row>
    <row r="989" spans="2:10" x14ac:dyDescent="0.2">
      <c r="B989" s="79"/>
      <c r="C989" s="28"/>
      <c r="D989" s="29"/>
      <c r="E989" s="84"/>
      <c r="G989" s="79"/>
      <c r="H989" s="28"/>
      <c r="I989" s="29"/>
      <c r="J989" s="85"/>
    </row>
    <row r="990" spans="2:10" x14ac:dyDescent="0.2">
      <c r="B990" s="79"/>
      <c r="C990" s="28"/>
      <c r="D990" s="29"/>
      <c r="E990" s="85"/>
      <c r="G990" s="79"/>
      <c r="H990" s="28"/>
      <c r="I990" s="29"/>
      <c r="J990" s="84"/>
    </row>
    <row r="991" spans="2:10" x14ac:dyDescent="0.2">
      <c r="B991" s="79"/>
      <c r="C991" s="28"/>
      <c r="D991" s="29"/>
      <c r="E991" s="85"/>
      <c r="G991" s="79"/>
      <c r="H991" s="28"/>
      <c r="I991" s="29"/>
      <c r="J991" s="85"/>
    </row>
    <row r="992" spans="2:10" x14ac:dyDescent="0.2">
      <c r="B992" s="79"/>
      <c r="C992" s="28"/>
      <c r="D992" s="29"/>
      <c r="E992" s="84"/>
      <c r="G992" s="79"/>
      <c r="H992" s="28"/>
      <c r="I992" s="29"/>
      <c r="J992" s="85"/>
    </row>
    <row r="993" spans="2:10" x14ac:dyDescent="0.2">
      <c r="B993" s="79"/>
      <c r="C993" s="28"/>
      <c r="D993" s="29"/>
      <c r="E993" s="85"/>
      <c r="G993" s="79"/>
      <c r="H993" s="28"/>
      <c r="I993" s="29"/>
      <c r="J993" s="84"/>
    </row>
    <row r="994" spans="2:10" x14ac:dyDescent="0.2">
      <c r="B994" s="79"/>
      <c r="C994" s="28"/>
      <c r="D994" s="29"/>
      <c r="E994" s="84"/>
      <c r="G994" s="79"/>
      <c r="H994" s="28"/>
      <c r="I994" s="29"/>
      <c r="J994" s="85"/>
    </row>
    <row r="995" spans="2:10" x14ac:dyDescent="0.2">
      <c r="B995" s="79"/>
      <c r="C995" s="28"/>
      <c r="D995" s="29"/>
      <c r="E995" s="85"/>
      <c r="G995" s="79"/>
      <c r="H995" s="28"/>
      <c r="I995" s="29"/>
      <c r="J995" s="84"/>
    </row>
    <row r="996" spans="2:10" x14ac:dyDescent="0.2">
      <c r="B996" s="79"/>
      <c r="C996" s="28"/>
      <c r="D996" s="29"/>
      <c r="E996" s="84"/>
      <c r="G996" s="79"/>
      <c r="H996" s="28"/>
      <c r="I996" s="29"/>
      <c r="J996" s="85"/>
    </row>
    <row r="997" spans="2:10" x14ac:dyDescent="0.2">
      <c r="B997" s="79"/>
      <c r="C997" s="28"/>
      <c r="D997" s="29"/>
      <c r="E997" s="85"/>
      <c r="G997" s="79"/>
      <c r="H997" s="28"/>
      <c r="I997" s="29"/>
      <c r="J997" s="85"/>
    </row>
    <row r="998" spans="2:10" x14ac:dyDescent="0.2">
      <c r="B998" s="79"/>
      <c r="C998" s="28"/>
      <c r="D998" s="29"/>
      <c r="E998" s="85"/>
      <c r="G998" s="79"/>
      <c r="H998" s="28"/>
      <c r="I998" s="29"/>
      <c r="J998" s="84"/>
    </row>
    <row r="999" spans="2:10" x14ac:dyDescent="0.2">
      <c r="B999" s="79"/>
      <c r="C999" s="28"/>
      <c r="D999" s="29"/>
      <c r="E999" s="84"/>
      <c r="G999" s="79"/>
      <c r="H999" s="28"/>
      <c r="I999" s="29"/>
      <c r="J999" s="85"/>
    </row>
    <row r="1000" spans="2:10" x14ac:dyDescent="0.2">
      <c r="B1000" s="79"/>
      <c r="C1000" s="28"/>
      <c r="D1000" s="29"/>
      <c r="E1000" s="85"/>
      <c r="G1000" s="79"/>
      <c r="H1000" s="28"/>
      <c r="I1000" s="29"/>
      <c r="J1000" s="84"/>
    </row>
    <row r="1001" spans="2:10" x14ac:dyDescent="0.2">
      <c r="B1001" s="79"/>
      <c r="C1001" s="28"/>
      <c r="D1001" s="29"/>
      <c r="E1001" s="84"/>
      <c r="G1001" s="79"/>
      <c r="H1001" s="28"/>
      <c r="I1001" s="29"/>
      <c r="J1001" s="85"/>
    </row>
    <row r="1002" spans="2:10" x14ac:dyDescent="0.2">
      <c r="B1002" s="79"/>
      <c r="C1002" s="28"/>
      <c r="D1002" s="29"/>
      <c r="E1002" s="85"/>
      <c r="G1002" s="79"/>
      <c r="H1002" s="28"/>
      <c r="I1002" s="29"/>
      <c r="J1002" s="85"/>
    </row>
    <row r="1003" spans="2:10" x14ac:dyDescent="0.2">
      <c r="B1003" s="79"/>
      <c r="C1003" s="28"/>
      <c r="D1003" s="29"/>
      <c r="E1003" s="85"/>
      <c r="G1003" s="79"/>
      <c r="H1003" s="28"/>
      <c r="I1003" s="29"/>
      <c r="J1003" s="84"/>
    </row>
  </sheetData>
  <mergeCells count="2">
    <mergeCell ref="B1:D1"/>
    <mergeCell ref="G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:N35"/>
  <sheetViews>
    <sheetView workbookViewId="0"/>
  </sheetViews>
  <sheetFormatPr baseColWidth="10" defaultRowHeight="14.25" x14ac:dyDescent="0.2"/>
  <cols>
    <col min="1" max="1" width="14.125" style="113" bestFit="1" customWidth="1"/>
    <col min="5" max="5" width="14.125" style="113" bestFit="1" customWidth="1"/>
    <col min="9" max="9" width="14.125" style="113" bestFit="1" customWidth="1"/>
  </cols>
  <sheetData>
    <row r="2" spans="1:14" x14ac:dyDescent="0.2">
      <c r="B2" t="s">
        <v>96</v>
      </c>
      <c r="C2" t="s">
        <v>97</v>
      </c>
      <c r="D2" t="s">
        <v>98</v>
      </c>
      <c r="H2" t="s">
        <v>99</v>
      </c>
      <c r="I2" s="113" t="s">
        <v>100</v>
      </c>
      <c r="M2" t="s">
        <v>101</v>
      </c>
      <c r="N2" t="s">
        <v>102</v>
      </c>
    </row>
    <row r="3" spans="1:14" x14ac:dyDescent="0.2">
      <c r="A3" s="113">
        <v>41754</v>
      </c>
      <c r="B3" s="12">
        <v>0.92750428787735295</v>
      </c>
      <c r="C3" s="12">
        <v>7.2495712122647119E-2</v>
      </c>
      <c r="D3">
        <v>0</v>
      </c>
      <c r="F3" s="12"/>
      <c r="G3" s="12">
        <v>41754</v>
      </c>
      <c r="H3">
        <v>6.696425380331654E-2</v>
      </c>
      <c r="I3" s="113">
        <v>0.9330357461966835</v>
      </c>
      <c r="J3" s="12"/>
      <c r="K3" s="12"/>
      <c r="L3" s="1">
        <v>41754</v>
      </c>
      <c r="M3">
        <v>0</v>
      </c>
      <c r="N3">
        <v>1</v>
      </c>
    </row>
    <row r="4" spans="1:14" x14ac:dyDescent="0.2">
      <c r="A4" s="113">
        <v>41790</v>
      </c>
      <c r="B4" s="12">
        <v>0.573784445873049</v>
      </c>
      <c r="C4" s="12">
        <v>0.42621555412695095</v>
      </c>
      <c r="D4">
        <v>0</v>
      </c>
      <c r="F4" s="12"/>
      <c r="G4" s="12">
        <v>41790</v>
      </c>
      <c r="H4">
        <v>0.43409804614127739</v>
      </c>
      <c r="I4" s="113">
        <v>0.56590195385872255</v>
      </c>
      <c r="J4" s="12"/>
      <c r="K4" s="12"/>
      <c r="L4" s="1">
        <v>41790</v>
      </c>
      <c r="M4">
        <v>1.386406357585385E-2</v>
      </c>
      <c r="N4">
        <v>0.9861359364241461</v>
      </c>
    </row>
    <row r="5" spans="1:14" x14ac:dyDescent="0.2">
      <c r="A5" s="113">
        <v>41820</v>
      </c>
      <c r="B5" s="12">
        <v>0.32458289325184592</v>
      </c>
      <c r="C5" s="12">
        <v>0.67541710674815425</v>
      </c>
      <c r="D5">
        <v>0</v>
      </c>
      <c r="F5" s="12"/>
      <c r="G5" s="12">
        <v>41820</v>
      </c>
      <c r="H5">
        <v>0.62686381165267713</v>
      </c>
      <c r="I5" s="113">
        <v>0.37313618834732304</v>
      </c>
      <c r="J5" s="12"/>
      <c r="K5" s="12"/>
      <c r="L5" s="1">
        <v>41820</v>
      </c>
      <c r="M5">
        <v>1.3841260145056272E-2</v>
      </c>
      <c r="N5">
        <v>0.98615873985494396</v>
      </c>
    </row>
    <row r="6" spans="1:14" x14ac:dyDescent="0.2">
      <c r="A6" s="113">
        <v>41851</v>
      </c>
      <c r="B6" s="12">
        <v>0.19416691735049146</v>
      </c>
      <c r="C6" s="12">
        <v>0.80583308264950859</v>
      </c>
      <c r="D6">
        <v>0</v>
      </c>
      <c r="F6" s="12"/>
      <c r="G6" s="12">
        <v>41851</v>
      </c>
      <c r="H6">
        <v>0.72018172583206008</v>
      </c>
      <c r="I6" s="113">
        <v>0.27981827416794003</v>
      </c>
      <c r="J6" s="12"/>
      <c r="K6" s="12"/>
      <c r="L6" s="1">
        <v>41851</v>
      </c>
      <c r="M6">
        <v>1.7509192560126976E-2</v>
      </c>
      <c r="N6">
        <v>0.98249080743987305</v>
      </c>
    </row>
    <row r="7" spans="1:14" x14ac:dyDescent="0.2">
      <c r="A7" s="113">
        <v>41882</v>
      </c>
      <c r="B7" s="12">
        <v>5.940471187778737E-2</v>
      </c>
      <c r="C7" s="12">
        <v>0.94059528812221227</v>
      </c>
      <c r="D7">
        <v>0</v>
      </c>
      <c r="F7" s="12"/>
      <c r="G7" s="12">
        <v>41882</v>
      </c>
      <c r="H7">
        <v>0.86739307300660018</v>
      </c>
      <c r="I7" s="113">
        <v>0.1326069269933996</v>
      </c>
      <c r="J7" s="12"/>
      <c r="K7" s="12"/>
      <c r="L7" s="1">
        <v>41882</v>
      </c>
      <c r="M7">
        <v>5.7095991361163938E-2</v>
      </c>
      <c r="N7">
        <v>0.94290400863883572</v>
      </c>
    </row>
    <row r="8" spans="1:14" x14ac:dyDescent="0.2">
      <c r="A8" s="113">
        <v>41912</v>
      </c>
      <c r="B8" s="12">
        <v>5.489804968510785E-2</v>
      </c>
      <c r="C8" s="12">
        <v>0.94510195031489197</v>
      </c>
      <c r="D8">
        <v>0</v>
      </c>
      <c r="F8" s="12"/>
      <c r="G8" s="12">
        <v>41912</v>
      </c>
      <c r="H8">
        <v>0.87064876724824247</v>
      </c>
      <c r="I8" s="113">
        <v>0.12935123275175753</v>
      </c>
      <c r="J8" s="12"/>
      <c r="K8" s="12"/>
      <c r="L8" s="1">
        <v>41912</v>
      </c>
      <c r="M8">
        <v>5.4296654661514024E-2</v>
      </c>
      <c r="N8">
        <v>0.94570334533848577</v>
      </c>
    </row>
    <row r="9" spans="1:14" x14ac:dyDescent="0.2">
      <c r="A9" s="113">
        <v>41943</v>
      </c>
      <c r="B9" s="12">
        <v>5.1271606188718885E-2</v>
      </c>
      <c r="C9" s="12">
        <v>0.94872839381128127</v>
      </c>
      <c r="D9">
        <v>0</v>
      </c>
      <c r="F9" s="12"/>
      <c r="G9" s="12">
        <v>41943</v>
      </c>
      <c r="H9">
        <v>0.86946078701370677</v>
      </c>
      <c r="I9" s="113">
        <v>0.13053921298629331</v>
      </c>
      <c r="J9" s="12"/>
      <c r="K9" s="12"/>
      <c r="L9" s="1">
        <v>41943</v>
      </c>
      <c r="M9">
        <v>5.0851360123618419E-2</v>
      </c>
      <c r="N9">
        <v>0.94914863987638165</v>
      </c>
    </row>
    <row r="10" spans="1:14" x14ac:dyDescent="0.2">
      <c r="A10" s="113">
        <v>41973</v>
      </c>
      <c r="B10" s="12">
        <v>5.144795916156545E-2</v>
      </c>
      <c r="C10" s="12">
        <v>0.94855204083843414</v>
      </c>
      <c r="D10">
        <v>0</v>
      </c>
      <c r="F10" s="12"/>
      <c r="G10" s="12">
        <v>41973</v>
      </c>
      <c r="H10">
        <v>0.86919889294318742</v>
      </c>
      <c r="I10" s="113">
        <v>0.13080110705681244</v>
      </c>
      <c r="J10" s="12"/>
      <c r="K10" s="12"/>
      <c r="L10" s="1">
        <v>41973</v>
      </c>
      <c r="M10">
        <v>5.0682441347716344E-2</v>
      </c>
      <c r="N10">
        <v>0.9493175586522834</v>
      </c>
    </row>
    <row r="11" spans="1:14" x14ac:dyDescent="0.2">
      <c r="A11" s="113">
        <v>42004</v>
      </c>
      <c r="B11">
        <v>5.2205929764888886E-2</v>
      </c>
      <c r="C11">
        <v>0.94779407023511086</v>
      </c>
      <c r="D11">
        <v>0</v>
      </c>
      <c r="G11" s="1">
        <v>42004</v>
      </c>
      <c r="H11">
        <v>0.8694124533753762</v>
      </c>
      <c r="I11" s="113">
        <v>0.13058754662462371</v>
      </c>
      <c r="L11" s="1">
        <v>42004</v>
      </c>
      <c r="M11">
        <v>5.0311185471292624E-2</v>
      </c>
      <c r="N11">
        <v>0.94968881452870724</v>
      </c>
    </row>
    <row r="12" spans="1:14" x14ac:dyDescent="0.2">
      <c r="A12" s="113">
        <v>42035</v>
      </c>
      <c r="B12">
        <v>2.7339517983560272E-2</v>
      </c>
      <c r="C12">
        <v>0.97266048201643973</v>
      </c>
      <c r="D12">
        <v>0</v>
      </c>
      <c r="G12" s="1">
        <v>42035</v>
      </c>
      <c r="H12">
        <v>0.8722802394332394</v>
      </c>
      <c r="I12" s="113">
        <v>0.12771976056676068</v>
      </c>
      <c r="L12" s="1">
        <v>42035</v>
      </c>
      <c r="M12">
        <v>2.6566830607969397E-2</v>
      </c>
      <c r="N12">
        <v>0.97343316939203062</v>
      </c>
    </row>
    <row r="13" spans="1:14" x14ac:dyDescent="0.2">
      <c r="A13" s="113">
        <v>42063</v>
      </c>
      <c r="B13">
        <v>2.5061748265857647E-2</v>
      </c>
      <c r="C13">
        <v>0.97493825173414239</v>
      </c>
      <c r="D13">
        <v>0</v>
      </c>
      <c r="G13" s="1">
        <v>42063</v>
      </c>
      <c r="H13">
        <v>0.87502720980853377</v>
      </c>
      <c r="I13" s="113">
        <v>0.12497279019146636</v>
      </c>
      <c r="L13" s="1">
        <v>42063</v>
      </c>
      <c r="M13">
        <v>2.4728436333353948E-2</v>
      </c>
      <c r="N13">
        <v>0.97527156366664614</v>
      </c>
    </row>
    <row r="14" spans="1:14" x14ac:dyDescent="0.2">
      <c r="A14" s="113">
        <v>42094</v>
      </c>
      <c r="B14">
        <v>1.8657372646197676E-3</v>
      </c>
      <c r="C14">
        <v>0.99813426273538031</v>
      </c>
      <c r="D14">
        <v>0</v>
      </c>
      <c r="G14" s="1">
        <v>42094</v>
      </c>
      <c r="H14">
        <v>0.8690047693339501</v>
      </c>
      <c r="I14" s="113">
        <v>0.13099523066604993</v>
      </c>
      <c r="L14" s="1">
        <v>42094</v>
      </c>
      <c r="M14">
        <v>1.2552452357347521E-3</v>
      </c>
      <c r="N14">
        <v>0.99874475476426527</v>
      </c>
    </row>
    <row r="15" spans="1:14" x14ac:dyDescent="0.2">
      <c r="A15" s="113">
        <v>42124</v>
      </c>
      <c r="B15">
        <v>1.5357291636879959E-3</v>
      </c>
      <c r="C15">
        <v>0.99846427083631217</v>
      </c>
      <c r="D15">
        <v>0</v>
      </c>
      <c r="G15" s="1">
        <v>42124</v>
      </c>
      <c r="H15">
        <v>0.86817431924873012</v>
      </c>
      <c r="I15" s="113">
        <v>0.13182568075126999</v>
      </c>
      <c r="L15" s="1">
        <v>42124</v>
      </c>
      <c r="M15">
        <v>1.2689255304793141E-3</v>
      </c>
      <c r="N15">
        <v>0.99873107446952081</v>
      </c>
    </row>
    <row r="16" spans="1:14" x14ac:dyDescent="0.2">
      <c r="A16" s="113">
        <v>42155</v>
      </c>
      <c r="B16">
        <v>1.402209417811783E-3</v>
      </c>
      <c r="C16">
        <v>0.99859779058218834</v>
      </c>
      <c r="D16">
        <v>0</v>
      </c>
      <c r="G16" s="1">
        <v>42155</v>
      </c>
      <c r="H16">
        <v>0.8712721957180477</v>
      </c>
      <c r="I16" s="113">
        <v>0.12872780428195227</v>
      </c>
      <c r="L16" s="1">
        <v>42155</v>
      </c>
      <c r="M16">
        <v>0</v>
      </c>
      <c r="N16">
        <v>1</v>
      </c>
    </row>
    <row r="17" spans="1:14" x14ac:dyDescent="0.2">
      <c r="A17" s="113">
        <v>42185</v>
      </c>
      <c r="B17">
        <v>2.2828594937368826E-2</v>
      </c>
      <c r="C17">
        <v>0.97717140506263145</v>
      </c>
      <c r="D17">
        <v>0</v>
      </c>
      <c r="G17" s="1">
        <v>42185</v>
      </c>
      <c r="H17">
        <v>0.85144626792623856</v>
      </c>
      <c r="I17" s="113">
        <v>0.14855373207376177</v>
      </c>
      <c r="L17" s="1">
        <v>42185</v>
      </c>
      <c r="M17">
        <v>0</v>
      </c>
      <c r="N17">
        <v>1.0000000000000002</v>
      </c>
    </row>
    <row r="18" spans="1:14" x14ac:dyDescent="0.2">
      <c r="A18" s="113">
        <v>42216</v>
      </c>
      <c r="B18">
        <v>2.0397921754394178E-4</v>
      </c>
      <c r="C18">
        <v>0.999796020782456</v>
      </c>
      <c r="D18">
        <v>0</v>
      </c>
      <c r="G18" s="1">
        <v>42216</v>
      </c>
      <c r="H18">
        <v>0.87336035925531341</v>
      </c>
      <c r="I18" s="113">
        <v>0.12663964074468631</v>
      </c>
      <c r="L18" s="1">
        <v>42216</v>
      </c>
      <c r="M18">
        <v>0</v>
      </c>
      <c r="N18">
        <v>0.99999999999999989</v>
      </c>
    </row>
    <row r="19" spans="1:14" x14ac:dyDescent="0.2">
      <c r="A19" s="113">
        <v>42247</v>
      </c>
      <c r="B19">
        <v>9.4993891660009201E-3</v>
      </c>
      <c r="C19">
        <v>0.99050061083399932</v>
      </c>
      <c r="D19">
        <v>0</v>
      </c>
      <c r="G19" s="1">
        <v>42247</v>
      </c>
      <c r="H19">
        <v>0.84971568228878325</v>
      </c>
      <c r="I19" s="113">
        <v>0.15028431771121672</v>
      </c>
      <c r="L19" s="1">
        <v>42247</v>
      </c>
      <c r="M19">
        <v>0</v>
      </c>
      <c r="N19">
        <v>1.0000000000000002</v>
      </c>
    </row>
    <row r="20" spans="1:14" x14ac:dyDescent="0.2">
      <c r="A20" s="113">
        <v>42277</v>
      </c>
      <c r="B20">
        <v>0.11557843610879211</v>
      </c>
      <c r="C20">
        <v>0.88442156389120796</v>
      </c>
      <c r="D20">
        <v>0</v>
      </c>
      <c r="G20" s="1">
        <v>42277</v>
      </c>
      <c r="H20">
        <v>0.7714779157686249</v>
      </c>
      <c r="I20" s="113">
        <v>0.22852208423137524</v>
      </c>
      <c r="L20" s="1">
        <v>42277</v>
      </c>
      <c r="M20">
        <v>0</v>
      </c>
      <c r="N20">
        <v>1.0000000000000002</v>
      </c>
    </row>
    <row r="21" spans="1:14" x14ac:dyDescent="0.2">
      <c r="A21" s="113">
        <v>42308</v>
      </c>
      <c r="B21">
        <v>1.3023675493902729E-3</v>
      </c>
      <c r="C21">
        <v>0.99869763245060916</v>
      </c>
      <c r="D21">
        <v>0</v>
      </c>
      <c r="G21" s="1">
        <v>42308</v>
      </c>
      <c r="H21">
        <v>0.87824353990729864</v>
      </c>
      <c r="I21" s="113">
        <v>0.12175646009270101</v>
      </c>
      <c r="L21" s="1">
        <v>42308</v>
      </c>
      <c r="M21">
        <v>0</v>
      </c>
      <c r="N21">
        <v>0.99999999999999933</v>
      </c>
    </row>
    <row r="22" spans="1:14" x14ac:dyDescent="0.2">
      <c r="A22" s="113">
        <v>42338</v>
      </c>
      <c r="B22">
        <v>5.4382535462547598E-3</v>
      </c>
      <c r="C22">
        <v>0.99456174645374495</v>
      </c>
      <c r="D22">
        <v>0</v>
      </c>
      <c r="G22" s="1">
        <v>42338</v>
      </c>
      <c r="H22">
        <v>0.87468191430415387</v>
      </c>
      <c r="I22" s="113">
        <v>0.12531808569584604</v>
      </c>
      <c r="L22" s="1">
        <v>42338</v>
      </c>
      <c r="M22">
        <v>0</v>
      </c>
      <c r="N22">
        <v>0.99999999999999978</v>
      </c>
    </row>
    <row r="23" spans="1:14" x14ac:dyDescent="0.2">
      <c r="A23" s="113">
        <v>42369</v>
      </c>
      <c r="B23">
        <v>8.821326037610379E-4</v>
      </c>
      <c r="C23">
        <v>0.99911786739623931</v>
      </c>
      <c r="D23">
        <v>0</v>
      </c>
      <c r="G23" s="1">
        <v>42369</v>
      </c>
      <c r="H23">
        <v>0.87699148901057522</v>
      </c>
      <c r="I23" s="113">
        <v>0.12300851098942503</v>
      </c>
      <c r="L23" s="1">
        <v>42369</v>
      </c>
      <c r="M23">
        <v>0</v>
      </c>
      <c r="N23">
        <v>1.0000000000000002</v>
      </c>
    </row>
    <row r="24" spans="1:14" x14ac:dyDescent="0.2">
      <c r="A24" s="113">
        <v>42400</v>
      </c>
      <c r="B24">
        <v>4.7571300344577037E-4</v>
      </c>
      <c r="C24">
        <v>0.99952428699655427</v>
      </c>
      <c r="D24">
        <v>0</v>
      </c>
      <c r="G24" s="1">
        <v>42400</v>
      </c>
      <c r="H24">
        <v>0.87708453756188876</v>
      </c>
      <c r="I24" s="113">
        <v>0.12291546243811123</v>
      </c>
      <c r="L24" s="1">
        <v>42400</v>
      </c>
      <c r="M24">
        <v>0</v>
      </c>
      <c r="N24">
        <v>1</v>
      </c>
    </row>
    <row r="25" spans="1:14" x14ac:dyDescent="0.2">
      <c r="A25" s="113">
        <v>42429</v>
      </c>
      <c r="B25">
        <v>4.1455793813298939E-4</v>
      </c>
      <c r="C25">
        <v>0.99958544206186695</v>
      </c>
      <c r="D25">
        <v>0</v>
      </c>
      <c r="G25" s="1">
        <v>42429</v>
      </c>
      <c r="H25">
        <v>0.87653573809291696</v>
      </c>
      <c r="I25" s="113">
        <v>0.12346426190708283</v>
      </c>
      <c r="L25" s="1">
        <v>42429</v>
      </c>
      <c r="M25">
        <v>0</v>
      </c>
      <c r="N25">
        <v>0.99999999999999989</v>
      </c>
    </row>
    <row r="26" spans="1:14" x14ac:dyDescent="0.2">
      <c r="A26" s="113">
        <v>42460</v>
      </c>
      <c r="B26">
        <v>5.2768036456951411E-4</v>
      </c>
      <c r="C26">
        <v>0.99947231963543071</v>
      </c>
      <c r="D26">
        <v>0</v>
      </c>
      <c r="G26" s="1">
        <v>42460</v>
      </c>
      <c r="H26">
        <v>0.87621472212604645</v>
      </c>
      <c r="I26" s="113">
        <v>0.12378527787395378</v>
      </c>
      <c r="L26" s="1">
        <v>42460</v>
      </c>
      <c r="M26">
        <v>0</v>
      </c>
      <c r="N26">
        <v>1.0000000000000002</v>
      </c>
    </row>
    <row r="27" spans="1:14" x14ac:dyDescent="0.2">
      <c r="A27" s="113">
        <v>42490</v>
      </c>
      <c r="B27">
        <v>2.8477372734000695E-4</v>
      </c>
      <c r="C27">
        <v>0.99971522627265963</v>
      </c>
      <c r="D27">
        <v>0</v>
      </c>
      <c r="G27" s="1">
        <v>42490</v>
      </c>
      <c r="H27">
        <v>0.87533749593898136</v>
      </c>
      <c r="I27" s="113">
        <v>0.12466250406101824</v>
      </c>
      <c r="L27" s="1">
        <v>42490</v>
      </c>
      <c r="M27">
        <v>0</v>
      </c>
      <c r="N27">
        <v>0.99999999999999967</v>
      </c>
    </row>
    <row r="28" spans="1:14" x14ac:dyDescent="0.2">
      <c r="A28" s="113">
        <v>42521</v>
      </c>
      <c r="B28">
        <v>6.4514929498352509E-3</v>
      </c>
      <c r="C28">
        <v>0.99354850705016506</v>
      </c>
      <c r="D28">
        <v>0</v>
      </c>
      <c r="G28" s="1">
        <v>42521</v>
      </c>
      <c r="H28">
        <v>0.86627325773777453</v>
      </c>
      <c r="I28" s="113">
        <v>0.13372674226222597</v>
      </c>
      <c r="L28" s="1">
        <v>42521</v>
      </c>
      <c r="M28">
        <v>0</v>
      </c>
      <c r="N28">
        <v>1.0000000000000002</v>
      </c>
    </row>
    <row r="29" spans="1:14" x14ac:dyDescent="0.2">
      <c r="A29" s="113">
        <v>42551</v>
      </c>
      <c r="B29">
        <v>1.8901844554371381E-3</v>
      </c>
      <c r="C29">
        <v>0.99810981554456324</v>
      </c>
      <c r="D29">
        <v>0</v>
      </c>
      <c r="G29" s="1">
        <v>42551</v>
      </c>
      <c r="H29">
        <v>0.87287417678040968</v>
      </c>
      <c r="I29" s="113">
        <v>0.1271258232195904</v>
      </c>
      <c r="L29" s="1">
        <v>42551</v>
      </c>
      <c r="M29">
        <v>0</v>
      </c>
      <c r="N29">
        <v>1.0000000000000002</v>
      </c>
    </row>
    <row r="30" spans="1:14" x14ac:dyDescent="0.2">
      <c r="A30" s="113">
        <v>42582</v>
      </c>
      <c r="B30">
        <v>2.0501490563874488E-3</v>
      </c>
      <c r="C30">
        <v>0.9979498509436121</v>
      </c>
      <c r="D30">
        <v>0</v>
      </c>
      <c r="G30" s="1">
        <v>42582</v>
      </c>
      <c r="H30">
        <v>0.8752774828313642</v>
      </c>
      <c r="I30" s="113">
        <v>0.12472251716863529</v>
      </c>
      <c r="L30" s="1">
        <v>42582</v>
      </c>
      <c r="M30">
        <v>0</v>
      </c>
      <c r="N30">
        <v>0.99999999999999956</v>
      </c>
    </row>
    <row r="31" spans="1:14" x14ac:dyDescent="0.2">
      <c r="A31" s="113">
        <v>42613</v>
      </c>
      <c r="B31">
        <v>5.7679191224703334E-4</v>
      </c>
      <c r="C31">
        <v>0.99942320808775298</v>
      </c>
      <c r="D31">
        <v>0</v>
      </c>
      <c r="G31" s="1">
        <v>42613</v>
      </c>
      <c r="H31">
        <v>0.87670735534876476</v>
      </c>
      <c r="I31" s="113">
        <v>0.12329264465123536</v>
      </c>
      <c r="L31" s="1">
        <v>42613</v>
      </c>
      <c r="M31">
        <v>0</v>
      </c>
      <c r="N31">
        <v>1</v>
      </c>
    </row>
    <row r="32" spans="1:14" x14ac:dyDescent="0.2">
      <c r="A32" s="113">
        <v>42643</v>
      </c>
      <c r="B32">
        <v>1.5453056653827811E-3</v>
      </c>
      <c r="C32">
        <v>0.9984546943346172</v>
      </c>
      <c r="D32">
        <v>0</v>
      </c>
      <c r="G32" s="1">
        <v>42643</v>
      </c>
      <c r="H32">
        <v>0.8727100740779784</v>
      </c>
      <c r="I32" s="113">
        <v>0.1272899259220216</v>
      </c>
      <c r="L32" s="1">
        <v>42643</v>
      </c>
      <c r="M32">
        <v>0</v>
      </c>
      <c r="N32">
        <v>1</v>
      </c>
    </row>
    <row r="33" spans="1:14" x14ac:dyDescent="0.2">
      <c r="A33" s="113">
        <v>42674</v>
      </c>
      <c r="B33">
        <v>1.0383677417251773E-3</v>
      </c>
      <c r="C33">
        <v>0.99896163225827483</v>
      </c>
      <c r="D33">
        <v>0</v>
      </c>
      <c r="G33" s="1">
        <v>42674</v>
      </c>
      <c r="H33">
        <v>0.85589500070894631</v>
      </c>
      <c r="I33" s="113">
        <v>0.14410499929105378</v>
      </c>
      <c r="L33" s="1">
        <v>42674</v>
      </c>
      <c r="M33">
        <v>0</v>
      </c>
      <c r="N33">
        <v>1</v>
      </c>
    </row>
    <row r="34" spans="1:14" x14ac:dyDescent="0.2">
      <c r="A34" s="113">
        <v>42704</v>
      </c>
      <c r="B34">
        <v>0</v>
      </c>
      <c r="C34">
        <v>0.99972346836963499</v>
      </c>
      <c r="D34">
        <v>2.7653163036504011E-4</v>
      </c>
      <c r="G34" s="1">
        <v>42704</v>
      </c>
      <c r="H34">
        <v>0.85621218030756552</v>
      </c>
      <c r="I34" s="113">
        <v>0.1437878196924347</v>
      </c>
      <c r="L34" s="1">
        <v>42704</v>
      </c>
      <c r="M34">
        <v>0</v>
      </c>
      <c r="N34">
        <v>1</v>
      </c>
    </row>
    <row r="35" spans="1:14" x14ac:dyDescent="0.2">
      <c r="A35" s="113">
        <v>42735</v>
      </c>
      <c r="B35">
        <v>0</v>
      </c>
      <c r="C35">
        <v>0.99907161106010167</v>
      </c>
      <c r="D35">
        <v>9.2838893989801786E-4</v>
      </c>
      <c r="G35" s="1">
        <v>42735</v>
      </c>
      <c r="H35">
        <v>0.85765172832948355</v>
      </c>
      <c r="I35" s="113">
        <v>0.1423482716705162</v>
      </c>
      <c r="L35" s="1">
        <v>42735</v>
      </c>
      <c r="M35">
        <v>0</v>
      </c>
      <c r="N35">
        <v>0.99999999999999956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X1012"/>
  <sheetViews>
    <sheetView workbookViewId="0">
      <selection sqref="A1:C1"/>
    </sheetView>
  </sheetViews>
  <sheetFormatPr baseColWidth="10" defaultRowHeight="14.25" x14ac:dyDescent="0.2"/>
  <cols>
    <col min="1" max="1" width="11" customWidth="1"/>
    <col min="2" max="2" width="13.75" style="4" customWidth="1"/>
    <col min="3" max="3" width="30.375" customWidth="1"/>
    <col min="6" max="6" width="13.75" customWidth="1"/>
    <col min="7" max="7" width="30.375" customWidth="1"/>
    <col min="10" max="10" width="21.75" style="7" customWidth="1"/>
    <col min="11" max="11" width="30.375" customWidth="1"/>
    <col min="13" max="13" width="14.25" customWidth="1"/>
  </cols>
  <sheetData>
    <row r="1" spans="1:24" ht="15" x14ac:dyDescent="0.25">
      <c r="A1" s="179" t="s">
        <v>4</v>
      </c>
      <c r="B1" s="179"/>
      <c r="C1" s="179"/>
      <c r="D1" s="8"/>
      <c r="E1" s="179" t="s">
        <v>5</v>
      </c>
      <c r="F1" s="179"/>
      <c r="G1" s="179"/>
      <c r="H1" s="8"/>
      <c r="I1" s="179" t="s">
        <v>6</v>
      </c>
      <c r="J1" s="179"/>
      <c r="K1" s="179"/>
      <c r="L1" s="8"/>
      <c r="M1" s="179" t="s">
        <v>12</v>
      </c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</row>
    <row r="2" spans="1:24" ht="15" x14ac:dyDescent="0.25">
      <c r="A2" s="9" t="s">
        <v>7</v>
      </c>
      <c r="B2" s="10" t="s">
        <v>10</v>
      </c>
      <c r="C2" s="9" t="s">
        <v>8</v>
      </c>
      <c r="D2" s="9"/>
      <c r="E2" s="9" t="s">
        <v>9</v>
      </c>
      <c r="F2" s="9" t="s">
        <v>10</v>
      </c>
      <c r="G2" s="9" t="s">
        <v>8</v>
      </c>
      <c r="H2" s="9"/>
      <c r="I2" s="9" t="s">
        <v>11</v>
      </c>
      <c r="J2" s="11" t="s">
        <v>10</v>
      </c>
      <c r="K2" s="9" t="s">
        <v>8</v>
      </c>
      <c r="N2" s="9" t="s">
        <v>31</v>
      </c>
      <c r="O2" s="9" t="s">
        <v>32</v>
      </c>
      <c r="P2" s="9" t="s">
        <v>78</v>
      </c>
      <c r="Q2" s="9" t="s">
        <v>79</v>
      </c>
      <c r="R2" s="9">
        <v>2014</v>
      </c>
      <c r="S2" s="9">
        <v>2015</v>
      </c>
      <c r="T2" s="9">
        <v>2016</v>
      </c>
      <c r="U2" s="9"/>
      <c r="V2" s="9"/>
      <c r="W2" s="9"/>
      <c r="X2" s="9"/>
    </row>
    <row r="3" spans="1:24" ht="15" x14ac:dyDescent="0.25">
      <c r="B3" s="4" t="s">
        <v>86</v>
      </c>
      <c r="C3" t="s">
        <v>8</v>
      </c>
      <c r="F3" t="s">
        <v>86</v>
      </c>
      <c r="G3" t="s">
        <v>8</v>
      </c>
      <c r="J3" s="7" t="s">
        <v>86</v>
      </c>
      <c r="K3" s="7" t="s">
        <v>8</v>
      </c>
      <c r="M3" s="9" t="s">
        <v>13</v>
      </c>
      <c r="N3">
        <v>4.186897239980357E-3</v>
      </c>
      <c r="O3">
        <v>-4.126441842114074E-4</v>
      </c>
      <c r="Q3">
        <v>-7.4442144736547647E-4</v>
      </c>
      <c r="R3">
        <v>-1.3505832223469191E-3</v>
      </c>
      <c r="S3">
        <v>-5.5987213037683482E-3</v>
      </c>
      <c r="T3">
        <v>4.186897239980357E-3</v>
      </c>
    </row>
    <row r="4" spans="1:24" ht="15" x14ac:dyDescent="0.25">
      <c r="A4" s="6">
        <v>42734</v>
      </c>
      <c r="B4" s="4">
        <v>1171.4041</v>
      </c>
      <c r="C4">
        <v>1197.3531460681784</v>
      </c>
      <c r="E4" s="5">
        <v>42705</v>
      </c>
      <c r="F4" s="16">
        <v>1.4409869513608786E-2</v>
      </c>
      <c r="G4" s="16">
        <v>1.7049646543868757E-2</v>
      </c>
      <c r="I4" s="62">
        <v>2016</v>
      </c>
      <c r="J4" s="7">
        <v>6.847043619965909E-2</v>
      </c>
      <c r="K4">
        <v>7.3417053623140216E-2</v>
      </c>
      <c r="L4" s="3"/>
      <c r="M4" s="9" t="s">
        <v>14</v>
      </c>
      <c r="N4">
        <v>0.87517617276913529</v>
      </c>
      <c r="O4">
        <v>0.9165323809985042</v>
      </c>
      <c r="P4" s="3"/>
      <c r="Q4">
        <v>0.88888529380373926</v>
      </c>
      <c r="R4">
        <v>0.80837126913235924</v>
      </c>
      <c r="S4">
        <v>0.97386649334176656</v>
      </c>
      <c r="T4">
        <v>0.87517617276913529</v>
      </c>
    </row>
    <row r="5" spans="1:24" ht="15" x14ac:dyDescent="0.25">
      <c r="A5" s="1">
        <v>42733</v>
      </c>
      <c r="B5" s="4">
        <v>1170.23</v>
      </c>
      <c r="C5">
        <v>1196.6464558883622</v>
      </c>
      <c r="E5" s="5">
        <v>42675</v>
      </c>
      <c r="F5" s="17">
        <v>-8.4249575553529965E-3</v>
      </c>
      <c r="G5" s="17">
        <v>-7.569303339868716E-3</v>
      </c>
      <c r="I5" s="62">
        <v>2015</v>
      </c>
      <c r="J5" s="7">
        <v>5.477068058817669E-2</v>
      </c>
      <c r="K5">
        <v>6.2327456777441226E-2</v>
      </c>
      <c r="M5" s="9" t="s">
        <v>15</v>
      </c>
      <c r="N5">
        <v>5.9168276203749176E-3</v>
      </c>
      <c r="O5">
        <v>6.6458102701713023E-3</v>
      </c>
      <c r="P5" s="3"/>
      <c r="Q5">
        <v>7.7041342118780972E-3</v>
      </c>
      <c r="R5">
        <v>1.0096605498148253E-2</v>
      </c>
      <c r="S5">
        <v>7.3042765624966796E-3</v>
      </c>
      <c r="T5">
        <v>5.9168276203749176E-3</v>
      </c>
    </row>
    <row r="6" spans="1:24" ht="15" x14ac:dyDescent="0.25">
      <c r="A6" s="1">
        <v>42732</v>
      </c>
      <c r="B6" s="4">
        <v>1169.5847000000001</v>
      </c>
      <c r="C6">
        <v>1195.3840990436893</v>
      </c>
      <c r="E6" s="5">
        <v>42644</v>
      </c>
      <c r="F6" s="17">
        <v>-2.5711353146893323E-3</v>
      </c>
      <c r="G6" s="17">
        <v>-4.3504067431443527E-3</v>
      </c>
      <c r="I6" s="62">
        <v>2014</v>
      </c>
      <c r="J6" s="7">
        <v>3.9408300000000063E-2</v>
      </c>
      <c r="K6">
        <v>5.0014659914175752E-2</v>
      </c>
      <c r="M6" s="9" t="s">
        <v>77</v>
      </c>
      <c r="N6">
        <v>0.8055741336835599</v>
      </c>
      <c r="O6">
        <v>0.74306311385141788</v>
      </c>
      <c r="P6" s="3"/>
      <c r="Q6">
        <v>0.6687270693857098</v>
      </c>
      <c r="R6">
        <v>0.49045318280371164</v>
      </c>
      <c r="S6">
        <v>0.68342352145330487</v>
      </c>
      <c r="T6">
        <v>0.8055741336835599</v>
      </c>
    </row>
    <row r="7" spans="1:24" ht="15" x14ac:dyDescent="0.25">
      <c r="A7" s="1">
        <v>42731</v>
      </c>
      <c r="B7" s="4">
        <v>1168.4743000000001</v>
      </c>
      <c r="C7">
        <v>1194.4660475814912</v>
      </c>
      <c r="E7" s="5">
        <v>42614</v>
      </c>
      <c r="F7" s="17">
        <v>6.3505766544253994E-3</v>
      </c>
      <c r="G7" s="17">
        <v>7.0429699840259818E-3</v>
      </c>
      <c r="I7" s="62"/>
      <c r="M7" s="9" t="s">
        <v>16</v>
      </c>
      <c r="N7">
        <v>1.3012374452042339E-2</v>
      </c>
      <c r="O7" s="3">
        <v>1.3019250125897306E-2</v>
      </c>
      <c r="P7" s="3"/>
      <c r="Q7">
        <v>1.3226460438670627E-2</v>
      </c>
      <c r="R7">
        <v>1.3972104507826906E-2</v>
      </c>
      <c r="S7">
        <v>1.3098367277120673E-2</v>
      </c>
      <c r="T7">
        <v>1.3012374452042339E-2</v>
      </c>
    </row>
    <row r="8" spans="1:24" ht="15" x14ac:dyDescent="0.25">
      <c r="A8" s="1">
        <v>42730</v>
      </c>
      <c r="B8" s="4">
        <v>1167.8352</v>
      </c>
      <c r="C8">
        <v>1193.2411338965012</v>
      </c>
      <c r="E8" s="5">
        <v>42583</v>
      </c>
      <c r="F8" s="17">
        <v>8.9277453008114183E-3</v>
      </c>
      <c r="G8" s="17">
        <v>1.0107344836978838E-2</v>
      </c>
      <c r="I8" s="62"/>
      <c r="M8" s="9" t="s">
        <v>17</v>
      </c>
      <c r="N8">
        <v>1.3344853903039666E-2</v>
      </c>
      <c r="O8">
        <v>1.2244780635860871E-2</v>
      </c>
      <c r="P8" s="3"/>
      <c r="Q8">
        <v>1.2168088728242783E-2</v>
      </c>
      <c r="R8">
        <v>1.2104580261657458E-2</v>
      </c>
      <c r="S8">
        <v>1.1118922443061889E-2</v>
      </c>
      <c r="T8">
        <v>1.3344853903039666E-2</v>
      </c>
    </row>
    <row r="9" spans="1:24" x14ac:dyDescent="0.2">
      <c r="A9" s="1">
        <v>42727</v>
      </c>
      <c r="B9" s="4">
        <v>1167.2782999999999</v>
      </c>
      <c r="C9">
        <v>1192.0663445561804</v>
      </c>
      <c r="D9" s="2"/>
      <c r="E9" s="5">
        <v>42552</v>
      </c>
      <c r="F9" s="17">
        <v>4.4641465017807302E-3</v>
      </c>
      <c r="G9" s="17">
        <v>4.5151742857234556E-3</v>
      </c>
      <c r="I9" s="62"/>
      <c r="J9" s="14"/>
    </row>
    <row r="10" spans="1:24" x14ac:dyDescent="0.2">
      <c r="A10" s="1">
        <v>42726</v>
      </c>
      <c r="B10" s="4">
        <v>1166.4740999999999</v>
      </c>
      <c r="C10">
        <v>1191.7021463821293</v>
      </c>
      <c r="E10" s="5">
        <v>42522</v>
      </c>
      <c r="F10" s="17">
        <v>4.3609680333120959E-3</v>
      </c>
      <c r="G10" s="17">
        <v>5.1891655073363907E-3</v>
      </c>
      <c r="I10" s="62"/>
      <c r="K10" s="3"/>
    </row>
    <row r="11" spans="1:24" x14ac:dyDescent="0.2">
      <c r="A11" s="1">
        <v>42725</v>
      </c>
      <c r="B11" s="4">
        <v>1165.8163</v>
      </c>
      <c r="C11">
        <v>1190.5874616298117</v>
      </c>
      <c r="E11" s="5">
        <v>42491</v>
      </c>
      <c r="F11" s="17">
        <v>8.9870947274199864E-3</v>
      </c>
      <c r="G11" s="17">
        <v>8.7650150079672251E-3</v>
      </c>
      <c r="I11" s="62"/>
    </row>
    <row r="12" spans="1:24" x14ac:dyDescent="0.2">
      <c r="A12" s="1">
        <v>42724</v>
      </c>
      <c r="B12" s="4">
        <v>1164.5920000000001</v>
      </c>
      <c r="C12">
        <v>1189.7669411232002</v>
      </c>
      <c r="E12" s="5">
        <v>42461</v>
      </c>
      <c r="F12" s="17">
        <v>4.0375379310733095E-3</v>
      </c>
      <c r="G12" s="17">
        <v>3.5847254047276511E-3</v>
      </c>
      <c r="I12" s="62"/>
    </row>
    <row r="13" spans="1:24" x14ac:dyDescent="0.2">
      <c r="A13" s="1">
        <v>42723</v>
      </c>
      <c r="B13" s="4">
        <v>1163.3425</v>
      </c>
      <c r="C13">
        <v>1188.5233262490508</v>
      </c>
      <c r="E13" s="5">
        <v>42430</v>
      </c>
      <c r="F13" s="17">
        <v>4.3433901633491701E-3</v>
      </c>
      <c r="G13" s="17">
        <v>4.5974199259299908E-3</v>
      </c>
      <c r="I13" s="62"/>
    </row>
    <row r="14" spans="1:24" x14ac:dyDescent="0.2">
      <c r="A14" s="1">
        <v>42720</v>
      </c>
      <c r="B14" s="4">
        <v>1162.2696000000001</v>
      </c>
      <c r="C14">
        <v>1186.8644421456866</v>
      </c>
      <c r="E14" s="5">
        <v>42401</v>
      </c>
      <c r="F14" s="17">
        <v>1.0060847984084242E-2</v>
      </c>
      <c r="G14" s="17">
        <v>1.0118983792628544E-2</v>
      </c>
      <c r="I14" s="62"/>
    </row>
    <row r="15" spans="1:24" x14ac:dyDescent="0.2">
      <c r="A15" s="1">
        <v>42719</v>
      </c>
      <c r="B15" s="4">
        <v>1161.9340999999999</v>
      </c>
      <c r="C15">
        <v>1185.8930936814097</v>
      </c>
      <c r="E15" s="5">
        <v>42370</v>
      </c>
      <c r="F15" s="17">
        <v>1.1678612806605093E-2</v>
      </c>
      <c r="G15" s="17">
        <v>1.2257842232443084E-2</v>
      </c>
      <c r="I15" s="62"/>
    </row>
    <row r="16" spans="1:24" x14ac:dyDescent="0.2">
      <c r="A16" s="1">
        <v>42718</v>
      </c>
      <c r="B16" s="4">
        <v>1160.4115999999999</v>
      </c>
      <c r="C16">
        <v>1185.4383177756577</v>
      </c>
      <c r="E16" s="5">
        <v>42339</v>
      </c>
      <c r="F16" s="17">
        <v>-3.5573687977131785E-3</v>
      </c>
      <c r="G16" s="17">
        <v>-1.8926939725911751E-3</v>
      </c>
      <c r="I16" s="62"/>
    </row>
    <row r="17" spans="1:9" x14ac:dyDescent="0.2">
      <c r="A17" s="1">
        <v>42717</v>
      </c>
      <c r="B17" s="4">
        <v>1160.001</v>
      </c>
      <c r="C17">
        <v>1183.4293151244885</v>
      </c>
      <c r="E17" s="5">
        <v>42309</v>
      </c>
      <c r="F17" s="17">
        <v>-3.8648947629305042E-4</v>
      </c>
      <c r="G17" s="17">
        <v>9.8269271922690749E-4</v>
      </c>
      <c r="I17" s="62"/>
    </row>
    <row r="18" spans="1:9" x14ac:dyDescent="0.2">
      <c r="A18" s="1">
        <v>42716</v>
      </c>
      <c r="B18" s="4">
        <v>1159.8271</v>
      </c>
      <c r="C18">
        <v>1182.8013672889447</v>
      </c>
      <c r="E18" s="5">
        <v>42278</v>
      </c>
      <c r="F18" s="17">
        <v>2.3291096449029602E-4</v>
      </c>
      <c r="G18" s="17">
        <v>9.9882734872069889E-4</v>
      </c>
      <c r="I18" s="62"/>
    </row>
    <row r="19" spans="1:9" x14ac:dyDescent="0.2">
      <c r="A19" s="1">
        <v>42713</v>
      </c>
      <c r="B19" s="4">
        <v>1159.0262</v>
      </c>
      <c r="C19">
        <v>1182.2977657720778</v>
      </c>
      <c r="E19" s="5">
        <v>42248</v>
      </c>
      <c r="F19" s="17">
        <v>-1.4639296907227317E-3</v>
      </c>
      <c r="G19" s="17">
        <v>5.0780187124632725E-4</v>
      </c>
      <c r="I19" s="62"/>
    </row>
    <row r="20" spans="1:9" x14ac:dyDescent="0.2">
      <c r="A20" s="1">
        <v>42712</v>
      </c>
      <c r="B20" s="4">
        <v>1157.6572000000001</v>
      </c>
      <c r="C20">
        <v>1181.5393059408791</v>
      </c>
      <c r="E20" s="5">
        <v>42217</v>
      </c>
      <c r="F20" s="17">
        <v>8.1404386209500412E-3</v>
      </c>
      <c r="G20" s="17">
        <v>8.3326182282623673E-3</v>
      </c>
      <c r="I20" s="62"/>
    </row>
    <row r="21" spans="1:9" x14ac:dyDescent="0.2">
      <c r="A21" s="1">
        <v>42711</v>
      </c>
      <c r="B21" s="4">
        <v>1157.4969000000001</v>
      </c>
      <c r="C21">
        <v>1181.5393059408791</v>
      </c>
      <c r="E21" s="5">
        <v>42186</v>
      </c>
      <c r="F21" s="17">
        <v>1.236432013650135E-2</v>
      </c>
      <c r="G21" s="17">
        <v>1.1223580979124348E-2</v>
      </c>
      <c r="I21" s="62"/>
    </row>
    <row r="22" spans="1:9" x14ac:dyDescent="0.2">
      <c r="A22" s="1">
        <v>42710</v>
      </c>
      <c r="B22" s="4">
        <v>1157.3140000000001</v>
      </c>
      <c r="C22">
        <v>1180.2095460350502</v>
      </c>
      <c r="E22" s="5">
        <v>42156</v>
      </c>
      <c r="F22" s="17">
        <v>7.3827913993380623E-3</v>
      </c>
      <c r="G22" s="17">
        <v>8.0930658952349521E-3</v>
      </c>
      <c r="I22" s="62"/>
    </row>
    <row r="23" spans="1:9" x14ac:dyDescent="0.2">
      <c r="A23" s="1">
        <v>42709</v>
      </c>
      <c r="B23" s="4">
        <v>1156.5612000000001</v>
      </c>
      <c r="C23">
        <v>1179.6149880080347</v>
      </c>
      <c r="E23" s="5">
        <v>42125</v>
      </c>
      <c r="F23" s="17">
        <v>5.6617501840106055E-3</v>
      </c>
      <c r="G23" s="17">
        <v>5.9887028943066412E-3</v>
      </c>
      <c r="I23" s="62"/>
    </row>
    <row r="24" spans="1:9" x14ac:dyDescent="0.2">
      <c r="A24" s="1">
        <v>42706</v>
      </c>
      <c r="B24" s="4">
        <v>1155.6088999999999</v>
      </c>
      <c r="C24">
        <v>1178.4729364960283</v>
      </c>
      <c r="E24" s="5">
        <v>42095</v>
      </c>
      <c r="F24" s="17">
        <v>-4.1391559952591583E-3</v>
      </c>
      <c r="G24" s="17">
        <v>-3.254451315454765E-3</v>
      </c>
      <c r="I24" s="13"/>
    </row>
    <row r="25" spans="1:9" x14ac:dyDescent="0.2">
      <c r="A25" s="1">
        <v>42705</v>
      </c>
      <c r="B25" s="4">
        <v>1155.3320000000001</v>
      </c>
      <c r="C25">
        <v>1177.7627714217938</v>
      </c>
      <c r="E25" s="5">
        <v>42064</v>
      </c>
      <c r="F25" s="17">
        <v>9.3090764650765045E-3</v>
      </c>
      <c r="G25" s="17">
        <v>9.5622276996321087E-3</v>
      </c>
      <c r="I25" s="13"/>
    </row>
    <row r="26" spans="1:9" x14ac:dyDescent="0.2">
      <c r="A26" s="1">
        <v>42704</v>
      </c>
      <c r="B26" s="4">
        <v>1154.7641000000001</v>
      </c>
      <c r="C26">
        <v>1177.2809224574394</v>
      </c>
      <c r="E26" s="5">
        <v>42036</v>
      </c>
      <c r="F26" s="17">
        <v>1.0387100831448226E-2</v>
      </c>
      <c r="G26" s="17">
        <v>1.0346036864013142E-2</v>
      </c>
      <c r="I26" s="13"/>
    </row>
    <row r="27" spans="1:9" x14ac:dyDescent="0.2">
      <c r="A27" s="1">
        <v>42703</v>
      </c>
      <c r="B27" s="4">
        <v>1154.3323</v>
      </c>
      <c r="C27">
        <v>1176.8058752896216</v>
      </c>
      <c r="E27" s="5">
        <v>42005</v>
      </c>
      <c r="F27" s="17">
        <v>9.7033090846012637E-3</v>
      </c>
      <c r="G27" s="17">
        <v>9.8765290458995292E-3</v>
      </c>
      <c r="I27" s="13"/>
    </row>
    <row r="28" spans="1:9" x14ac:dyDescent="0.2">
      <c r="A28" s="1">
        <v>42702</v>
      </c>
      <c r="B28" s="4">
        <v>1154.1415</v>
      </c>
      <c r="C28">
        <v>1176.1350212608329</v>
      </c>
      <c r="E28" s="5">
        <v>41974</v>
      </c>
      <c r="F28" s="17">
        <v>1.2055983456062958E-3</v>
      </c>
      <c r="G28" s="17">
        <v>4.716131370792187E-4</v>
      </c>
      <c r="I28" s="13"/>
    </row>
    <row r="29" spans="1:9" x14ac:dyDescent="0.2">
      <c r="A29" s="1">
        <v>42699</v>
      </c>
      <c r="B29" s="4">
        <v>1153.9114999999999</v>
      </c>
      <c r="C29">
        <v>1175.7762172958796</v>
      </c>
      <c r="E29" s="5">
        <v>41944</v>
      </c>
      <c r="F29" s="17">
        <v>9.5621641317806816E-3</v>
      </c>
      <c r="G29" s="17">
        <v>8.7160089704001464E-3</v>
      </c>
      <c r="I29" s="13"/>
    </row>
    <row r="30" spans="1:9" x14ac:dyDescent="0.2">
      <c r="A30" s="1">
        <v>42698</v>
      </c>
      <c r="B30" s="4">
        <v>1153.6113</v>
      </c>
      <c r="C30">
        <v>1175.7789427502678</v>
      </c>
      <c r="E30" s="5">
        <v>41913</v>
      </c>
      <c r="F30" s="17">
        <v>4.1852584922463798E-4</v>
      </c>
      <c r="G30" s="17">
        <v>5.2775902324309065E-4</v>
      </c>
      <c r="I30" s="13"/>
    </row>
    <row r="31" spans="1:9" x14ac:dyDescent="0.2">
      <c r="A31" s="1">
        <v>42697</v>
      </c>
      <c r="B31" s="4">
        <v>1153.6180999999999</v>
      </c>
      <c r="C31">
        <v>1175.3751063924396</v>
      </c>
      <c r="E31" s="5">
        <v>41883</v>
      </c>
      <c r="F31" s="17">
        <v>-4.8930836582449233E-3</v>
      </c>
      <c r="G31" s="17">
        <v>-4.9777170439091467E-4</v>
      </c>
      <c r="I31" s="13"/>
    </row>
    <row r="32" spans="1:9" x14ac:dyDescent="0.2">
      <c r="A32" s="1">
        <v>42696</v>
      </c>
      <c r="B32" s="4">
        <v>1153.2956999999999</v>
      </c>
      <c r="C32">
        <v>1175.1546280824323</v>
      </c>
      <c r="E32" s="5">
        <v>41852</v>
      </c>
      <c r="F32" s="17">
        <v>1.4764040210657026E-2</v>
      </c>
      <c r="G32" s="17">
        <v>1.2945080999890335E-2</v>
      </c>
      <c r="I32" s="13"/>
    </row>
    <row r="33" spans="1:9" x14ac:dyDescent="0.2">
      <c r="A33" s="1">
        <v>42695</v>
      </c>
      <c r="B33" s="4">
        <v>1153.2473</v>
      </c>
      <c r="C33">
        <v>1174.7477353320794</v>
      </c>
      <c r="E33" s="5">
        <v>41821</v>
      </c>
      <c r="F33" s="17">
        <v>6.5226460357312721E-3</v>
      </c>
      <c r="G33" s="17">
        <v>6.4913442103828878E-3</v>
      </c>
      <c r="I33" s="13"/>
    </row>
    <row r="34" spans="1:9" x14ac:dyDescent="0.2">
      <c r="A34" s="1">
        <v>42692</v>
      </c>
      <c r="B34" s="4">
        <v>1152.3797999999999</v>
      </c>
      <c r="C34">
        <v>1174.4685788409968</v>
      </c>
      <c r="E34" s="5">
        <v>41791</v>
      </c>
      <c r="F34" s="17">
        <v>2.7018703990571158E-3</v>
      </c>
      <c r="G34" s="17">
        <v>2.2036151716202657E-3</v>
      </c>
      <c r="I34" s="13"/>
    </row>
    <row r="35" spans="1:9" x14ac:dyDescent="0.2">
      <c r="A35" s="1">
        <v>42691</v>
      </c>
      <c r="B35" s="4">
        <v>1152.1164000000001</v>
      </c>
      <c r="C35">
        <v>1174.0740860027527</v>
      </c>
      <c r="E35" s="5">
        <v>41760</v>
      </c>
      <c r="F35" s="17">
        <v>7.8103992971090275E-3</v>
      </c>
      <c r="G35" s="17">
        <v>1.6181394699101626E-2</v>
      </c>
      <c r="I35" s="13"/>
    </row>
    <row r="36" spans="1:9" x14ac:dyDescent="0.2">
      <c r="A36" s="1">
        <v>42690</v>
      </c>
      <c r="B36" s="4">
        <v>1152.2038</v>
      </c>
      <c r="C36">
        <v>1173.6252118501004</v>
      </c>
      <c r="E36" s="5">
        <v>41730</v>
      </c>
      <c r="F36" s="17">
        <v>7.8109999999997903E-4</v>
      </c>
      <c r="G36" s="17">
        <v>2.0412986971407587E-3</v>
      </c>
      <c r="I36" s="13"/>
    </row>
    <row r="37" spans="1:9" x14ac:dyDescent="0.2">
      <c r="A37" s="1">
        <v>42689</v>
      </c>
      <c r="B37" s="4">
        <v>1153.4701</v>
      </c>
      <c r="C37">
        <v>1172.9875008833724</v>
      </c>
      <c r="E37" s="5"/>
      <c r="F37" s="17"/>
      <c r="G37" s="17"/>
      <c r="I37" s="13"/>
    </row>
    <row r="38" spans="1:9" x14ac:dyDescent="0.2">
      <c r="A38" s="1">
        <v>42688</v>
      </c>
      <c r="B38" s="4">
        <v>1158.433</v>
      </c>
      <c r="C38">
        <v>1174.2112131707577</v>
      </c>
    </row>
    <row r="39" spans="1:9" x14ac:dyDescent="0.2">
      <c r="A39" s="1">
        <v>42685</v>
      </c>
      <c r="B39" s="4">
        <v>1160.5093999999999</v>
      </c>
      <c r="C39">
        <v>1179.2984519048714</v>
      </c>
    </row>
    <row r="40" spans="1:9" x14ac:dyDescent="0.2">
      <c r="A40" s="1">
        <v>42684</v>
      </c>
      <c r="B40" s="4">
        <v>1162.0391</v>
      </c>
      <c r="C40">
        <v>1182.9143923661461</v>
      </c>
    </row>
    <row r="41" spans="1:9" x14ac:dyDescent="0.2">
      <c r="A41" s="1">
        <v>42683</v>
      </c>
      <c r="B41" s="4">
        <v>1162.6424999999999</v>
      </c>
      <c r="C41">
        <v>1184.9749409358947</v>
      </c>
    </row>
    <row r="42" spans="1:9" x14ac:dyDescent="0.2">
      <c r="A42" s="1">
        <v>42682</v>
      </c>
      <c r="B42" s="4">
        <v>1162.7568000000001</v>
      </c>
      <c r="C42">
        <v>1185.773910086469</v>
      </c>
    </row>
    <row r="43" spans="1:9" x14ac:dyDescent="0.2">
      <c r="A43" s="1">
        <v>42681</v>
      </c>
      <c r="B43" s="4">
        <v>1162.7671</v>
      </c>
      <c r="C43">
        <v>1186.0785018499002</v>
      </c>
    </row>
    <row r="44" spans="1:9" x14ac:dyDescent="0.2">
      <c r="A44" s="1">
        <v>42678</v>
      </c>
      <c r="B44" s="4">
        <v>1162.4664</v>
      </c>
      <c r="C44">
        <v>1185.4511326896084</v>
      </c>
    </row>
    <row r="45" spans="1:9" x14ac:dyDescent="0.2">
      <c r="A45" s="1">
        <v>42677</v>
      </c>
      <c r="B45" s="4">
        <v>1163.1769999999999</v>
      </c>
      <c r="C45">
        <v>1185.3675095522492</v>
      </c>
    </row>
    <row r="46" spans="1:9" x14ac:dyDescent="0.2">
      <c r="A46" s="1">
        <v>42676</v>
      </c>
      <c r="B46" s="4">
        <v>1164.2048</v>
      </c>
      <c r="C46">
        <v>1185.7052178626661</v>
      </c>
    </row>
    <row r="47" spans="1:9" x14ac:dyDescent="0.2">
      <c r="A47" s="1">
        <v>42675</v>
      </c>
      <c r="B47" s="4">
        <v>1164.7149999999999</v>
      </c>
      <c r="C47">
        <v>1186.2600848798736</v>
      </c>
    </row>
    <row r="48" spans="1:9" x14ac:dyDescent="0.2">
      <c r="A48" s="1">
        <v>42674</v>
      </c>
      <c r="B48" s="4">
        <v>1164.5755999999999</v>
      </c>
      <c r="C48">
        <v>1186.2600848798736</v>
      </c>
    </row>
    <row r="49" spans="1:3" x14ac:dyDescent="0.2">
      <c r="A49" s="1">
        <v>42671</v>
      </c>
      <c r="B49" s="4">
        <v>1164.1505</v>
      </c>
      <c r="C49">
        <v>1186.2600848798736</v>
      </c>
    </row>
    <row r="50" spans="1:3" x14ac:dyDescent="0.2">
      <c r="A50" s="1">
        <v>42670</v>
      </c>
      <c r="B50" s="4">
        <v>1164.7919999999999</v>
      </c>
      <c r="C50">
        <v>1186.9253256158502</v>
      </c>
    </row>
    <row r="51" spans="1:3" x14ac:dyDescent="0.2">
      <c r="A51" s="1">
        <v>42669</v>
      </c>
      <c r="B51" s="4">
        <v>1164.6185</v>
      </c>
      <c r="C51">
        <v>1187.5253781582514</v>
      </c>
    </row>
    <row r="52" spans="1:3" x14ac:dyDescent="0.2">
      <c r="A52" s="1">
        <v>42668</v>
      </c>
      <c r="B52" s="4">
        <v>1164.9315999999999</v>
      </c>
      <c r="C52">
        <v>1187.5960106995344</v>
      </c>
    </row>
    <row r="53" spans="1:3" x14ac:dyDescent="0.2">
      <c r="A53" s="1">
        <v>42667</v>
      </c>
      <c r="B53" s="4">
        <v>1164.9419</v>
      </c>
      <c r="C53">
        <v>1188.0094754281652</v>
      </c>
    </row>
    <row r="54" spans="1:3" x14ac:dyDescent="0.2">
      <c r="A54" s="1">
        <v>42664</v>
      </c>
      <c r="B54" s="4">
        <v>1166.3182999999999</v>
      </c>
      <c r="C54">
        <v>1188.4732292955739</v>
      </c>
    </row>
    <row r="55" spans="1:3" x14ac:dyDescent="0.2">
      <c r="A55" s="1">
        <v>42663</v>
      </c>
      <c r="B55" s="4">
        <v>1166.9157</v>
      </c>
      <c r="C55">
        <v>1189.4384530056027</v>
      </c>
    </row>
    <row r="56" spans="1:3" x14ac:dyDescent="0.2">
      <c r="A56" s="1">
        <v>42662</v>
      </c>
      <c r="B56" s="4">
        <v>1167.6445000000001</v>
      </c>
      <c r="C56">
        <v>1190.4922718387897</v>
      </c>
    </row>
    <row r="57" spans="1:3" x14ac:dyDescent="0.2">
      <c r="A57" s="1">
        <v>42661</v>
      </c>
      <c r="B57" s="4">
        <v>1167.5028</v>
      </c>
      <c r="C57">
        <v>1191.2567815055793</v>
      </c>
    </row>
    <row r="58" spans="1:3" x14ac:dyDescent="0.2">
      <c r="A58" s="1">
        <v>42660</v>
      </c>
      <c r="B58" s="4">
        <v>1168.2598</v>
      </c>
      <c r="C58">
        <v>1191.8881759722021</v>
      </c>
    </row>
    <row r="59" spans="1:3" x14ac:dyDescent="0.2">
      <c r="A59" s="1">
        <v>42657</v>
      </c>
      <c r="B59" s="4">
        <v>1168.1251999999999</v>
      </c>
      <c r="C59">
        <v>1192.0091555682507</v>
      </c>
    </row>
    <row r="60" spans="1:3" x14ac:dyDescent="0.2">
      <c r="A60" s="1">
        <v>42656</v>
      </c>
      <c r="B60" s="4">
        <v>1168.8267000000001</v>
      </c>
      <c r="C60">
        <v>1192.4701435620427</v>
      </c>
    </row>
    <row r="61" spans="1:3" x14ac:dyDescent="0.2">
      <c r="A61" s="1">
        <v>42655</v>
      </c>
      <c r="B61" s="4">
        <v>1169.106</v>
      </c>
      <c r="C61">
        <v>1192.7441801476084</v>
      </c>
    </row>
    <row r="62" spans="1:3" x14ac:dyDescent="0.2">
      <c r="A62" s="1">
        <v>42654</v>
      </c>
      <c r="B62" s="4">
        <v>1169.5042000000001</v>
      </c>
      <c r="C62">
        <v>1192.9852848099649</v>
      </c>
    </row>
    <row r="63" spans="1:3" x14ac:dyDescent="0.2">
      <c r="A63" s="1">
        <v>42653</v>
      </c>
      <c r="B63" s="4">
        <v>1170.0034000000001</v>
      </c>
      <c r="C63">
        <v>1193.2535819312204</v>
      </c>
    </row>
    <row r="64" spans="1:3" x14ac:dyDescent="0.2">
      <c r="A64" s="1">
        <v>42650</v>
      </c>
      <c r="B64" s="4">
        <v>1169.7357</v>
      </c>
      <c r="C64">
        <v>1193.2535819312204</v>
      </c>
    </row>
    <row r="65" spans="1:3" x14ac:dyDescent="0.2">
      <c r="A65" s="1">
        <v>42649</v>
      </c>
      <c r="B65" s="4">
        <v>1169.0437999999999</v>
      </c>
      <c r="C65">
        <v>1194.118024587747</v>
      </c>
    </row>
    <row r="66" spans="1:3" x14ac:dyDescent="0.2">
      <c r="A66" s="1">
        <v>42648</v>
      </c>
      <c r="B66" s="4">
        <v>1168.6727000000001</v>
      </c>
      <c r="C66">
        <v>1193.2825314575093</v>
      </c>
    </row>
    <row r="67" spans="1:3" x14ac:dyDescent="0.2">
      <c r="A67" s="1">
        <v>42647</v>
      </c>
      <c r="B67" s="4">
        <v>1168.1641999999999</v>
      </c>
      <c r="C67">
        <v>1192.429769562759</v>
      </c>
    </row>
    <row r="68" spans="1:3" x14ac:dyDescent="0.2">
      <c r="A68" s="1">
        <v>42646</v>
      </c>
      <c r="B68" s="4">
        <v>1167.7892999999999</v>
      </c>
      <c r="C68">
        <v>1191.8363203007143</v>
      </c>
    </row>
    <row r="69" spans="1:3" x14ac:dyDescent="0.2">
      <c r="A69" s="1">
        <v>42643</v>
      </c>
      <c r="B69" s="4">
        <v>1167.5776000000001</v>
      </c>
      <c r="C69">
        <v>1191.443348055328</v>
      </c>
    </row>
    <row r="70" spans="1:3" x14ac:dyDescent="0.2">
      <c r="A70" s="1">
        <v>42642</v>
      </c>
      <c r="B70" s="4">
        <v>1167.1808000000001</v>
      </c>
      <c r="C70">
        <v>1191.4817782822665</v>
      </c>
    </row>
    <row r="71" spans="1:3" x14ac:dyDescent="0.2">
      <c r="A71" s="1">
        <v>42641</v>
      </c>
      <c r="B71" s="4">
        <v>1166.6093000000001</v>
      </c>
      <c r="C71">
        <v>1190.9443982780667</v>
      </c>
    </row>
    <row r="72" spans="1:3" x14ac:dyDescent="0.2">
      <c r="A72" s="1">
        <v>42640</v>
      </c>
      <c r="B72" s="4">
        <v>1165.9540999999999</v>
      </c>
      <c r="C72">
        <v>1190.3219216826299</v>
      </c>
    </row>
    <row r="73" spans="1:3" x14ac:dyDescent="0.2">
      <c r="A73" s="1">
        <v>42639</v>
      </c>
      <c r="B73" s="4">
        <v>1165.5442</v>
      </c>
      <c r="C73">
        <v>1189.4933816209914</v>
      </c>
    </row>
    <row r="74" spans="1:3" x14ac:dyDescent="0.2">
      <c r="A74" s="1">
        <v>42636</v>
      </c>
      <c r="B74" s="4">
        <v>1165.2104999999999</v>
      </c>
      <c r="C74">
        <v>1188.8349665165679</v>
      </c>
    </row>
    <row r="75" spans="1:3" x14ac:dyDescent="0.2">
      <c r="A75" s="1">
        <v>42635</v>
      </c>
      <c r="B75" s="4">
        <v>1164.6821</v>
      </c>
      <c r="C75">
        <v>1188.4993689892422</v>
      </c>
    </row>
    <row r="76" spans="1:3" x14ac:dyDescent="0.2">
      <c r="A76" s="1">
        <v>42634</v>
      </c>
      <c r="B76" s="4">
        <v>1164.2665999999999</v>
      </c>
      <c r="C76">
        <v>1187.7359215163622</v>
      </c>
    </row>
    <row r="77" spans="1:3" x14ac:dyDescent="0.2">
      <c r="A77" s="1">
        <v>42633</v>
      </c>
      <c r="B77" s="4">
        <v>1163.702</v>
      </c>
      <c r="C77">
        <v>1187.4463616580701</v>
      </c>
    </row>
    <row r="78" spans="1:3" x14ac:dyDescent="0.2">
      <c r="A78" s="1">
        <v>42632</v>
      </c>
      <c r="B78" s="4">
        <v>1163.5622000000001</v>
      </c>
      <c r="C78">
        <v>1186.7459947318073</v>
      </c>
    </row>
    <row r="79" spans="1:3" x14ac:dyDescent="0.2">
      <c r="A79" s="1">
        <v>42629</v>
      </c>
      <c r="B79" s="4">
        <v>1163.3411000000001</v>
      </c>
      <c r="C79">
        <v>1186.7459947318073</v>
      </c>
    </row>
    <row r="80" spans="1:3" x14ac:dyDescent="0.2">
      <c r="A80" s="1">
        <v>42628</v>
      </c>
      <c r="B80" s="4">
        <v>1163.1539</v>
      </c>
      <c r="C80">
        <v>1186.6009119828552</v>
      </c>
    </row>
    <row r="81" spans="1:3" x14ac:dyDescent="0.2">
      <c r="A81" s="1">
        <v>42627</v>
      </c>
      <c r="B81" s="4">
        <v>1162.8366000000001</v>
      </c>
      <c r="C81">
        <v>1186.4513403768497</v>
      </c>
    </row>
    <row r="82" spans="1:3" x14ac:dyDescent="0.2">
      <c r="A82" s="1">
        <v>42626</v>
      </c>
      <c r="B82" s="4">
        <v>1162.7122999999999</v>
      </c>
      <c r="C82">
        <v>1186.3916399125817</v>
      </c>
    </row>
    <row r="83" spans="1:3" x14ac:dyDescent="0.2">
      <c r="A83" s="1">
        <v>42625</v>
      </c>
      <c r="B83" s="4">
        <v>1162.6744000000001</v>
      </c>
      <c r="C83">
        <v>1186.1431570852189</v>
      </c>
    </row>
    <row r="84" spans="1:3" x14ac:dyDescent="0.2">
      <c r="A84" s="1">
        <v>42622</v>
      </c>
      <c r="B84" s="4">
        <v>1162.8300999999999</v>
      </c>
      <c r="C84">
        <v>1185.8920773387299</v>
      </c>
    </row>
    <row r="85" spans="1:3" x14ac:dyDescent="0.2">
      <c r="A85" s="1">
        <v>42621</v>
      </c>
      <c r="B85" s="4">
        <v>1162.3929000000001</v>
      </c>
      <c r="C85">
        <v>1185.6566423932516</v>
      </c>
    </row>
    <row r="86" spans="1:3" x14ac:dyDescent="0.2">
      <c r="A86" s="1">
        <v>42620</v>
      </c>
      <c r="B86" s="4">
        <v>1161.9745</v>
      </c>
      <c r="C86">
        <v>1185.3384651533238</v>
      </c>
    </row>
    <row r="87" spans="1:3" x14ac:dyDescent="0.2">
      <c r="A87" s="1">
        <v>42619</v>
      </c>
      <c r="B87" s="4">
        <v>1161.6991</v>
      </c>
      <c r="C87">
        <v>1184.7114006553779</v>
      </c>
    </row>
    <row r="88" spans="1:3" x14ac:dyDescent="0.2">
      <c r="A88" s="1">
        <v>42618</v>
      </c>
      <c r="B88" s="4">
        <v>1161.4998000000001</v>
      </c>
      <c r="C88">
        <v>1184.1927188244686</v>
      </c>
    </row>
    <row r="89" spans="1:3" x14ac:dyDescent="0.2">
      <c r="A89" s="1">
        <v>42615</v>
      </c>
      <c r="B89" s="4">
        <v>1160.9728</v>
      </c>
      <c r="C89">
        <v>1183.5836437386811</v>
      </c>
    </row>
    <row r="90" spans="1:3" x14ac:dyDescent="0.2">
      <c r="A90" s="1">
        <v>42614</v>
      </c>
      <c r="B90" s="4">
        <v>1160.4844000000001</v>
      </c>
      <c r="C90">
        <v>1183.358630056385</v>
      </c>
    </row>
    <row r="91" spans="1:3" x14ac:dyDescent="0.2">
      <c r="A91" s="1">
        <v>42613</v>
      </c>
      <c r="B91" s="4">
        <v>1160.2095999999999</v>
      </c>
      <c r="C91">
        <v>1183.1107346633153</v>
      </c>
    </row>
    <row r="92" spans="1:3" x14ac:dyDescent="0.2">
      <c r="A92" s="1">
        <v>42612</v>
      </c>
      <c r="B92" s="4">
        <v>1159.6138000000001</v>
      </c>
      <c r="C92">
        <v>1182.7732397857358</v>
      </c>
    </row>
    <row r="93" spans="1:3" x14ac:dyDescent="0.2">
      <c r="A93" s="1">
        <v>42611</v>
      </c>
      <c r="B93" s="4">
        <v>1158.9881</v>
      </c>
      <c r="C93">
        <v>1182.3387243328846</v>
      </c>
    </row>
    <row r="94" spans="1:3" x14ac:dyDescent="0.2">
      <c r="A94" s="1">
        <v>42608</v>
      </c>
      <c r="B94" s="4">
        <v>1158.3792000000001</v>
      </c>
      <c r="C94">
        <v>1181.5925637905418</v>
      </c>
    </row>
    <row r="95" spans="1:3" x14ac:dyDescent="0.2">
      <c r="A95" s="1">
        <v>42607</v>
      </c>
      <c r="B95" s="4">
        <v>1157.7715000000001</v>
      </c>
      <c r="C95">
        <v>1181.2054682244982</v>
      </c>
    </row>
    <row r="96" spans="1:3" x14ac:dyDescent="0.2">
      <c r="A96" s="1">
        <v>42606</v>
      </c>
      <c r="B96" s="4">
        <v>1157.4937</v>
      </c>
      <c r="C96">
        <v>1180.7112241911314</v>
      </c>
    </row>
    <row r="97" spans="1:3" x14ac:dyDescent="0.2">
      <c r="A97" s="1">
        <v>42605</v>
      </c>
      <c r="B97" s="4">
        <v>1157.1971000000001</v>
      </c>
      <c r="C97">
        <v>1180.2346188824611</v>
      </c>
    </row>
    <row r="98" spans="1:3" x14ac:dyDescent="0.2">
      <c r="A98" s="1">
        <v>42604</v>
      </c>
      <c r="B98" s="4">
        <v>1156.9815000000001</v>
      </c>
      <c r="C98">
        <v>1179.9403789947548</v>
      </c>
    </row>
    <row r="99" spans="1:3" x14ac:dyDescent="0.2">
      <c r="A99" s="1">
        <v>42601</v>
      </c>
      <c r="B99" s="4">
        <v>1156.6285</v>
      </c>
      <c r="C99">
        <v>1179.4694403214112</v>
      </c>
    </row>
    <row r="100" spans="1:3" x14ac:dyDescent="0.2">
      <c r="A100" s="1">
        <v>42600</v>
      </c>
      <c r="B100" s="4">
        <v>1156.4866</v>
      </c>
      <c r="C100">
        <v>1179.2700195993416</v>
      </c>
    </row>
    <row r="101" spans="1:3" x14ac:dyDescent="0.2">
      <c r="A101" s="1">
        <v>42599</v>
      </c>
      <c r="B101" s="4">
        <v>1156.1116</v>
      </c>
      <c r="C101">
        <v>1179.0590693652498</v>
      </c>
    </row>
    <row r="102" spans="1:3" x14ac:dyDescent="0.2">
      <c r="A102" s="1">
        <v>42598</v>
      </c>
      <c r="B102" s="4">
        <v>1155.289</v>
      </c>
      <c r="C102">
        <v>1178.5392463984886</v>
      </c>
    </row>
    <row r="103" spans="1:3" x14ac:dyDescent="0.2">
      <c r="A103" s="1">
        <v>42597</v>
      </c>
      <c r="B103" s="4">
        <v>1154.0708999999999</v>
      </c>
      <c r="C103">
        <v>1177.1410823701683</v>
      </c>
    </row>
    <row r="104" spans="1:3" x14ac:dyDescent="0.2">
      <c r="A104" s="1">
        <v>42594</v>
      </c>
      <c r="B104" s="4">
        <v>1153.6570999999999</v>
      </c>
      <c r="C104">
        <v>1177.1410823701683</v>
      </c>
    </row>
    <row r="105" spans="1:3" x14ac:dyDescent="0.2">
      <c r="A105" s="1">
        <v>42593</v>
      </c>
      <c r="B105" s="4">
        <v>1152.9703</v>
      </c>
      <c r="C105">
        <v>1175.9344673384669</v>
      </c>
    </row>
    <row r="106" spans="1:3" x14ac:dyDescent="0.2">
      <c r="A106" s="1">
        <v>42592</v>
      </c>
      <c r="B106" s="4">
        <v>1152.5474999999999</v>
      </c>
      <c r="C106">
        <v>1175.1323494015385</v>
      </c>
    </row>
    <row r="107" spans="1:3" x14ac:dyDescent="0.2">
      <c r="A107" s="1">
        <v>42591</v>
      </c>
      <c r="B107" s="4">
        <v>1152.223</v>
      </c>
      <c r="C107">
        <v>1174.5614304069845</v>
      </c>
    </row>
    <row r="108" spans="1:3" x14ac:dyDescent="0.2">
      <c r="A108" s="1">
        <v>42590</v>
      </c>
      <c r="B108" s="4">
        <v>1151.8097</v>
      </c>
      <c r="C108">
        <v>1174.0947880638951</v>
      </c>
    </row>
    <row r="109" spans="1:3" x14ac:dyDescent="0.2">
      <c r="A109" s="1">
        <v>42587</v>
      </c>
      <c r="B109" s="4">
        <v>1151.2340999999999</v>
      </c>
      <c r="C109">
        <v>1173.1727136626282</v>
      </c>
    </row>
    <row r="110" spans="1:3" x14ac:dyDescent="0.2">
      <c r="A110" s="1">
        <v>42586</v>
      </c>
      <c r="B110" s="4">
        <v>1151.2072000000001</v>
      </c>
      <c r="C110">
        <v>1172.9932242460609</v>
      </c>
    </row>
    <row r="111" spans="1:3" x14ac:dyDescent="0.2">
      <c r="A111" s="1">
        <v>42585</v>
      </c>
      <c r="B111" s="4">
        <v>1150.8918000000001</v>
      </c>
      <c r="C111">
        <v>1172.6048866748197</v>
      </c>
    </row>
    <row r="112" spans="1:3" x14ac:dyDescent="0.2">
      <c r="A112" s="1">
        <v>42584</v>
      </c>
      <c r="B112" s="4">
        <v>1150.6131</v>
      </c>
      <c r="C112">
        <v>1172.3229569409532</v>
      </c>
    </row>
    <row r="113" spans="1:3" x14ac:dyDescent="0.2">
      <c r="A113" s="1">
        <v>42583</v>
      </c>
      <c r="B113" s="4">
        <v>1150.1718000000001</v>
      </c>
      <c r="C113">
        <v>1172.0403050103641</v>
      </c>
    </row>
    <row r="114" spans="1:3" x14ac:dyDescent="0.2">
      <c r="A114" s="1">
        <v>42580</v>
      </c>
      <c r="B114" s="4">
        <v>1149.9431999999999</v>
      </c>
      <c r="C114">
        <v>1171.272281813036</v>
      </c>
    </row>
    <row r="115" spans="1:3" x14ac:dyDescent="0.2">
      <c r="A115" s="1">
        <v>42579</v>
      </c>
      <c r="B115" s="4">
        <v>1149.9784</v>
      </c>
      <c r="C115">
        <v>1171.2724031738612</v>
      </c>
    </row>
    <row r="116" spans="1:3" x14ac:dyDescent="0.2">
      <c r="A116" s="1">
        <v>42578</v>
      </c>
      <c r="B116" s="4">
        <v>1150.4487999999999</v>
      </c>
      <c r="C116">
        <v>1171.2982839606098</v>
      </c>
    </row>
    <row r="117" spans="1:3" x14ac:dyDescent="0.2">
      <c r="A117" s="1">
        <v>42577</v>
      </c>
      <c r="B117" s="4">
        <v>1150.748</v>
      </c>
      <c r="C117">
        <v>1171.701750618008</v>
      </c>
    </row>
    <row r="118" spans="1:3" x14ac:dyDescent="0.2">
      <c r="A118" s="1">
        <v>42576</v>
      </c>
      <c r="B118" s="4">
        <v>1150.8523</v>
      </c>
      <c r="C118">
        <v>1172.0531619580775</v>
      </c>
    </row>
    <row r="119" spans="1:3" x14ac:dyDescent="0.2">
      <c r="A119" s="1">
        <v>42573</v>
      </c>
      <c r="B119" s="4">
        <v>1150.5868</v>
      </c>
      <c r="C119">
        <v>1171.757968758551</v>
      </c>
    </row>
    <row r="120" spans="1:3" x14ac:dyDescent="0.2">
      <c r="A120" s="1">
        <v>42572</v>
      </c>
      <c r="B120" s="4">
        <v>1150.5539000000001</v>
      </c>
      <c r="C120">
        <v>1171.8934409071169</v>
      </c>
    </row>
    <row r="121" spans="1:3" x14ac:dyDescent="0.2">
      <c r="A121" s="1">
        <v>42571</v>
      </c>
      <c r="B121" s="4">
        <v>1150.1315999999999</v>
      </c>
      <c r="C121">
        <v>1171.866509809551</v>
      </c>
    </row>
    <row r="122" spans="1:3" x14ac:dyDescent="0.2">
      <c r="A122" s="1">
        <v>42570</v>
      </c>
      <c r="B122" s="4">
        <v>1150.0344</v>
      </c>
      <c r="C122">
        <v>1171.5680265693186</v>
      </c>
    </row>
    <row r="123" spans="1:3" x14ac:dyDescent="0.2">
      <c r="A123" s="1">
        <v>42569</v>
      </c>
      <c r="B123" s="4">
        <v>1149.8733999999999</v>
      </c>
      <c r="C123">
        <v>1171.5261577898143</v>
      </c>
    </row>
    <row r="124" spans="1:3" x14ac:dyDescent="0.2">
      <c r="A124" s="1">
        <v>42566</v>
      </c>
      <c r="B124" s="4">
        <v>1149.213</v>
      </c>
      <c r="C124">
        <v>1170.8474758138977</v>
      </c>
    </row>
    <row r="125" spans="1:3" x14ac:dyDescent="0.2">
      <c r="A125" s="1">
        <v>42565</v>
      </c>
      <c r="B125" s="4">
        <v>1148.9365</v>
      </c>
      <c r="C125">
        <v>1170.659808104263</v>
      </c>
    </row>
    <row r="126" spans="1:3" x14ac:dyDescent="0.2">
      <c r="A126" s="1">
        <v>42564</v>
      </c>
      <c r="B126" s="4">
        <v>1148.6364000000001</v>
      </c>
      <c r="C126">
        <v>1170.3934272522199</v>
      </c>
    </row>
    <row r="127" spans="1:3" x14ac:dyDescent="0.2">
      <c r="A127" s="1">
        <v>42563</v>
      </c>
      <c r="B127" s="4">
        <v>1148.3732</v>
      </c>
      <c r="C127">
        <v>1169.9932435827038</v>
      </c>
    </row>
    <row r="128" spans="1:3" x14ac:dyDescent="0.2">
      <c r="A128" s="1">
        <v>42562</v>
      </c>
      <c r="B128" s="4">
        <v>1147.9521999999999</v>
      </c>
      <c r="C128">
        <v>1169.7271150078593</v>
      </c>
    </row>
    <row r="129" spans="1:3" x14ac:dyDescent="0.2">
      <c r="A129" s="1">
        <v>42559</v>
      </c>
      <c r="B129" s="4">
        <v>1146.8326999999999</v>
      </c>
      <c r="C129">
        <v>1168.9155050740089</v>
      </c>
    </row>
    <row r="130" spans="1:3" x14ac:dyDescent="0.2">
      <c r="A130" s="1">
        <v>42558</v>
      </c>
      <c r="B130" s="4">
        <v>1146.9366</v>
      </c>
      <c r="C130">
        <v>1168.1627155713622</v>
      </c>
    </row>
    <row r="131" spans="1:3" x14ac:dyDescent="0.2">
      <c r="A131" s="1">
        <v>42557</v>
      </c>
      <c r="B131" s="4">
        <v>1146.5513000000001</v>
      </c>
      <c r="C131">
        <v>1167.7397634944261</v>
      </c>
    </row>
    <row r="132" spans="1:3" x14ac:dyDescent="0.2">
      <c r="A132" s="1">
        <v>42556</v>
      </c>
      <c r="B132" s="4">
        <v>1146.2665999999999</v>
      </c>
      <c r="C132">
        <v>1167.3864841167083</v>
      </c>
    </row>
    <row r="133" spans="1:3" x14ac:dyDescent="0.2">
      <c r="A133" s="1">
        <v>42555</v>
      </c>
      <c r="B133" s="4">
        <v>1145.9423999999999</v>
      </c>
      <c r="C133">
        <v>1167.0096467092121</v>
      </c>
    </row>
    <row r="134" spans="1:3" x14ac:dyDescent="0.2">
      <c r="A134" s="1">
        <v>42552</v>
      </c>
      <c r="B134" s="4">
        <v>1145.3233</v>
      </c>
      <c r="C134">
        <v>1166.4121120667114</v>
      </c>
    </row>
    <row r="135" spans="1:3" x14ac:dyDescent="0.2">
      <c r="A135" s="1">
        <v>42551</v>
      </c>
      <c r="B135" s="4">
        <v>1144.8325</v>
      </c>
      <c r="C135">
        <v>1166.0075544860613</v>
      </c>
    </row>
    <row r="136" spans="1:3" x14ac:dyDescent="0.2">
      <c r="A136" s="1">
        <v>42550</v>
      </c>
      <c r="B136" s="4">
        <v>1144.3007</v>
      </c>
      <c r="C136">
        <v>1165.5545702748682</v>
      </c>
    </row>
    <row r="137" spans="1:3" x14ac:dyDescent="0.2">
      <c r="A137" s="1">
        <v>42549</v>
      </c>
      <c r="B137" s="4">
        <v>1144.0895</v>
      </c>
      <c r="C137">
        <v>1165.1150249533187</v>
      </c>
    </row>
    <row r="138" spans="1:3" x14ac:dyDescent="0.2">
      <c r="A138" s="1">
        <v>42548</v>
      </c>
      <c r="B138" s="4">
        <v>1143.8715</v>
      </c>
      <c r="C138">
        <v>1164.482323512108</v>
      </c>
    </row>
    <row r="139" spans="1:3" x14ac:dyDescent="0.2">
      <c r="A139" s="1">
        <v>42545</v>
      </c>
      <c r="B139" s="4">
        <v>1143.4449999999999</v>
      </c>
      <c r="C139">
        <v>1164.482323512108</v>
      </c>
    </row>
    <row r="140" spans="1:3" x14ac:dyDescent="0.2">
      <c r="A140" s="1">
        <v>42544</v>
      </c>
      <c r="B140" s="4">
        <v>1143.4002</v>
      </c>
      <c r="C140">
        <v>1164.2188277106584</v>
      </c>
    </row>
    <row r="141" spans="1:3" x14ac:dyDescent="0.2">
      <c r="A141" s="1">
        <v>42543</v>
      </c>
      <c r="B141" s="4">
        <v>1143.1947</v>
      </c>
      <c r="C141">
        <v>1163.9792725562143</v>
      </c>
    </row>
    <row r="142" spans="1:3" x14ac:dyDescent="0.2">
      <c r="A142" s="1">
        <v>42542</v>
      </c>
      <c r="B142" s="4">
        <v>1143.2598</v>
      </c>
      <c r="C142">
        <v>1163.6349998944086</v>
      </c>
    </row>
    <row r="143" spans="1:3" x14ac:dyDescent="0.2">
      <c r="A143" s="1">
        <v>42541</v>
      </c>
      <c r="B143" s="4">
        <v>1143.1654000000001</v>
      </c>
      <c r="C143">
        <v>1163.6279883759757</v>
      </c>
    </row>
    <row r="144" spans="1:3" x14ac:dyDescent="0.2">
      <c r="A144" s="1">
        <v>42538</v>
      </c>
      <c r="B144" s="4">
        <v>1142.8922</v>
      </c>
      <c r="C144">
        <v>1163.2765678938194</v>
      </c>
    </row>
    <row r="145" spans="1:3" x14ac:dyDescent="0.2">
      <c r="A145" s="1">
        <v>42537</v>
      </c>
      <c r="B145" s="4">
        <v>1142.7168999999999</v>
      </c>
      <c r="C145">
        <v>1163.3249779691648</v>
      </c>
    </row>
    <row r="146" spans="1:3" x14ac:dyDescent="0.2">
      <c r="A146" s="1">
        <v>42536</v>
      </c>
      <c r="B146" s="4">
        <v>1142.6253999999999</v>
      </c>
      <c r="C146">
        <v>1163.0835593249717</v>
      </c>
    </row>
    <row r="147" spans="1:3" x14ac:dyDescent="0.2">
      <c r="A147" s="1">
        <v>42535</v>
      </c>
      <c r="B147" s="4">
        <v>1142.6063999999999</v>
      </c>
      <c r="C147">
        <v>1162.9246597841588</v>
      </c>
    </row>
    <row r="148" spans="1:3" x14ac:dyDescent="0.2">
      <c r="A148" s="1">
        <v>42534</v>
      </c>
      <c r="B148" s="4">
        <v>1142.4512999999999</v>
      </c>
      <c r="C148">
        <v>1162.8748935794429</v>
      </c>
    </row>
    <row r="149" spans="1:3" x14ac:dyDescent="0.2">
      <c r="A149" s="1">
        <v>42531</v>
      </c>
      <c r="B149" s="4">
        <v>1142.0364</v>
      </c>
      <c r="C149">
        <v>1162.4137472543007</v>
      </c>
    </row>
    <row r="150" spans="1:3" x14ac:dyDescent="0.2">
      <c r="A150" s="1">
        <v>42530</v>
      </c>
      <c r="B150" s="4">
        <v>1142.0623000000001</v>
      </c>
      <c r="C150">
        <v>1162.5187079757368</v>
      </c>
    </row>
    <row r="151" spans="1:3" x14ac:dyDescent="0.2">
      <c r="A151" s="1">
        <v>42529</v>
      </c>
      <c r="B151" s="4">
        <v>1142.0813000000001</v>
      </c>
      <c r="C151">
        <v>1162.4964638631825</v>
      </c>
    </row>
    <row r="152" spans="1:3" x14ac:dyDescent="0.2">
      <c r="A152" s="1">
        <v>42528</v>
      </c>
      <c r="B152" s="4">
        <v>1141.6224999999999</v>
      </c>
      <c r="C152">
        <v>1162.5397245536026</v>
      </c>
    </row>
    <row r="153" spans="1:3" x14ac:dyDescent="0.2">
      <c r="A153" s="1">
        <v>42527</v>
      </c>
      <c r="B153" s="4">
        <v>1141.0975000000001</v>
      </c>
      <c r="C153">
        <v>1162.0421602726815</v>
      </c>
    </row>
    <row r="154" spans="1:3" x14ac:dyDescent="0.2">
      <c r="A154" s="1">
        <v>42524</v>
      </c>
      <c r="B154" s="4">
        <v>1140.9159</v>
      </c>
      <c r="C154">
        <v>1161.2080407815122</v>
      </c>
    </row>
    <row r="155" spans="1:3" x14ac:dyDescent="0.2">
      <c r="A155" s="1">
        <v>42523</v>
      </c>
      <c r="B155" s="4">
        <v>1140.46</v>
      </c>
      <c r="C155">
        <v>1160.9017366793166</v>
      </c>
    </row>
    <row r="156" spans="1:3" x14ac:dyDescent="0.2">
      <c r="A156" s="1">
        <v>42522</v>
      </c>
      <c r="B156" s="4">
        <v>1140.0219999999999</v>
      </c>
      <c r="C156">
        <v>1160.4885820339789</v>
      </c>
    </row>
    <row r="157" spans="1:3" x14ac:dyDescent="0.2">
      <c r="A157" s="1">
        <v>42521</v>
      </c>
      <c r="B157" s="4">
        <v>1139.8616</v>
      </c>
      <c r="C157">
        <v>1159.9881838136976</v>
      </c>
    </row>
    <row r="158" spans="1:3" x14ac:dyDescent="0.2">
      <c r="A158" s="1">
        <v>42520</v>
      </c>
      <c r="B158" s="4">
        <v>1139.4953</v>
      </c>
      <c r="C158">
        <v>1159.9014304183136</v>
      </c>
    </row>
    <row r="159" spans="1:3" x14ac:dyDescent="0.2">
      <c r="A159" s="1">
        <v>42517</v>
      </c>
      <c r="B159" s="4">
        <v>1138.5539000000001</v>
      </c>
      <c r="C159">
        <v>1159.3073778459875</v>
      </c>
    </row>
    <row r="160" spans="1:3" x14ac:dyDescent="0.2">
      <c r="A160" s="1">
        <v>42516</v>
      </c>
      <c r="B160" s="4">
        <v>1138.1068</v>
      </c>
      <c r="C160">
        <v>1158.9940088446488</v>
      </c>
    </row>
    <row r="161" spans="1:3" x14ac:dyDescent="0.2">
      <c r="A161" s="1">
        <v>42515</v>
      </c>
      <c r="B161" s="4">
        <v>1137.4360999999999</v>
      </c>
      <c r="C161">
        <v>1158.5806234085974</v>
      </c>
    </row>
    <row r="162" spans="1:3" x14ac:dyDescent="0.2">
      <c r="A162" s="1">
        <v>42514</v>
      </c>
      <c r="B162" s="4">
        <v>1137.1197</v>
      </c>
      <c r="C162">
        <v>1158.1757917369446</v>
      </c>
    </row>
    <row r="163" spans="1:3" x14ac:dyDescent="0.2">
      <c r="A163" s="1">
        <v>42513</v>
      </c>
      <c r="B163" s="4">
        <v>1136.7756999999999</v>
      </c>
      <c r="C163">
        <v>1157.7499589071786</v>
      </c>
    </row>
    <row r="164" spans="1:3" x14ac:dyDescent="0.2">
      <c r="A164" s="1">
        <v>42510</v>
      </c>
      <c r="B164" s="4">
        <v>1136.0146999999999</v>
      </c>
      <c r="C164">
        <v>1156.893022855312</v>
      </c>
    </row>
    <row r="165" spans="1:3" x14ac:dyDescent="0.2">
      <c r="A165" s="1">
        <v>42509</v>
      </c>
      <c r="B165" s="4">
        <v>1135.5409999999999</v>
      </c>
      <c r="C165">
        <v>1156.527676370755</v>
      </c>
    </row>
    <row r="166" spans="1:3" x14ac:dyDescent="0.2">
      <c r="A166" s="1">
        <v>42508</v>
      </c>
      <c r="B166" s="4">
        <v>1135.0645999999999</v>
      </c>
      <c r="C166">
        <v>1156.1343597936284</v>
      </c>
    </row>
    <row r="167" spans="1:3" x14ac:dyDescent="0.2">
      <c r="A167" s="1">
        <v>42507</v>
      </c>
      <c r="B167" s="4">
        <v>1134.3857</v>
      </c>
      <c r="C167">
        <v>1155.6738127829422</v>
      </c>
    </row>
    <row r="168" spans="1:3" x14ac:dyDescent="0.2">
      <c r="A168" s="1">
        <v>42506</v>
      </c>
      <c r="B168" s="4">
        <v>1134.0896</v>
      </c>
      <c r="C168">
        <v>1155.0361093272302</v>
      </c>
    </row>
    <row r="169" spans="1:3" x14ac:dyDescent="0.2">
      <c r="A169" s="1">
        <v>42503</v>
      </c>
      <c r="B169" s="4">
        <v>1133.5832</v>
      </c>
      <c r="C169">
        <v>1154.4365079711697</v>
      </c>
    </row>
    <row r="170" spans="1:3" x14ac:dyDescent="0.2">
      <c r="A170" s="1">
        <v>42502</v>
      </c>
      <c r="B170" s="4">
        <v>1133.2417</v>
      </c>
      <c r="C170">
        <v>1153.9280313082734</v>
      </c>
    </row>
    <row r="171" spans="1:3" x14ac:dyDescent="0.2">
      <c r="A171" s="1">
        <v>42501</v>
      </c>
      <c r="B171" s="4">
        <v>1132.7201</v>
      </c>
      <c r="C171">
        <v>1153.5212965983681</v>
      </c>
    </row>
    <row r="172" spans="1:3" x14ac:dyDescent="0.2">
      <c r="A172" s="1">
        <v>42500</v>
      </c>
      <c r="B172" s="4">
        <v>1132.3494000000001</v>
      </c>
      <c r="C172">
        <v>1153.0785205921356</v>
      </c>
    </row>
    <row r="173" spans="1:3" x14ac:dyDescent="0.2">
      <c r="A173" s="1">
        <v>42499</v>
      </c>
      <c r="B173" s="4">
        <v>1132.1632</v>
      </c>
      <c r="C173">
        <v>1152.7113041338014</v>
      </c>
    </row>
    <row r="174" spans="1:3" x14ac:dyDescent="0.2">
      <c r="A174" s="1">
        <v>42496</v>
      </c>
      <c r="B174" s="4">
        <v>1131.1771000000001</v>
      </c>
      <c r="C174">
        <v>1152.0901527006545</v>
      </c>
    </row>
    <row r="175" spans="1:3" x14ac:dyDescent="0.2">
      <c r="A175" s="1">
        <v>42495</v>
      </c>
      <c r="B175" s="4">
        <v>1130.9277999999999</v>
      </c>
      <c r="C175">
        <v>1151.6014853921019</v>
      </c>
    </row>
    <row r="176" spans="1:3" x14ac:dyDescent="0.2">
      <c r="A176" s="1">
        <v>42494</v>
      </c>
      <c r="B176" s="4">
        <v>1130.5418999999999</v>
      </c>
      <c r="C176">
        <v>1151.2587771464123</v>
      </c>
    </row>
    <row r="177" spans="1:3" x14ac:dyDescent="0.2">
      <c r="A177" s="1">
        <v>42493</v>
      </c>
      <c r="B177" s="4">
        <v>1130.2728999999999</v>
      </c>
      <c r="C177">
        <v>1150.8720948993559</v>
      </c>
    </row>
    <row r="178" spans="1:3" x14ac:dyDescent="0.2">
      <c r="A178" s="1">
        <v>42492</v>
      </c>
      <c r="B178" s="4">
        <v>1130.0802000000001</v>
      </c>
      <c r="C178">
        <v>1150.5155004719659</v>
      </c>
    </row>
    <row r="179" spans="1:3" x14ac:dyDescent="0.2">
      <c r="A179" s="1">
        <v>42489</v>
      </c>
      <c r="B179" s="4">
        <v>1129.7088000000001</v>
      </c>
      <c r="C179">
        <v>1149.9092123100006</v>
      </c>
    </row>
    <row r="180" spans="1:3" x14ac:dyDescent="0.2">
      <c r="A180" s="1">
        <v>42488</v>
      </c>
      <c r="B180" s="4">
        <v>1130.1243999999999</v>
      </c>
      <c r="C180">
        <v>1150.0822707763641</v>
      </c>
    </row>
    <row r="181" spans="1:3" x14ac:dyDescent="0.2">
      <c r="A181" s="1">
        <v>42487</v>
      </c>
      <c r="B181" s="4">
        <v>1130.1695</v>
      </c>
      <c r="C181">
        <v>1150.2984898391849</v>
      </c>
    </row>
    <row r="182" spans="1:3" x14ac:dyDescent="0.2">
      <c r="A182" s="1">
        <v>42486</v>
      </c>
      <c r="B182" s="4">
        <v>1130.1348</v>
      </c>
      <c r="C182">
        <v>1150.2676187222082</v>
      </c>
    </row>
    <row r="183" spans="1:3" x14ac:dyDescent="0.2">
      <c r="A183" s="1">
        <v>42485</v>
      </c>
      <c r="B183" s="4">
        <v>1129.9441999999999</v>
      </c>
      <c r="C183">
        <v>1150.1670543763612</v>
      </c>
    </row>
    <row r="184" spans="1:3" x14ac:dyDescent="0.2">
      <c r="A184" s="1">
        <v>42482</v>
      </c>
      <c r="B184" s="4">
        <v>1129.7319</v>
      </c>
      <c r="C184">
        <v>1149.7236995137396</v>
      </c>
    </row>
    <row r="185" spans="1:3" x14ac:dyDescent="0.2">
      <c r="A185" s="1">
        <v>42481</v>
      </c>
      <c r="B185" s="4">
        <v>1129.4623999999999</v>
      </c>
      <c r="C185">
        <v>1149.8853272539304</v>
      </c>
    </row>
    <row r="186" spans="1:3" x14ac:dyDescent="0.2">
      <c r="A186" s="1">
        <v>42480</v>
      </c>
      <c r="B186" s="4">
        <v>1129.586</v>
      </c>
      <c r="C186">
        <v>1150.0015113332438</v>
      </c>
    </row>
    <row r="187" spans="1:3" x14ac:dyDescent="0.2">
      <c r="A187" s="1">
        <v>42479</v>
      </c>
      <c r="B187" s="4">
        <v>1129.546</v>
      </c>
      <c r="C187">
        <v>1149.95128653181</v>
      </c>
    </row>
    <row r="188" spans="1:3" x14ac:dyDescent="0.2">
      <c r="A188" s="1">
        <v>42478</v>
      </c>
      <c r="B188" s="4">
        <v>1129.3203000000001</v>
      </c>
      <c r="C188">
        <v>1149.8924450292545</v>
      </c>
    </row>
    <row r="189" spans="1:3" x14ac:dyDescent="0.2">
      <c r="A189" s="1">
        <v>42475</v>
      </c>
      <c r="B189" s="4">
        <v>1128.6498999999999</v>
      </c>
      <c r="C189">
        <v>1149.187008436209</v>
      </c>
    </row>
    <row r="190" spans="1:3" x14ac:dyDescent="0.2">
      <c r="A190" s="1">
        <v>42474</v>
      </c>
      <c r="B190" s="4">
        <v>1128.4481000000001</v>
      </c>
      <c r="C190">
        <v>1148.8732675837323</v>
      </c>
    </row>
    <row r="191" spans="1:3" x14ac:dyDescent="0.2">
      <c r="A191" s="1">
        <v>42473</v>
      </c>
      <c r="B191" s="4">
        <v>1127.9428</v>
      </c>
      <c r="C191">
        <v>1148.585791044515</v>
      </c>
    </row>
    <row r="192" spans="1:3" x14ac:dyDescent="0.2">
      <c r="A192" s="1">
        <v>42472</v>
      </c>
      <c r="B192" s="4">
        <v>1127.7906</v>
      </c>
      <c r="C192">
        <v>1148.2841025064708</v>
      </c>
    </row>
    <row r="193" spans="1:3" x14ac:dyDescent="0.2">
      <c r="A193" s="1">
        <v>42471</v>
      </c>
      <c r="B193" s="4">
        <v>1127.3891000000001</v>
      </c>
      <c r="C193">
        <v>1148.2059376710731</v>
      </c>
    </row>
    <row r="194" spans="1:3" x14ac:dyDescent="0.2">
      <c r="A194" s="1">
        <v>42468</v>
      </c>
      <c r="B194" s="4">
        <v>1127.7745</v>
      </c>
      <c r="C194">
        <v>1147.6935514424595</v>
      </c>
    </row>
    <row r="195" spans="1:3" x14ac:dyDescent="0.2">
      <c r="A195" s="1">
        <v>42467</v>
      </c>
      <c r="B195" s="4">
        <v>1127.6087</v>
      </c>
      <c r="C195">
        <v>1147.973886690273</v>
      </c>
    </row>
    <row r="196" spans="1:3" x14ac:dyDescent="0.2">
      <c r="A196" s="1">
        <v>42466</v>
      </c>
      <c r="B196" s="4">
        <v>1127.2118</v>
      </c>
      <c r="C196">
        <v>1147.7896624487521</v>
      </c>
    </row>
    <row r="197" spans="1:3" x14ac:dyDescent="0.2">
      <c r="A197" s="1">
        <v>42465</v>
      </c>
      <c r="B197" s="4">
        <v>1126.7896000000001</v>
      </c>
      <c r="C197">
        <v>1147.367654940208</v>
      </c>
    </row>
    <row r="198" spans="1:3" x14ac:dyDescent="0.2">
      <c r="A198" s="1">
        <v>42464</v>
      </c>
      <c r="B198" s="4">
        <v>1126.4038</v>
      </c>
      <c r="C198">
        <v>1146.9979486579405</v>
      </c>
    </row>
    <row r="199" spans="1:3" x14ac:dyDescent="0.2">
      <c r="A199" s="1">
        <v>42461</v>
      </c>
      <c r="B199" s="4">
        <v>1125.5500999999999</v>
      </c>
      <c r="C199">
        <v>1146.2631612374132</v>
      </c>
    </row>
    <row r="200" spans="1:3" x14ac:dyDescent="0.2">
      <c r="A200" s="1">
        <v>42460</v>
      </c>
      <c r="B200" s="4">
        <v>1125.1659</v>
      </c>
      <c r="C200">
        <v>1145.8018273905702</v>
      </c>
    </row>
    <row r="201" spans="1:3" x14ac:dyDescent="0.2">
      <c r="A201" s="1">
        <v>42459</v>
      </c>
      <c r="B201" s="4">
        <v>1125.0365999999999</v>
      </c>
      <c r="C201">
        <v>1145.4490337574987</v>
      </c>
    </row>
    <row r="202" spans="1:3" x14ac:dyDescent="0.2">
      <c r="A202" s="1">
        <v>42458</v>
      </c>
      <c r="B202" s="4">
        <v>1124.7407000000001</v>
      </c>
      <c r="C202">
        <v>1145.2838103086096</v>
      </c>
    </row>
    <row r="203" spans="1:3" x14ac:dyDescent="0.2">
      <c r="A203" s="1">
        <v>42457</v>
      </c>
      <c r="B203" s="4">
        <v>1124.6147000000001</v>
      </c>
      <c r="C203">
        <v>1144.9294322407318</v>
      </c>
    </row>
    <row r="204" spans="1:3" x14ac:dyDescent="0.2">
      <c r="A204" s="1">
        <v>42454</v>
      </c>
      <c r="B204" s="4">
        <v>1124.1564000000001</v>
      </c>
      <c r="C204">
        <v>1144.3759948736924</v>
      </c>
    </row>
    <row r="205" spans="1:3" x14ac:dyDescent="0.2">
      <c r="A205" s="1">
        <v>42453</v>
      </c>
      <c r="B205" s="4">
        <v>1123.9882</v>
      </c>
      <c r="C205">
        <v>1144.3759948736924</v>
      </c>
    </row>
    <row r="206" spans="1:3" x14ac:dyDescent="0.2">
      <c r="A206" s="1">
        <v>42452</v>
      </c>
      <c r="B206" s="4">
        <v>1123.8471</v>
      </c>
      <c r="C206">
        <v>1144.2495717809738</v>
      </c>
    </row>
    <row r="207" spans="1:3" x14ac:dyDescent="0.2">
      <c r="A207" s="1">
        <v>42451</v>
      </c>
      <c r="B207" s="4">
        <v>1123.5434</v>
      </c>
      <c r="C207">
        <v>1144.1285256590163</v>
      </c>
    </row>
    <row r="208" spans="1:3" x14ac:dyDescent="0.2">
      <c r="A208" s="1">
        <v>42450</v>
      </c>
      <c r="B208" s="4">
        <v>1122.8432</v>
      </c>
      <c r="C208">
        <v>1143.769887866471</v>
      </c>
    </row>
    <row r="209" spans="1:3" x14ac:dyDescent="0.2">
      <c r="A209" s="1">
        <v>42447</v>
      </c>
      <c r="B209" s="4">
        <v>1122.3617999999999</v>
      </c>
      <c r="C209">
        <v>1143.1152879286824</v>
      </c>
    </row>
    <row r="210" spans="1:3" x14ac:dyDescent="0.2">
      <c r="A210" s="1">
        <v>42446</v>
      </c>
      <c r="B210" s="4">
        <v>1122.0895</v>
      </c>
      <c r="C210">
        <v>1142.8846974568144</v>
      </c>
    </row>
    <row r="211" spans="1:3" x14ac:dyDescent="0.2">
      <c r="A211" s="1">
        <v>42445</v>
      </c>
      <c r="B211" s="4">
        <v>1121.9373000000001</v>
      </c>
      <c r="C211">
        <v>1142.5766875533072</v>
      </c>
    </row>
    <row r="212" spans="1:3" x14ac:dyDescent="0.2">
      <c r="A212" s="1">
        <v>42444</v>
      </c>
      <c r="B212" s="4">
        <v>1121.6146000000001</v>
      </c>
      <c r="C212">
        <v>1142.367555410279</v>
      </c>
    </row>
    <row r="213" spans="1:3" x14ac:dyDescent="0.2">
      <c r="A213" s="1">
        <v>42443</v>
      </c>
      <c r="B213" s="4">
        <v>1121.7789</v>
      </c>
      <c r="C213">
        <v>1142.1256793144639</v>
      </c>
    </row>
    <row r="214" spans="1:3" x14ac:dyDescent="0.2">
      <c r="A214" s="1">
        <v>42440</v>
      </c>
      <c r="B214" s="4">
        <v>1121.2828</v>
      </c>
      <c r="C214">
        <v>1141.8596733803581</v>
      </c>
    </row>
    <row r="215" spans="1:3" x14ac:dyDescent="0.2">
      <c r="A215" s="1">
        <v>42439</v>
      </c>
      <c r="B215" s="4">
        <v>1122.1814999999999</v>
      </c>
      <c r="C215">
        <v>1141.669447216291</v>
      </c>
    </row>
    <row r="216" spans="1:3" x14ac:dyDescent="0.2">
      <c r="A216" s="1">
        <v>42438</v>
      </c>
      <c r="B216" s="4">
        <v>1122.2506000000001</v>
      </c>
      <c r="C216">
        <v>1141.6458261324274</v>
      </c>
    </row>
    <row r="217" spans="1:3" x14ac:dyDescent="0.2">
      <c r="A217" s="1">
        <v>42437</v>
      </c>
      <c r="B217" s="4">
        <v>1121.2457999999999</v>
      </c>
      <c r="C217">
        <v>1141.6074860965059</v>
      </c>
    </row>
    <row r="218" spans="1:3" x14ac:dyDescent="0.2">
      <c r="A218" s="1">
        <v>42436</v>
      </c>
      <c r="B218" s="4">
        <v>1121.5478000000001</v>
      </c>
      <c r="C218">
        <v>1141.2709148397048</v>
      </c>
    </row>
    <row r="219" spans="1:3" x14ac:dyDescent="0.2">
      <c r="A219" s="1">
        <v>42433</v>
      </c>
      <c r="B219" s="4">
        <v>1121.1146000000001</v>
      </c>
      <c r="C219">
        <v>1141.1337263421094</v>
      </c>
    </row>
    <row r="220" spans="1:3" x14ac:dyDescent="0.2">
      <c r="A220" s="1">
        <v>42432</v>
      </c>
      <c r="B220" s="4">
        <v>1121.2036000000001</v>
      </c>
      <c r="C220">
        <v>1141.303040994504</v>
      </c>
    </row>
    <row r="221" spans="1:3" x14ac:dyDescent="0.2">
      <c r="A221" s="1">
        <v>42431</v>
      </c>
      <c r="B221" s="4">
        <v>1120.9993999999999</v>
      </c>
      <c r="C221">
        <v>1141.2605763764964</v>
      </c>
    </row>
    <row r="222" spans="1:3" x14ac:dyDescent="0.2">
      <c r="A222" s="1">
        <v>42430</v>
      </c>
      <c r="B222" s="4">
        <v>1120.6722</v>
      </c>
      <c r="C222">
        <v>1140.9018703175807</v>
      </c>
    </row>
    <row r="223" spans="1:3" x14ac:dyDescent="0.2">
      <c r="A223" s="1">
        <v>42429</v>
      </c>
      <c r="B223" s="4">
        <v>1120.3</v>
      </c>
      <c r="C223">
        <v>1140.558202384246</v>
      </c>
    </row>
    <row r="224" spans="1:3" x14ac:dyDescent="0.2">
      <c r="A224" s="1">
        <v>42426</v>
      </c>
      <c r="B224" s="4">
        <v>1119.9638</v>
      </c>
      <c r="C224">
        <v>1139.6639292082978</v>
      </c>
    </row>
    <row r="225" spans="1:3" x14ac:dyDescent="0.2">
      <c r="A225" s="1">
        <v>42425</v>
      </c>
      <c r="B225" s="4">
        <v>1119.7786000000001</v>
      </c>
      <c r="C225">
        <v>1139.7278308554346</v>
      </c>
    </row>
    <row r="226" spans="1:3" x14ac:dyDescent="0.2">
      <c r="A226" s="1">
        <v>42424</v>
      </c>
      <c r="B226" s="4">
        <v>1119.4001000000001</v>
      </c>
      <c r="C226">
        <v>1139.4477551347495</v>
      </c>
    </row>
    <row r="227" spans="1:3" x14ac:dyDescent="0.2">
      <c r="A227" s="1">
        <v>42423</v>
      </c>
      <c r="B227" s="4">
        <v>1119.2718</v>
      </c>
      <c r="C227">
        <v>1139.1184141075405</v>
      </c>
    </row>
    <row r="228" spans="1:3" x14ac:dyDescent="0.2">
      <c r="A228" s="1">
        <v>42422</v>
      </c>
      <c r="B228" s="4">
        <v>1119.1776</v>
      </c>
      <c r="C228">
        <v>1138.8419617184111</v>
      </c>
    </row>
    <row r="229" spans="1:3" x14ac:dyDescent="0.2">
      <c r="A229" s="1">
        <v>42419</v>
      </c>
      <c r="B229" s="4">
        <v>1118.5101999999999</v>
      </c>
      <c r="C229">
        <v>1138.1932945296708</v>
      </c>
    </row>
    <row r="230" spans="1:3" x14ac:dyDescent="0.2">
      <c r="A230" s="1">
        <v>42418</v>
      </c>
      <c r="B230" s="4">
        <v>1118.2209</v>
      </c>
      <c r="C230">
        <v>1137.8525646498856</v>
      </c>
    </row>
    <row r="231" spans="1:3" x14ac:dyDescent="0.2">
      <c r="A231" s="1">
        <v>42417</v>
      </c>
      <c r="B231" s="4">
        <v>1117.7139999999999</v>
      </c>
      <c r="C231">
        <v>1137.499041762052</v>
      </c>
    </row>
    <row r="232" spans="1:3" x14ac:dyDescent="0.2">
      <c r="A232" s="1">
        <v>42416</v>
      </c>
      <c r="B232" s="4">
        <v>1117.2786000000001</v>
      </c>
      <c r="C232">
        <v>1137.0060666557799</v>
      </c>
    </row>
    <row r="233" spans="1:3" x14ac:dyDescent="0.2">
      <c r="A233" s="1">
        <v>42415</v>
      </c>
      <c r="B233" s="4">
        <v>1116.3552</v>
      </c>
      <c r="C233">
        <v>1136.485850257427</v>
      </c>
    </row>
    <row r="234" spans="1:3" x14ac:dyDescent="0.2">
      <c r="A234" s="1">
        <v>42412</v>
      </c>
      <c r="B234" s="4">
        <v>1115.6210000000001</v>
      </c>
      <c r="C234">
        <v>1135.4797717232123</v>
      </c>
    </row>
    <row r="235" spans="1:3" x14ac:dyDescent="0.2">
      <c r="A235" s="1">
        <v>42411</v>
      </c>
      <c r="B235" s="4">
        <v>1114.6550999999999</v>
      </c>
      <c r="C235">
        <v>1134.7951087797935</v>
      </c>
    </row>
    <row r="236" spans="1:3" x14ac:dyDescent="0.2">
      <c r="A236" s="1">
        <v>42410</v>
      </c>
      <c r="B236" s="4">
        <v>1114.0675000000001</v>
      </c>
      <c r="C236">
        <v>1133.9322242088228</v>
      </c>
    </row>
    <row r="237" spans="1:3" x14ac:dyDescent="0.2">
      <c r="A237" s="1">
        <v>42409</v>
      </c>
      <c r="B237" s="4">
        <v>1113.7736</v>
      </c>
      <c r="C237">
        <v>1133.3639439584181</v>
      </c>
    </row>
    <row r="238" spans="1:3" x14ac:dyDescent="0.2">
      <c r="A238" s="1">
        <v>42408</v>
      </c>
      <c r="B238" s="4">
        <v>1112.8202000000001</v>
      </c>
      <c r="C238">
        <v>1133.117367269846</v>
      </c>
    </row>
    <row r="239" spans="1:3" x14ac:dyDescent="0.2">
      <c r="A239" s="1">
        <v>42405</v>
      </c>
      <c r="B239" s="4">
        <v>1112.9255000000001</v>
      </c>
      <c r="C239">
        <v>1132.1534176915659</v>
      </c>
    </row>
    <row r="240" spans="1:3" x14ac:dyDescent="0.2">
      <c r="A240" s="1">
        <v>42404</v>
      </c>
      <c r="B240" s="4">
        <v>1112.4724000000001</v>
      </c>
      <c r="C240">
        <v>1132.0007447049725</v>
      </c>
    </row>
    <row r="241" spans="1:3" x14ac:dyDescent="0.2">
      <c r="A241" s="1">
        <v>42403</v>
      </c>
      <c r="B241" s="4">
        <v>1111.7755</v>
      </c>
      <c r="C241">
        <v>1131.4063530408632</v>
      </c>
    </row>
    <row r="242" spans="1:3" x14ac:dyDescent="0.2">
      <c r="A242" s="1">
        <v>42402</v>
      </c>
      <c r="B242" s="4">
        <v>1110.7517</v>
      </c>
      <c r="C242">
        <v>1130.7801214770464</v>
      </c>
    </row>
    <row r="243" spans="1:3" x14ac:dyDescent="0.2">
      <c r="A243" s="1">
        <v>42401</v>
      </c>
      <c r="B243" s="4">
        <v>1109.7056</v>
      </c>
      <c r="C243">
        <v>1130.1331601094871</v>
      </c>
    </row>
    <row r="244" spans="1:3" x14ac:dyDescent="0.2">
      <c r="A244" s="1">
        <v>42398</v>
      </c>
      <c r="B244" s="4">
        <v>1109.1411000000001</v>
      </c>
      <c r="C244">
        <v>1129.1325286273363</v>
      </c>
    </row>
    <row r="245" spans="1:3" x14ac:dyDescent="0.2">
      <c r="A245" s="1">
        <v>42397</v>
      </c>
      <c r="B245" s="4">
        <v>1108.3679999999999</v>
      </c>
      <c r="C245">
        <v>1128.5375744050509</v>
      </c>
    </row>
    <row r="246" spans="1:3" x14ac:dyDescent="0.2">
      <c r="A246" s="1">
        <v>42396</v>
      </c>
      <c r="B246" s="4">
        <v>1107.7578000000001</v>
      </c>
      <c r="C246">
        <v>1127.8651695024676</v>
      </c>
    </row>
    <row r="247" spans="1:3" x14ac:dyDescent="0.2">
      <c r="A247" s="1">
        <v>42395</v>
      </c>
      <c r="B247" s="4">
        <v>1107.0547999999999</v>
      </c>
      <c r="C247">
        <v>1127.2167715373553</v>
      </c>
    </row>
    <row r="248" spans="1:3" x14ac:dyDescent="0.2">
      <c r="A248" s="1">
        <v>42394</v>
      </c>
      <c r="B248" s="4">
        <v>1106.4064000000001</v>
      </c>
      <c r="C248">
        <v>1126.4147558179711</v>
      </c>
    </row>
    <row r="249" spans="1:3" x14ac:dyDescent="0.2">
      <c r="A249" s="1">
        <v>42391</v>
      </c>
      <c r="B249" s="4">
        <v>1105.3412000000001</v>
      </c>
      <c r="C249">
        <v>1125.6825284548368</v>
      </c>
    </row>
    <row r="250" spans="1:3" x14ac:dyDescent="0.2">
      <c r="A250" s="1">
        <v>42390</v>
      </c>
      <c r="B250" s="4">
        <v>1104.8200999999999</v>
      </c>
      <c r="C250">
        <v>1125.2248355503164</v>
      </c>
    </row>
    <row r="251" spans="1:3" x14ac:dyDescent="0.2">
      <c r="A251" s="1">
        <v>42389</v>
      </c>
      <c r="B251" s="4">
        <v>1104.1469999999999</v>
      </c>
      <c r="C251">
        <v>1124.6882023782648</v>
      </c>
    </row>
    <row r="252" spans="1:3" x14ac:dyDescent="0.2">
      <c r="A252" s="1">
        <v>42388</v>
      </c>
      <c r="B252" s="4">
        <v>1103.5343</v>
      </c>
      <c r="C252">
        <v>1123.8950444693676</v>
      </c>
    </row>
    <row r="253" spans="1:3" x14ac:dyDescent="0.2">
      <c r="A253" s="1">
        <v>42387</v>
      </c>
      <c r="B253" s="4">
        <v>1102.6388999999999</v>
      </c>
      <c r="C253">
        <v>1123.4137358118858</v>
      </c>
    </row>
    <row r="254" spans="1:3" x14ac:dyDescent="0.2">
      <c r="A254" s="1">
        <v>42384</v>
      </c>
      <c r="B254" s="4">
        <v>1101.6371999999999</v>
      </c>
      <c r="C254">
        <v>1122.3594025161292</v>
      </c>
    </row>
    <row r="255" spans="1:3" x14ac:dyDescent="0.2">
      <c r="A255" s="1">
        <v>42383</v>
      </c>
      <c r="B255" s="4">
        <v>1101.0453</v>
      </c>
      <c r="C255">
        <v>1121.7977091000123</v>
      </c>
    </row>
    <row r="256" spans="1:3" x14ac:dyDescent="0.2">
      <c r="A256" s="1">
        <v>42382</v>
      </c>
      <c r="B256" s="4">
        <v>1100.6895999999999</v>
      </c>
      <c r="C256">
        <v>1120.8552173303462</v>
      </c>
    </row>
    <row r="257" spans="1:3" x14ac:dyDescent="0.2">
      <c r="A257" s="1">
        <v>42381</v>
      </c>
      <c r="B257" s="4">
        <v>1100.0352</v>
      </c>
      <c r="C257">
        <v>1120.5766648916674</v>
      </c>
    </row>
    <row r="258" spans="1:3" x14ac:dyDescent="0.2">
      <c r="A258" s="1">
        <v>42380</v>
      </c>
      <c r="B258" s="4">
        <v>1099.3873000000001</v>
      </c>
      <c r="C258">
        <v>1119.9283408745011</v>
      </c>
    </row>
    <row r="259" spans="1:3" x14ac:dyDescent="0.2">
      <c r="A259" s="1">
        <v>42377</v>
      </c>
      <c r="B259" s="4">
        <v>1098.9117000000001</v>
      </c>
      <c r="C259">
        <v>1119.168075458819</v>
      </c>
    </row>
    <row r="260" spans="1:3" x14ac:dyDescent="0.2">
      <c r="A260" s="1">
        <v>42376</v>
      </c>
      <c r="B260" s="4">
        <v>1098.1166000000001</v>
      </c>
      <c r="C260">
        <v>1118.6004136450326</v>
      </c>
    </row>
    <row r="261" spans="1:3" x14ac:dyDescent="0.2">
      <c r="A261" s="1">
        <v>42375</v>
      </c>
      <c r="B261" s="4">
        <v>1097.2539999999999</v>
      </c>
      <c r="C261">
        <v>1117.5303298530725</v>
      </c>
    </row>
    <row r="262" spans="1:3" x14ac:dyDescent="0.2">
      <c r="A262" s="1">
        <v>42374</v>
      </c>
      <c r="B262" s="4">
        <v>1096.76</v>
      </c>
      <c r="C262">
        <v>1116.6900192642861</v>
      </c>
    </row>
    <row r="263" spans="1:3" x14ac:dyDescent="0.2">
      <c r="A263" s="1">
        <v>42373</v>
      </c>
      <c r="B263" s="4">
        <v>1096.1972000000001</v>
      </c>
      <c r="C263">
        <v>1116.10949596756</v>
      </c>
    </row>
    <row r="264" spans="1:3" x14ac:dyDescent="0.2">
      <c r="A264" s="1">
        <v>42370</v>
      </c>
      <c r="B264" s="4">
        <v>1096.3983000000001</v>
      </c>
      <c r="C264">
        <v>1115.4594032456559</v>
      </c>
    </row>
    <row r="265" spans="1:3" x14ac:dyDescent="0.2">
      <c r="A265" s="1">
        <v>42369</v>
      </c>
      <c r="B265" s="4">
        <v>1096.3373999999999</v>
      </c>
      <c r="C265">
        <v>1115.4594032456559</v>
      </c>
    </row>
    <row r="266" spans="1:3" x14ac:dyDescent="0.2">
      <c r="A266" s="1">
        <v>42368</v>
      </c>
      <c r="B266" s="4">
        <v>1096.2391</v>
      </c>
      <c r="C266">
        <v>1115.4594032456559</v>
      </c>
    </row>
    <row r="267" spans="1:3" x14ac:dyDescent="0.2">
      <c r="A267" s="1">
        <v>42367</v>
      </c>
      <c r="B267" s="4">
        <v>1096.7097000000001</v>
      </c>
      <c r="C267">
        <v>1115.2521788496458</v>
      </c>
    </row>
    <row r="268" spans="1:3" x14ac:dyDescent="0.2">
      <c r="A268" s="1">
        <v>42366</v>
      </c>
      <c r="B268" s="4">
        <v>1096.8978999999999</v>
      </c>
      <c r="C268">
        <v>1115.6081862377885</v>
      </c>
    </row>
    <row r="269" spans="1:3" x14ac:dyDescent="0.2">
      <c r="A269" s="1">
        <v>42363</v>
      </c>
      <c r="B269" s="4">
        <v>1097.3462</v>
      </c>
      <c r="C269">
        <v>1115.456038369603</v>
      </c>
    </row>
    <row r="270" spans="1:3" x14ac:dyDescent="0.2">
      <c r="A270" s="1">
        <v>42362</v>
      </c>
      <c r="B270" s="4">
        <v>1097.2536</v>
      </c>
      <c r="C270">
        <v>1115.456038369603</v>
      </c>
    </row>
    <row r="271" spans="1:3" x14ac:dyDescent="0.2">
      <c r="A271" s="1">
        <v>42361</v>
      </c>
      <c r="B271" s="4">
        <v>1097.6495</v>
      </c>
      <c r="C271">
        <v>1115.816882755131</v>
      </c>
    </row>
    <row r="272" spans="1:3" x14ac:dyDescent="0.2">
      <c r="A272" s="1">
        <v>42360</v>
      </c>
      <c r="B272" s="4">
        <v>1095.9848</v>
      </c>
      <c r="C272">
        <v>1116.1359036466292</v>
      </c>
    </row>
    <row r="273" spans="1:3" x14ac:dyDescent="0.2">
      <c r="A273" s="1">
        <v>42359</v>
      </c>
      <c r="B273" s="4">
        <v>1097.4608000000001</v>
      </c>
      <c r="C273">
        <v>1116.6329784662289</v>
      </c>
    </row>
    <row r="274" spans="1:3" x14ac:dyDescent="0.2">
      <c r="A274" s="1">
        <v>42356</v>
      </c>
      <c r="B274" s="4">
        <v>1097.3548000000001</v>
      </c>
      <c r="C274">
        <v>1116.864778874979</v>
      </c>
    </row>
    <row r="275" spans="1:3" x14ac:dyDescent="0.2">
      <c r="A275" s="1">
        <v>42355</v>
      </c>
      <c r="B275" s="4">
        <v>1097.5264</v>
      </c>
      <c r="C275">
        <v>1117.2716684125596</v>
      </c>
    </row>
    <row r="276" spans="1:3" x14ac:dyDescent="0.2">
      <c r="A276" s="1">
        <v>42354</v>
      </c>
      <c r="B276" s="4">
        <v>1097.8974000000001</v>
      </c>
      <c r="C276">
        <v>1117.3204893606328</v>
      </c>
    </row>
    <row r="277" spans="1:3" x14ac:dyDescent="0.2">
      <c r="A277" s="1">
        <v>42353</v>
      </c>
      <c r="B277" s="4">
        <v>1098.0706</v>
      </c>
      <c r="C277">
        <v>1117.6811944395652</v>
      </c>
    </row>
    <row r="278" spans="1:3" x14ac:dyDescent="0.2">
      <c r="A278" s="1">
        <v>42352</v>
      </c>
      <c r="B278" s="4">
        <v>1098.6405999999999</v>
      </c>
      <c r="C278">
        <v>1117.8232485430649</v>
      </c>
    </row>
    <row r="279" spans="1:3" x14ac:dyDescent="0.2">
      <c r="A279" s="1">
        <v>42349</v>
      </c>
      <c r="B279" s="4">
        <v>1098.5554</v>
      </c>
      <c r="C279">
        <v>1117.8829283882721</v>
      </c>
    </row>
    <row r="280" spans="1:3" x14ac:dyDescent="0.2">
      <c r="A280" s="1">
        <v>42348</v>
      </c>
      <c r="B280" s="4">
        <v>1099.0986</v>
      </c>
      <c r="C280">
        <v>1118.1567985151735</v>
      </c>
    </row>
    <row r="281" spans="1:3" x14ac:dyDescent="0.2">
      <c r="A281" s="1">
        <v>42347</v>
      </c>
      <c r="B281" s="4">
        <v>1100.0289</v>
      </c>
      <c r="C281">
        <v>1118.2641340290631</v>
      </c>
    </row>
    <row r="282" spans="1:3" x14ac:dyDescent="0.2">
      <c r="A282" s="1">
        <v>42346</v>
      </c>
      <c r="B282" s="4">
        <v>1100.1965</v>
      </c>
      <c r="C282">
        <v>1118.5636618854166</v>
      </c>
    </row>
    <row r="283" spans="1:3" x14ac:dyDescent="0.2">
      <c r="A283" s="1">
        <v>42345</v>
      </c>
      <c r="B283" s="4">
        <v>1099.9781</v>
      </c>
      <c r="C283">
        <v>1118.5636618854166</v>
      </c>
    </row>
    <row r="284" spans="1:3" x14ac:dyDescent="0.2">
      <c r="A284" s="1">
        <v>42342</v>
      </c>
      <c r="B284" s="4">
        <v>1099.7174</v>
      </c>
      <c r="C284">
        <v>1117.9553833702794</v>
      </c>
    </row>
    <row r="285" spans="1:3" x14ac:dyDescent="0.2">
      <c r="A285" s="1">
        <v>42341</v>
      </c>
      <c r="B285" s="4">
        <v>1100.1496</v>
      </c>
      <c r="C285">
        <v>1117.9157467394721</v>
      </c>
    </row>
    <row r="286" spans="1:3" x14ac:dyDescent="0.2">
      <c r="A286" s="1">
        <v>42340</v>
      </c>
      <c r="B286" s="4">
        <v>1100.2456</v>
      </c>
      <c r="C286">
        <v>1117.9035485153117</v>
      </c>
    </row>
    <row r="287" spans="1:3" x14ac:dyDescent="0.2">
      <c r="A287" s="1">
        <v>42339</v>
      </c>
      <c r="B287" s="4">
        <v>1100.4157</v>
      </c>
      <c r="C287">
        <v>1117.6621534204066</v>
      </c>
    </row>
    <row r="288" spans="1:3" x14ac:dyDescent="0.2">
      <c r="A288" s="1">
        <v>42338</v>
      </c>
      <c r="B288" s="4">
        <v>1100.2514000000001</v>
      </c>
      <c r="C288">
        <v>1117.5746300118001</v>
      </c>
    </row>
    <row r="289" spans="1:3" x14ac:dyDescent="0.2">
      <c r="A289" s="1">
        <v>42335</v>
      </c>
      <c r="B289" s="4">
        <v>1099.9163000000001</v>
      </c>
      <c r="C289">
        <v>1117.0836287641509</v>
      </c>
    </row>
    <row r="290" spans="1:3" x14ac:dyDescent="0.2">
      <c r="A290" s="1">
        <v>42334</v>
      </c>
      <c r="B290" s="4">
        <v>1100.0710999999999</v>
      </c>
      <c r="C290">
        <v>1117.1329748487574</v>
      </c>
    </row>
    <row r="291" spans="1:3" x14ac:dyDescent="0.2">
      <c r="A291" s="1">
        <v>42333</v>
      </c>
      <c r="B291" s="4">
        <v>1100.0123000000001</v>
      </c>
      <c r="C291">
        <v>1117.1534984839282</v>
      </c>
    </row>
    <row r="292" spans="1:3" x14ac:dyDescent="0.2">
      <c r="A292" s="1">
        <v>42332</v>
      </c>
      <c r="B292" s="4">
        <v>1099.3577</v>
      </c>
      <c r="C292">
        <v>1116.8277354796583</v>
      </c>
    </row>
    <row r="293" spans="1:3" x14ac:dyDescent="0.2">
      <c r="A293" s="1">
        <v>42331</v>
      </c>
      <c r="B293" s="4">
        <v>1099.0975000000001</v>
      </c>
      <c r="C293">
        <v>1116.4015079784249</v>
      </c>
    </row>
    <row r="294" spans="1:3" x14ac:dyDescent="0.2">
      <c r="A294" s="1">
        <v>42328</v>
      </c>
      <c r="B294" s="4">
        <v>1098.0150000000001</v>
      </c>
      <c r="C294">
        <v>1115.3816948982369</v>
      </c>
    </row>
    <row r="295" spans="1:3" x14ac:dyDescent="0.2">
      <c r="A295" s="1">
        <v>42327</v>
      </c>
      <c r="B295" s="4">
        <v>1097.2786000000001</v>
      </c>
      <c r="C295">
        <v>1115.0940689883398</v>
      </c>
    </row>
    <row r="296" spans="1:3" x14ac:dyDescent="0.2">
      <c r="A296" s="1">
        <v>42326</v>
      </c>
      <c r="B296" s="4">
        <v>1096.9313999999999</v>
      </c>
      <c r="C296">
        <v>1114.6295874655864</v>
      </c>
    </row>
    <row r="297" spans="1:3" x14ac:dyDescent="0.2">
      <c r="A297" s="1">
        <v>42325</v>
      </c>
      <c r="B297" s="4">
        <v>1096.8182999999999</v>
      </c>
      <c r="C297">
        <v>1114.24024073138</v>
      </c>
    </row>
    <row r="298" spans="1:3" x14ac:dyDescent="0.2">
      <c r="A298" s="1">
        <v>42324</v>
      </c>
      <c r="B298" s="4">
        <v>1096.5319999999999</v>
      </c>
      <c r="C298">
        <v>1114.111429831305</v>
      </c>
    </row>
    <row r="299" spans="1:3" x14ac:dyDescent="0.2">
      <c r="A299" s="1">
        <v>42321</v>
      </c>
      <c r="B299" s="4">
        <v>1096.9864</v>
      </c>
      <c r="C299">
        <v>1113.773367064503</v>
      </c>
    </row>
    <row r="300" spans="1:3" x14ac:dyDescent="0.2">
      <c r="A300" s="1">
        <v>42320</v>
      </c>
      <c r="B300" s="4">
        <v>1097.4152999999999</v>
      </c>
      <c r="C300">
        <v>1113.7720780436136</v>
      </c>
    </row>
    <row r="301" spans="1:3" x14ac:dyDescent="0.2">
      <c r="A301" s="1">
        <v>42319</v>
      </c>
      <c r="B301" s="4">
        <v>1098.0708</v>
      </c>
      <c r="C301">
        <v>1113.9520424255927</v>
      </c>
    </row>
    <row r="302" spans="1:3" x14ac:dyDescent="0.2">
      <c r="A302" s="1">
        <v>42318</v>
      </c>
      <c r="B302" s="4">
        <v>1098.7445</v>
      </c>
      <c r="C302">
        <v>1114.3765313790327</v>
      </c>
    </row>
    <row r="303" spans="1:3" x14ac:dyDescent="0.2">
      <c r="A303" s="1">
        <v>42317</v>
      </c>
      <c r="B303" s="4">
        <v>1098.6995999999999</v>
      </c>
      <c r="C303">
        <v>1114.631076791781</v>
      </c>
    </row>
    <row r="304" spans="1:3" x14ac:dyDescent="0.2">
      <c r="A304" s="1">
        <v>42314</v>
      </c>
      <c r="B304" s="4">
        <v>1098.6677999999999</v>
      </c>
      <c r="C304">
        <v>1114.8642327106832</v>
      </c>
    </row>
    <row r="305" spans="1:3" x14ac:dyDescent="0.2">
      <c r="A305" s="1">
        <v>42313</v>
      </c>
      <c r="B305" s="4">
        <v>1098.7714000000001</v>
      </c>
      <c r="C305">
        <v>1115.3279087683811</v>
      </c>
    </row>
    <row r="306" spans="1:3" x14ac:dyDescent="0.2">
      <c r="A306" s="1">
        <v>42312</v>
      </c>
      <c r="B306" s="4">
        <v>1099.3898999999999</v>
      </c>
      <c r="C306">
        <v>1115.2953062743752</v>
      </c>
    </row>
    <row r="307" spans="1:3" x14ac:dyDescent="0.2">
      <c r="A307" s="1">
        <v>42311</v>
      </c>
      <c r="B307" s="4">
        <v>1100.2982</v>
      </c>
      <c r="C307">
        <v>1115.5752939324027</v>
      </c>
    </row>
    <row r="308" spans="1:3" x14ac:dyDescent="0.2">
      <c r="A308" s="1">
        <v>42310</v>
      </c>
      <c r="B308" s="4">
        <v>1100.4712999999999</v>
      </c>
      <c r="C308">
        <v>1116.4020597080414</v>
      </c>
    </row>
    <row r="309" spans="1:3" x14ac:dyDescent="0.2">
      <c r="A309" s="1">
        <v>42307</v>
      </c>
      <c r="B309" s="4">
        <v>1100.6768</v>
      </c>
      <c r="C309">
        <v>1116.4774757252242</v>
      </c>
    </row>
    <row r="310" spans="1:3" x14ac:dyDescent="0.2">
      <c r="A310" s="1">
        <v>42306</v>
      </c>
      <c r="B310" s="4">
        <v>1102.0431000000001</v>
      </c>
      <c r="C310">
        <v>1116.8667340822783</v>
      </c>
    </row>
    <row r="311" spans="1:3" x14ac:dyDescent="0.2">
      <c r="A311" s="1">
        <v>42305</v>
      </c>
      <c r="B311" s="4">
        <v>1102.5042000000001</v>
      </c>
      <c r="C311">
        <v>1117.5689913604604</v>
      </c>
    </row>
    <row r="312" spans="1:3" x14ac:dyDescent="0.2">
      <c r="A312" s="1">
        <v>42304</v>
      </c>
      <c r="B312" s="4">
        <v>1102.8004000000001</v>
      </c>
      <c r="C312">
        <v>1117.851048619779</v>
      </c>
    </row>
    <row r="313" spans="1:3" x14ac:dyDescent="0.2">
      <c r="A313" s="1">
        <v>42303</v>
      </c>
      <c r="B313" s="4">
        <v>1102.6683</v>
      </c>
      <c r="C313">
        <v>1118.2148139463511</v>
      </c>
    </row>
    <row r="314" spans="1:3" x14ac:dyDescent="0.2">
      <c r="A314" s="1">
        <v>42300</v>
      </c>
      <c r="B314" s="4">
        <v>1102.0510999999999</v>
      </c>
      <c r="C314">
        <v>1117.9010198572628</v>
      </c>
    </row>
    <row r="315" spans="1:3" x14ac:dyDescent="0.2">
      <c r="A315" s="1">
        <v>42299</v>
      </c>
      <c r="B315" s="4">
        <v>1102.2654</v>
      </c>
      <c r="C315">
        <v>1117.7394709869932</v>
      </c>
    </row>
    <row r="316" spans="1:3" x14ac:dyDescent="0.2">
      <c r="A316" s="1">
        <v>42298</v>
      </c>
      <c r="B316" s="4">
        <v>1102.24</v>
      </c>
      <c r="C316">
        <v>1117.643743264967</v>
      </c>
    </row>
    <row r="317" spans="1:3" x14ac:dyDescent="0.2">
      <c r="A317" s="1">
        <v>42297</v>
      </c>
      <c r="B317" s="4">
        <v>1102.4666</v>
      </c>
      <c r="C317">
        <v>1117.5175472685924</v>
      </c>
    </row>
    <row r="318" spans="1:3" x14ac:dyDescent="0.2">
      <c r="A318" s="1">
        <v>42296</v>
      </c>
      <c r="B318" s="4">
        <v>1102.6056000000001</v>
      </c>
      <c r="C318">
        <v>1117.6720546620993</v>
      </c>
    </row>
    <row r="319" spans="1:3" x14ac:dyDescent="0.2">
      <c r="A319" s="1">
        <v>42293</v>
      </c>
      <c r="B319" s="4">
        <v>1102.0868</v>
      </c>
      <c r="C319">
        <v>1117.1745777262424</v>
      </c>
    </row>
    <row r="320" spans="1:3" x14ac:dyDescent="0.2">
      <c r="A320" s="1">
        <v>42292</v>
      </c>
      <c r="B320" s="4">
        <v>1102.5064</v>
      </c>
      <c r="C320">
        <v>1117.5800772671635</v>
      </c>
    </row>
    <row r="321" spans="1:3" x14ac:dyDescent="0.2">
      <c r="A321" s="1">
        <v>42291</v>
      </c>
      <c r="B321" s="4">
        <v>1102.1067</v>
      </c>
      <c r="C321">
        <v>1117.6699560589784</v>
      </c>
    </row>
    <row r="322" spans="1:3" x14ac:dyDescent="0.2">
      <c r="A322" s="1">
        <v>42290</v>
      </c>
      <c r="B322" s="4">
        <v>1102.0841</v>
      </c>
      <c r="C322">
        <v>1117.6347517745144</v>
      </c>
    </row>
    <row r="323" spans="1:3" x14ac:dyDescent="0.2">
      <c r="A323" s="1">
        <v>42289</v>
      </c>
      <c r="B323" s="4">
        <v>1102.2858000000001</v>
      </c>
      <c r="C323">
        <v>1116.938166047054</v>
      </c>
    </row>
    <row r="324" spans="1:3" x14ac:dyDescent="0.2">
      <c r="A324" s="1">
        <v>42286</v>
      </c>
      <c r="B324" s="4">
        <v>1101.606</v>
      </c>
      <c r="C324">
        <v>1116.938166047054</v>
      </c>
    </row>
    <row r="325" spans="1:3" x14ac:dyDescent="0.2">
      <c r="A325" s="1">
        <v>42285</v>
      </c>
      <c r="B325" s="4">
        <v>1102.0296000000001</v>
      </c>
      <c r="C325">
        <v>1116.9060595330841</v>
      </c>
    </row>
    <row r="326" spans="1:3" x14ac:dyDescent="0.2">
      <c r="A326" s="1">
        <v>42284</v>
      </c>
      <c r="B326" s="4">
        <v>1101.9680000000001</v>
      </c>
      <c r="C326">
        <v>1116.8493026892036</v>
      </c>
    </row>
    <row r="327" spans="1:3" x14ac:dyDescent="0.2">
      <c r="A327" s="1">
        <v>42283</v>
      </c>
      <c r="B327" s="4">
        <v>1101.6110000000001</v>
      </c>
      <c r="C327">
        <v>1116.9656141466685</v>
      </c>
    </row>
    <row r="328" spans="1:3" x14ac:dyDescent="0.2">
      <c r="A328" s="1">
        <v>42282</v>
      </c>
      <c r="B328" s="4">
        <v>1101.2844</v>
      </c>
      <c r="C328">
        <v>1116.5637108804328</v>
      </c>
    </row>
    <row r="329" spans="1:3" x14ac:dyDescent="0.2">
      <c r="A329" s="1">
        <v>42279</v>
      </c>
      <c r="B329" s="4">
        <v>1100.9226000000001</v>
      </c>
      <c r="C329">
        <v>1115.7291852947319</v>
      </c>
    </row>
    <row r="330" spans="1:3" x14ac:dyDescent="0.2">
      <c r="A330" s="1">
        <v>42278</v>
      </c>
      <c r="B330" s="4">
        <v>1100.1642999999999</v>
      </c>
      <c r="C330">
        <v>1115.3995865308871</v>
      </c>
    </row>
    <row r="331" spans="1:3" x14ac:dyDescent="0.2">
      <c r="A331" s="1">
        <v>42277</v>
      </c>
      <c r="B331" s="4">
        <v>1100.4204999999999</v>
      </c>
      <c r="C331">
        <v>1115.3634202373285</v>
      </c>
    </row>
    <row r="332" spans="1:3" x14ac:dyDescent="0.2">
      <c r="A332" s="1">
        <v>42276</v>
      </c>
      <c r="B332" s="4">
        <v>1100.1793</v>
      </c>
      <c r="C332">
        <v>1114.8951042125173</v>
      </c>
    </row>
    <row r="333" spans="1:3" x14ac:dyDescent="0.2">
      <c r="A333" s="1">
        <v>42275</v>
      </c>
      <c r="B333" s="4">
        <v>1099.5797</v>
      </c>
      <c r="C333">
        <v>1114.4334609123646</v>
      </c>
    </row>
    <row r="334" spans="1:3" x14ac:dyDescent="0.2">
      <c r="A334" s="1">
        <v>42272</v>
      </c>
      <c r="B334" s="4">
        <v>1099.2706000000001</v>
      </c>
      <c r="C334">
        <v>1113.337419875761</v>
      </c>
    </row>
    <row r="335" spans="1:3" x14ac:dyDescent="0.2">
      <c r="A335" s="1">
        <v>42271</v>
      </c>
      <c r="B335" s="4">
        <v>1098.8829000000001</v>
      </c>
      <c r="C335">
        <v>1113.2291661324793</v>
      </c>
    </row>
    <row r="336" spans="1:3" x14ac:dyDescent="0.2">
      <c r="A336" s="1">
        <v>42270</v>
      </c>
      <c r="B336" s="4">
        <v>1098.5573999999999</v>
      </c>
      <c r="C336">
        <v>1113.3345767155884</v>
      </c>
    </row>
    <row r="337" spans="1:3" x14ac:dyDescent="0.2">
      <c r="A337" s="1">
        <v>42269</v>
      </c>
      <c r="B337" s="4">
        <v>1097.7896000000001</v>
      </c>
      <c r="C337">
        <v>1112.8143168952852</v>
      </c>
    </row>
    <row r="338" spans="1:3" x14ac:dyDescent="0.2">
      <c r="A338" s="1">
        <v>42268</v>
      </c>
      <c r="B338" s="4">
        <v>1097.4289000000001</v>
      </c>
      <c r="C338">
        <v>1112.4352877777451</v>
      </c>
    </row>
    <row r="339" spans="1:3" x14ac:dyDescent="0.2">
      <c r="A339" s="1">
        <v>42265</v>
      </c>
      <c r="B339" s="4">
        <v>1096.8444999999999</v>
      </c>
      <c r="C339">
        <v>1110.9606373670197</v>
      </c>
    </row>
    <row r="340" spans="1:3" x14ac:dyDescent="0.2">
      <c r="A340" s="1">
        <v>42264</v>
      </c>
      <c r="B340" s="4">
        <v>1096.5569</v>
      </c>
      <c r="C340">
        <v>1110.9606373670197</v>
      </c>
    </row>
    <row r="341" spans="1:3" x14ac:dyDescent="0.2">
      <c r="A341" s="1">
        <v>42263</v>
      </c>
      <c r="B341" s="4">
        <v>1096.2853</v>
      </c>
      <c r="C341">
        <v>1110.7595624052681</v>
      </c>
    </row>
    <row r="342" spans="1:3" x14ac:dyDescent="0.2">
      <c r="A342" s="1">
        <v>42262</v>
      </c>
      <c r="B342" s="4">
        <v>1096.0152</v>
      </c>
      <c r="C342">
        <v>1110.6934623161715</v>
      </c>
    </row>
    <row r="343" spans="1:3" x14ac:dyDescent="0.2">
      <c r="A343" s="1">
        <v>42261</v>
      </c>
      <c r="B343" s="4">
        <v>1096.0316</v>
      </c>
      <c r="C343">
        <v>1110.5105678904476</v>
      </c>
    </row>
    <row r="344" spans="1:3" x14ac:dyDescent="0.2">
      <c r="A344" s="1">
        <v>42258</v>
      </c>
      <c r="B344" s="4">
        <v>1095.4936</v>
      </c>
      <c r="C344">
        <v>1110.0099173990448</v>
      </c>
    </row>
    <row r="345" spans="1:3" x14ac:dyDescent="0.2">
      <c r="A345" s="1">
        <v>42257</v>
      </c>
      <c r="B345" s="4">
        <v>1095.9037000000001</v>
      </c>
      <c r="C345">
        <v>1109.5997920716027</v>
      </c>
    </row>
    <row r="346" spans="1:3" x14ac:dyDescent="0.2">
      <c r="A346" s="1">
        <v>42256</v>
      </c>
      <c r="B346" s="4">
        <v>1096.2645</v>
      </c>
      <c r="C346">
        <v>1109.3700612451862</v>
      </c>
    </row>
    <row r="347" spans="1:3" x14ac:dyDescent="0.2">
      <c r="A347" s="1">
        <v>42255</v>
      </c>
      <c r="B347" s="4">
        <v>1097.1591000000001</v>
      </c>
      <c r="C347">
        <v>1109.5410980503486</v>
      </c>
    </row>
    <row r="348" spans="1:3" x14ac:dyDescent="0.2">
      <c r="A348" s="1">
        <v>42254</v>
      </c>
      <c r="B348" s="4">
        <v>1098.6804</v>
      </c>
      <c r="C348">
        <v>1110.0037184228281</v>
      </c>
    </row>
    <row r="349" spans="1:3" x14ac:dyDescent="0.2">
      <c r="A349" s="1">
        <v>42251</v>
      </c>
      <c r="B349" s="4">
        <v>1099.2562</v>
      </c>
      <c r="C349">
        <v>1110.6918254600314</v>
      </c>
    </row>
    <row r="350" spans="1:3" x14ac:dyDescent="0.2">
      <c r="A350" s="1">
        <v>42250</v>
      </c>
      <c r="B350" s="4">
        <v>1101.634</v>
      </c>
      <c r="C350">
        <v>1111.3113846907454</v>
      </c>
    </row>
    <row r="351" spans="1:3" x14ac:dyDescent="0.2">
      <c r="A351" s="1">
        <v>42249</v>
      </c>
      <c r="B351" s="4">
        <v>1101.9733000000001</v>
      </c>
      <c r="C351">
        <v>1113.6145032821707</v>
      </c>
    </row>
    <row r="352" spans="1:3" x14ac:dyDescent="0.2">
      <c r="A352" s="1">
        <v>42248</v>
      </c>
      <c r="B352" s="4">
        <v>1101.7637999999999</v>
      </c>
      <c r="C352">
        <v>1115.0751307153298</v>
      </c>
    </row>
    <row r="353" spans="1:3" x14ac:dyDescent="0.2">
      <c r="A353" s="1">
        <v>42247</v>
      </c>
      <c r="B353" s="4">
        <v>1102.0337999999999</v>
      </c>
      <c r="C353">
        <v>1114.7973240701053</v>
      </c>
    </row>
    <row r="354" spans="1:3" x14ac:dyDescent="0.2">
      <c r="A354" s="1">
        <v>42244</v>
      </c>
      <c r="B354" s="4">
        <v>1100.9988000000001</v>
      </c>
      <c r="C354">
        <v>1114.409077122127</v>
      </c>
    </row>
    <row r="355" spans="1:3" x14ac:dyDescent="0.2">
      <c r="A355" s="1">
        <v>42243</v>
      </c>
      <c r="B355" s="4">
        <v>1100.6161</v>
      </c>
      <c r="C355">
        <v>1114.6178165891367</v>
      </c>
    </row>
    <row r="356" spans="1:3" x14ac:dyDescent="0.2">
      <c r="A356" s="1">
        <v>42242</v>
      </c>
      <c r="B356" s="4">
        <v>1100.5712000000001</v>
      </c>
      <c r="C356">
        <v>1114.1926772075449</v>
      </c>
    </row>
    <row r="357" spans="1:3" x14ac:dyDescent="0.2">
      <c r="A357" s="1">
        <v>42241</v>
      </c>
      <c r="B357" s="4">
        <v>1100.1487999999999</v>
      </c>
      <c r="C357">
        <v>1113.87623973626</v>
      </c>
    </row>
    <row r="358" spans="1:3" x14ac:dyDescent="0.2">
      <c r="A358" s="1">
        <v>42240</v>
      </c>
      <c r="B358" s="4">
        <v>1099.8735999999999</v>
      </c>
      <c r="C358">
        <v>1113.420240417003</v>
      </c>
    </row>
    <row r="359" spans="1:3" x14ac:dyDescent="0.2">
      <c r="A359" s="1">
        <v>42237</v>
      </c>
      <c r="B359" s="4">
        <v>1099.3051</v>
      </c>
      <c r="C359">
        <v>1112.9435706526137</v>
      </c>
    </row>
    <row r="360" spans="1:3" x14ac:dyDescent="0.2">
      <c r="A360" s="1">
        <v>42236</v>
      </c>
      <c r="B360" s="4">
        <v>1099.0093999999999</v>
      </c>
      <c r="C360">
        <v>1112.9256661106792</v>
      </c>
    </row>
    <row r="361" spans="1:3" x14ac:dyDescent="0.2">
      <c r="A361" s="1">
        <v>42235</v>
      </c>
      <c r="B361" s="4">
        <v>1098.4964</v>
      </c>
      <c r="C361">
        <v>1112.6548859702557</v>
      </c>
    </row>
    <row r="362" spans="1:3" x14ac:dyDescent="0.2">
      <c r="A362" s="1">
        <v>42234</v>
      </c>
      <c r="B362" s="4">
        <v>1098.3475000000001</v>
      </c>
      <c r="C362">
        <v>1112.1435480814189</v>
      </c>
    </row>
    <row r="363" spans="1:3" x14ac:dyDescent="0.2">
      <c r="A363" s="1">
        <v>42233</v>
      </c>
      <c r="B363" s="4">
        <v>1098.3815999999999</v>
      </c>
      <c r="C363">
        <v>1111.5266214304179</v>
      </c>
    </row>
    <row r="364" spans="1:3" x14ac:dyDescent="0.2">
      <c r="A364" s="1">
        <v>42230</v>
      </c>
      <c r="B364" s="4">
        <v>1097.6787999999999</v>
      </c>
      <c r="C364">
        <v>1110.9988760148481</v>
      </c>
    </row>
    <row r="365" spans="1:3" x14ac:dyDescent="0.2">
      <c r="A365" s="1">
        <v>42229</v>
      </c>
      <c r="B365" s="4">
        <v>1096.7311</v>
      </c>
      <c r="C365">
        <v>1111.031879778224</v>
      </c>
    </row>
    <row r="366" spans="1:3" x14ac:dyDescent="0.2">
      <c r="A366" s="1">
        <v>42228</v>
      </c>
      <c r="B366" s="4">
        <v>1097.1587999999999</v>
      </c>
      <c r="C366">
        <v>1110.3152147012561</v>
      </c>
    </row>
    <row r="367" spans="1:3" x14ac:dyDescent="0.2">
      <c r="A367" s="1">
        <v>42227</v>
      </c>
      <c r="B367" s="4">
        <v>1096.7291</v>
      </c>
      <c r="C367">
        <v>1109.7004743455375</v>
      </c>
    </row>
    <row r="368" spans="1:3" x14ac:dyDescent="0.2">
      <c r="A368" s="1">
        <v>42226</v>
      </c>
      <c r="B368" s="4">
        <v>1096.7081000000001</v>
      </c>
      <c r="C368">
        <v>1109.2178004188704</v>
      </c>
    </row>
    <row r="369" spans="1:3" x14ac:dyDescent="0.2">
      <c r="A369" s="1">
        <v>42223</v>
      </c>
      <c r="B369" s="4">
        <v>1095.9006999999999</v>
      </c>
      <c r="C369">
        <v>1108.5728585144445</v>
      </c>
    </row>
    <row r="370" spans="1:3" x14ac:dyDescent="0.2">
      <c r="A370" s="1">
        <v>42222</v>
      </c>
      <c r="B370" s="4">
        <v>1094.711</v>
      </c>
      <c r="C370">
        <v>1107.9919445195976</v>
      </c>
    </row>
    <row r="371" spans="1:3" x14ac:dyDescent="0.2">
      <c r="A371" s="1">
        <v>42221</v>
      </c>
      <c r="B371" s="4">
        <v>1094.5735</v>
      </c>
      <c r="C371">
        <v>1107.2588433063638</v>
      </c>
    </row>
    <row r="372" spans="1:3" x14ac:dyDescent="0.2">
      <c r="A372" s="1">
        <v>42220</v>
      </c>
      <c r="B372" s="4">
        <v>1093.1065000000001</v>
      </c>
      <c r="C372">
        <v>1107.0819617241586</v>
      </c>
    </row>
    <row r="373" spans="1:3" x14ac:dyDescent="0.2">
      <c r="A373" s="1">
        <v>42219</v>
      </c>
      <c r="B373" s="4">
        <v>1092.8897999999999</v>
      </c>
      <c r="C373">
        <v>1106.3666885635787</v>
      </c>
    </row>
    <row r="374" spans="1:3" x14ac:dyDescent="0.2">
      <c r="A374" s="1">
        <v>42216</v>
      </c>
      <c r="B374" s="4">
        <v>1093.1351999999999</v>
      </c>
      <c r="C374">
        <v>1105.5849071201442</v>
      </c>
    </row>
    <row r="375" spans="1:3" x14ac:dyDescent="0.2">
      <c r="A375" s="1">
        <v>42215</v>
      </c>
      <c r="B375" s="4">
        <v>1092.1859999999999</v>
      </c>
      <c r="C375">
        <v>1105.0901757450517</v>
      </c>
    </row>
    <row r="376" spans="1:3" x14ac:dyDescent="0.2">
      <c r="A376" s="1">
        <v>42214</v>
      </c>
      <c r="B376" s="4">
        <v>1092.1065000000001</v>
      </c>
      <c r="C376">
        <v>1104.443251206739</v>
      </c>
    </row>
    <row r="377" spans="1:3" x14ac:dyDescent="0.2">
      <c r="A377" s="1">
        <v>42213</v>
      </c>
      <c r="B377" s="4">
        <v>1091.5232000000001</v>
      </c>
      <c r="C377">
        <v>1104.2803277676771</v>
      </c>
    </row>
    <row r="378" spans="1:3" x14ac:dyDescent="0.2">
      <c r="A378" s="1">
        <v>42212</v>
      </c>
      <c r="B378" s="4">
        <v>1091.1327000000001</v>
      </c>
      <c r="C378">
        <v>1103.8320570510198</v>
      </c>
    </row>
    <row r="379" spans="1:3" x14ac:dyDescent="0.2">
      <c r="A379" s="1">
        <v>42209</v>
      </c>
      <c r="B379" s="4">
        <v>1090.2059999999999</v>
      </c>
      <c r="C379">
        <v>1102.8098838534609</v>
      </c>
    </row>
    <row r="380" spans="1:3" x14ac:dyDescent="0.2">
      <c r="A380" s="1">
        <v>42208</v>
      </c>
      <c r="B380" s="4">
        <v>1089.1868999999999</v>
      </c>
      <c r="C380">
        <v>1101.9779462391509</v>
      </c>
    </row>
    <row r="381" spans="1:3" x14ac:dyDescent="0.2">
      <c r="A381" s="1">
        <v>42207</v>
      </c>
      <c r="B381" s="4">
        <v>1087.8188</v>
      </c>
      <c r="C381">
        <v>1101.5488507310929</v>
      </c>
    </row>
    <row r="382" spans="1:3" x14ac:dyDescent="0.2">
      <c r="A382" s="1">
        <v>42206</v>
      </c>
      <c r="B382" s="4">
        <v>1087.3479</v>
      </c>
      <c r="C382">
        <v>1100.880685387735</v>
      </c>
    </row>
    <row r="383" spans="1:3" x14ac:dyDescent="0.2">
      <c r="A383" s="1">
        <v>42205</v>
      </c>
      <c r="B383" s="4">
        <v>1086.7526</v>
      </c>
      <c r="C383">
        <v>1100.2885402342552</v>
      </c>
    </row>
    <row r="384" spans="1:3" x14ac:dyDescent="0.2">
      <c r="A384" s="1">
        <v>42202</v>
      </c>
      <c r="B384" s="4">
        <v>1086.0601999999999</v>
      </c>
      <c r="C384">
        <v>1099.0138405742857</v>
      </c>
    </row>
    <row r="385" spans="1:3" x14ac:dyDescent="0.2">
      <c r="A385" s="1">
        <v>42201</v>
      </c>
      <c r="B385" s="4">
        <v>1085.3158000000001</v>
      </c>
      <c r="C385">
        <v>1098.6611703704248</v>
      </c>
    </row>
    <row r="386" spans="1:3" x14ac:dyDescent="0.2">
      <c r="A386" s="1">
        <v>42200</v>
      </c>
      <c r="B386" s="4">
        <v>1085.1576</v>
      </c>
      <c r="C386">
        <v>1098.6611703704248</v>
      </c>
    </row>
    <row r="387" spans="1:3" x14ac:dyDescent="0.2">
      <c r="A387" s="1">
        <v>42199</v>
      </c>
      <c r="B387" s="4">
        <v>1083.8771999999999</v>
      </c>
      <c r="C387">
        <v>1098.3753043122963</v>
      </c>
    </row>
    <row r="388" spans="1:3" x14ac:dyDescent="0.2">
      <c r="A388" s="1">
        <v>42198</v>
      </c>
      <c r="B388" s="4">
        <v>1083.8771999999999</v>
      </c>
      <c r="C388">
        <v>1097.9646053564695</v>
      </c>
    </row>
    <row r="389" spans="1:3" x14ac:dyDescent="0.2">
      <c r="A389" s="1">
        <v>42195</v>
      </c>
      <c r="B389" s="4">
        <v>1082.6395</v>
      </c>
      <c r="C389">
        <v>1096.9276356356313</v>
      </c>
    </row>
    <row r="390" spans="1:3" x14ac:dyDescent="0.2">
      <c r="A390" s="1">
        <v>42194</v>
      </c>
      <c r="B390" s="4">
        <v>1082.4390000000001</v>
      </c>
      <c r="C390">
        <v>1096.324482841987</v>
      </c>
    </row>
    <row r="391" spans="1:3" x14ac:dyDescent="0.2">
      <c r="A391" s="1">
        <v>42193</v>
      </c>
      <c r="B391" s="4">
        <v>1082.4444000000001</v>
      </c>
      <c r="C391">
        <v>1095.7837998534692</v>
      </c>
    </row>
    <row r="392" spans="1:3" x14ac:dyDescent="0.2">
      <c r="A392" s="1">
        <v>42192</v>
      </c>
      <c r="B392" s="4">
        <v>1082.1029000000001</v>
      </c>
      <c r="C392">
        <v>1095.0198600693006</v>
      </c>
    </row>
    <row r="393" spans="1:3" x14ac:dyDescent="0.2">
      <c r="A393" s="1">
        <v>42191</v>
      </c>
      <c r="B393" s="4">
        <v>1081.1528000000001</v>
      </c>
      <c r="C393">
        <v>1094.7595345197947</v>
      </c>
    </row>
    <row r="394" spans="1:3" x14ac:dyDescent="0.2">
      <c r="A394" s="1">
        <v>42188</v>
      </c>
      <c r="B394" s="4">
        <v>1080.8986</v>
      </c>
      <c r="C394">
        <v>1094.0841895547112</v>
      </c>
    </row>
    <row r="395" spans="1:3" x14ac:dyDescent="0.2">
      <c r="A395" s="1">
        <v>42187</v>
      </c>
      <c r="B395" s="4">
        <v>1080.2629999999999</v>
      </c>
      <c r="C395">
        <v>1093.7198997252806</v>
      </c>
    </row>
    <row r="396" spans="1:3" x14ac:dyDescent="0.2">
      <c r="A396" s="1">
        <v>42186</v>
      </c>
      <c r="B396" s="4">
        <v>1080.1507999999999</v>
      </c>
      <c r="C396">
        <v>1093.3566544563939</v>
      </c>
    </row>
    <row r="397" spans="1:3" x14ac:dyDescent="0.2">
      <c r="A397" s="1">
        <v>42185</v>
      </c>
      <c r="B397" s="4">
        <v>1079.7844</v>
      </c>
      <c r="C397">
        <v>1093.3140088066912</v>
      </c>
    </row>
    <row r="398" spans="1:3" x14ac:dyDescent="0.2">
      <c r="A398" s="1">
        <v>42184</v>
      </c>
      <c r="B398" s="4">
        <v>1079.4431</v>
      </c>
      <c r="C398">
        <v>1092.085518304488</v>
      </c>
    </row>
    <row r="399" spans="1:3" x14ac:dyDescent="0.2">
      <c r="A399" s="1">
        <v>42181</v>
      </c>
      <c r="B399" s="4">
        <v>1079.0691999999999</v>
      </c>
      <c r="C399">
        <v>1092.085518304488</v>
      </c>
    </row>
    <row r="400" spans="1:3" x14ac:dyDescent="0.2">
      <c r="A400" s="1">
        <v>42180</v>
      </c>
      <c r="B400" s="4">
        <v>1078.9338</v>
      </c>
      <c r="C400">
        <v>1091.5614919062843</v>
      </c>
    </row>
    <row r="401" spans="1:3" x14ac:dyDescent="0.2">
      <c r="A401" s="1">
        <v>42179</v>
      </c>
      <c r="B401" s="4">
        <v>1078.6614999999999</v>
      </c>
      <c r="C401">
        <v>1091.3777410174318</v>
      </c>
    </row>
    <row r="402" spans="1:3" x14ac:dyDescent="0.2">
      <c r="A402" s="1">
        <v>42178</v>
      </c>
      <c r="B402" s="4">
        <v>1078.3567</v>
      </c>
      <c r="C402">
        <v>1090.9701703199933</v>
      </c>
    </row>
    <row r="403" spans="1:3" x14ac:dyDescent="0.2">
      <c r="A403" s="1">
        <v>42177</v>
      </c>
      <c r="B403" s="4">
        <v>1078.5571</v>
      </c>
      <c r="C403">
        <v>1090.596293882094</v>
      </c>
    </row>
    <row r="404" spans="1:3" x14ac:dyDescent="0.2">
      <c r="A404" s="1">
        <v>42174</v>
      </c>
      <c r="B404" s="4">
        <v>1078.0595000000001</v>
      </c>
      <c r="C404">
        <v>1090.3115064414471</v>
      </c>
    </row>
    <row r="405" spans="1:3" x14ac:dyDescent="0.2">
      <c r="A405" s="1">
        <v>42173</v>
      </c>
      <c r="B405" s="4">
        <v>1077.1192000000001</v>
      </c>
      <c r="C405">
        <v>1090.0516136775516</v>
      </c>
    </row>
    <row r="406" spans="1:3" x14ac:dyDescent="0.2">
      <c r="A406" s="1">
        <v>42172</v>
      </c>
      <c r="B406" s="4">
        <v>1076.5908999999999</v>
      </c>
      <c r="C406">
        <v>1089.9360477909793</v>
      </c>
    </row>
    <row r="407" spans="1:3" x14ac:dyDescent="0.2">
      <c r="A407" s="1">
        <v>42171</v>
      </c>
      <c r="B407" s="4">
        <v>1076.5350000000001</v>
      </c>
      <c r="C407">
        <v>1089.2983808728004</v>
      </c>
    </row>
    <row r="408" spans="1:3" x14ac:dyDescent="0.2">
      <c r="A408" s="1">
        <v>42170</v>
      </c>
      <c r="B408" s="4">
        <v>1076.0663</v>
      </c>
      <c r="C408">
        <v>1089.0492102023929</v>
      </c>
    </row>
    <row r="409" spans="1:3" x14ac:dyDescent="0.2">
      <c r="A409" s="1">
        <v>42167</v>
      </c>
      <c r="B409" s="4">
        <v>1074.8766000000001</v>
      </c>
      <c r="C409">
        <v>1088.5217269776856</v>
      </c>
    </row>
    <row r="410" spans="1:3" x14ac:dyDescent="0.2">
      <c r="A410" s="1">
        <v>42166</v>
      </c>
      <c r="B410" s="4">
        <v>1076.136</v>
      </c>
      <c r="C410">
        <v>1088.1299899381547</v>
      </c>
    </row>
    <row r="411" spans="1:3" x14ac:dyDescent="0.2">
      <c r="A411" s="1">
        <v>42165</v>
      </c>
      <c r="B411" s="4">
        <v>1076.1677</v>
      </c>
      <c r="C411">
        <v>1087.9198874364531</v>
      </c>
    </row>
    <row r="412" spans="1:3" x14ac:dyDescent="0.2">
      <c r="A412" s="1">
        <v>42164</v>
      </c>
      <c r="B412" s="4">
        <v>1075.673</v>
      </c>
      <c r="C412">
        <v>1087.8229175385225</v>
      </c>
    </row>
    <row r="413" spans="1:3" x14ac:dyDescent="0.2">
      <c r="A413" s="1">
        <v>42163</v>
      </c>
      <c r="B413" s="4">
        <v>1075.5904</v>
      </c>
      <c r="C413">
        <v>1087.2618344627249</v>
      </c>
    </row>
    <row r="414" spans="1:3" x14ac:dyDescent="0.2">
      <c r="A414" s="1">
        <v>42160</v>
      </c>
      <c r="B414" s="4">
        <v>1074.7817</v>
      </c>
      <c r="C414">
        <v>1086.4174794379462</v>
      </c>
    </row>
    <row r="415" spans="1:3" x14ac:dyDescent="0.2">
      <c r="A415" s="1">
        <v>42159</v>
      </c>
      <c r="B415" s="4">
        <v>1073.9634000000001</v>
      </c>
      <c r="C415">
        <v>1086.0036733330612</v>
      </c>
    </row>
    <row r="416" spans="1:3" x14ac:dyDescent="0.2">
      <c r="A416" s="1">
        <v>42158</v>
      </c>
      <c r="B416" s="4">
        <v>1073.5479</v>
      </c>
      <c r="C416">
        <v>1085.5708857165966</v>
      </c>
    </row>
    <row r="417" spans="1:3" x14ac:dyDescent="0.2">
      <c r="A417" s="1">
        <v>42157</v>
      </c>
      <c r="B417" s="4">
        <v>1072.9224999999999</v>
      </c>
      <c r="C417">
        <v>1085.3896317585893</v>
      </c>
    </row>
    <row r="418" spans="1:3" x14ac:dyDescent="0.2">
      <c r="A418" s="1">
        <v>42156</v>
      </c>
      <c r="B418" s="4">
        <v>1072.4201</v>
      </c>
      <c r="C418">
        <v>1085.0981547790313</v>
      </c>
    </row>
    <row r="419" spans="1:3" x14ac:dyDescent="0.2">
      <c r="A419" s="1">
        <v>42153</v>
      </c>
      <c r="B419" s="4">
        <v>1071.8710000000001</v>
      </c>
      <c r="C419">
        <v>1084.5367811708693</v>
      </c>
    </row>
    <row r="420" spans="1:3" x14ac:dyDescent="0.2">
      <c r="A420" s="1">
        <v>42152</v>
      </c>
      <c r="B420" s="4">
        <v>1071.3784000000001</v>
      </c>
      <c r="C420">
        <v>1083.7250891225992</v>
      </c>
    </row>
    <row r="421" spans="1:3" x14ac:dyDescent="0.2">
      <c r="A421" s="1">
        <v>42151</v>
      </c>
      <c r="B421" s="4">
        <v>1071.3643</v>
      </c>
      <c r="C421">
        <v>1083.5616494347159</v>
      </c>
    </row>
    <row r="422" spans="1:3" x14ac:dyDescent="0.2">
      <c r="A422" s="1">
        <v>42150</v>
      </c>
      <c r="B422" s="4">
        <v>1071.2055</v>
      </c>
      <c r="C422">
        <v>1083.3002730487449</v>
      </c>
    </row>
    <row r="423" spans="1:3" x14ac:dyDescent="0.2">
      <c r="A423" s="1">
        <v>42149</v>
      </c>
      <c r="B423" s="4">
        <v>1070.6685</v>
      </c>
      <c r="C423">
        <v>1082.9305121654911</v>
      </c>
    </row>
    <row r="424" spans="1:3" x14ac:dyDescent="0.2">
      <c r="A424" s="1">
        <v>42146</v>
      </c>
      <c r="B424" s="4">
        <v>1070.1949999999999</v>
      </c>
      <c r="C424">
        <v>1082.0838113848083</v>
      </c>
    </row>
    <row r="425" spans="1:3" x14ac:dyDescent="0.2">
      <c r="A425" s="1">
        <v>42145</v>
      </c>
      <c r="B425" s="4">
        <v>1069.4399000000001</v>
      </c>
      <c r="C425">
        <v>1081.6565269790965</v>
      </c>
    </row>
    <row r="426" spans="1:3" x14ac:dyDescent="0.2">
      <c r="A426" s="1">
        <v>42144</v>
      </c>
      <c r="B426" s="4">
        <v>1069.1904</v>
      </c>
      <c r="C426">
        <v>1081.6565269790965</v>
      </c>
    </row>
    <row r="427" spans="1:3" x14ac:dyDescent="0.2">
      <c r="A427" s="1">
        <v>42143</v>
      </c>
      <c r="B427" s="4">
        <v>1068.7925</v>
      </c>
      <c r="C427">
        <v>1081.6740249997563</v>
      </c>
    </row>
    <row r="428" spans="1:3" x14ac:dyDescent="0.2">
      <c r="A428" s="1">
        <v>42142</v>
      </c>
      <c r="B428" s="4">
        <v>1069.4492</v>
      </c>
      <c r="C428">
        <v>1081.7752309138257</v>
      </c>
    </row>
    <row r="429" spans="1:3" x14ac:dyDescent="0.2">
      <c r="A429" s="1">
        <v>42139</v>
      </c>
      <c r="B429" s="4">
        <v>1069.0138999999999</v>
      </c>
      <c r="C429">
        <v>1081.0691933352898</v>
      </c>
    </row>
    <row r="430" spans="1:3" x14ac:dyDescent="0.2">
      <c r="A430" s="1">
        <v>42138</v>
      </c>
      <c r="B430" s="4">
        <v>1069.2189000000001</v>
      </c>
      <c r="C430">
        <v>1080.7844369860591</v>
      </c>
    </row>
    <row r="431" spans="1:3" x14ac:dyDescent="0.2">
      <c r="A431" s="1">
        <v>42137</v>
      </c>
      <c r="B431" s="4">
        <v>1068.4775</v>
      </c>
      <c r="C431">
        <v>1080.6601674938288</v>
      </c>
    </row>
    <row r="432" spans="1:3" x14ac:dyDescent="0.2">
      <c r="A432" s="1">
        <v>42136</v>
      </c>
      <c r="B432" s="4">
        <v>1068.2345</v>
      </c>
      <c r="C432">
        <v>1080.4114490376433</v>
      </c>
    </row>
    <row r="433" spans="1:3" x14ac:dyDescent="0.2">
      <c r="A433" s="1">
        <v>42135</v>
      </c>
      <c r="B433" s="4">
        <v>1067.3937000000001</v>
      </c>
      <c r="C433">
        <v>1080.9016871234207</v>
      </c>
    </row>
    <row r="434" spans="1:3" x14ac:dyDescent="0.2">
      <c r="A434" s="1">
        <v>42132</v>
      </c>
      <c r="B434" s="4">
        <v>1066.1468</v>
      </c>
      <c r="C434">
        <v>1079.8139423224466</v>
      </c>
    </row>
    <row r="435" spans="1:3" x14ac:dyDescent="0.2">
      <c r="A435" s="1">
        <v>42131</v>
      </c>
      <c r="B435" s="4">
        <v>1067.2347</v>
      </c>
      <c r="C435">
        <v>1078.7152678481928</v>
      </c>
    </row>
    <row r="436" spans="1:3" x14ac:dyDescent="0.2">
      <c r="A436" s="1">
        <v>42130</v>
      </c>
      <c r="B436" s="4">
        <v>1066.9755</v>
      </c>
      <c r="C436">
        <v>1078.4250567234305</v>
      </c>
    </row>
    <row r="437" spans="1:3" x14ac:dyDescent="0.2">
      <c r="A437" s="1">
        <v>42129</v>
      </c>
      <c r="B437" s="4">
        <v>1066.9656</v>
      </c>
      <c r="C437">
        <v>1078.8561017235972</v>
      </c>
    </row>
    <row r="438" spans="1:3" x14ac:dyDescent="0.2">
      <c r="A438" s="1">
        <v>42128</v>
      </c>
      <c r="B438" s="4">
        <v>1066.7252000000001</v>
      </c>
      <c r="C438">
        <v>1078.8140865577361</v>
      </c>
    </row>
    <row r="439" spans="1:3" x14ac:dyDescent="0.2">
      <c r="A439" s="1">
        <v>42125</v>
      </c>
      <c r="B439" s="4">
        <v>1066.0790999999999</v>
      </c>
      <c r="C439">
        <v>1078.0804774949995</v>
      </c>
    </row>
    <row r="440" spans="1:3" x14ac:dyDescent="0.2">
      <c r="A440" s="1">
        <v>42124</v>
      </c>
      <c r="B440" s="4">
        <v>1065.8364999999999</v>
      </c>
      <c r="C440">
        <v>1078.0804774949995</v>
      </c>
    </row>
    <row r="441" spans="1:3" x14ac:dyDescent="0.2">
      <c r="A441" s="1">
        <v>42123</v>
      </c>
      <c r="B441" s="4">
        <v>1066.6279</v>
      </c>
      <c r="C441">
        <v>1078.2264955968608</v>
      </c>
    </row>
    <row r="442" spans="1:3" x14ac:dyDescent="0.2">
      <c r="A442" s="1">
        <v>42122</v>
      </c>
      <c r="B442" s="4">
        <v>1066.5477000000001</v>
      </c>
      <c r="C442">
        <v>1078.3178698904781</v>
      </c>
    </row>
    <row r="443" spans="1:3" x14ac:dyDescent="0.2">
      <c r="A443" s="1">
        <v>42121</v>
      </c>
      <c r="B443" s="4">
        <v>1067.0001999999999</v>
      </c>
      <c r="C443">
        <v>1078.4891358361356</v>
      </c>
    </row>
    <row r="444" spans="1:3" x14ac:dyDescent="0.2">
      <c r="A444" s="1">
        <v>42118</v>
      </c>
      <c r="B444" s="4">
        <v>1066.337</v>
      </c>
      <c r="C444">
        <v>1077.9158883948792</v>
      </c>
    </row>
    <row r="445" spans="1:3" x14ac:dyDescent="0.2">
      <c r="A445" s="1">
        <v>42117</v>
      </c>
      <c r="B445" s="4">
        <v>1065.6533999999999</v>
      </c>
      <c r="C445">
        <v>1078.201135552813</v>
      </c>
    </row>
    <row r="446" spans="1:3" x14ac:dyDescent="0.2">
      <c r="A446" s="1">
        <v>42116</v>
      </c>
      <c r="B446" s="4">
        <v>1066.3449000000001</v>
      </c>
      <c r="C446">
        <v>1078.4588965296377</v>
      </c>
    </row>
    <row r="447" spans="1:3" x14ac:dyDescent="0.2">
      <c r="A447" s="1">
        <v>42115</v>
      </c>
      <c r="B447" s="4">
        <v>1066.6629</v>
      </c>
      <c r="C447">
        <v>1078.643552681355</v>
      </c>
    </row>
    <row r="448" spans="1:3" x14ac:dyDescent="0.2">
      <c r="A448" s="1">
        <v>42114</v>
      </c>
      <c r="B448" s="4">
        <v>1067.5990999999999</v>
      </c>
      <c r="C448">
        <v>1079.161109303657</v>
      </c>
    </row>
    <row r="449" spans="1:3" x14ac:dyDescent="0.2">
      <c r="A449" s="1">
        <v>42111</v>
      </c>
      <c r="B449" s="4">
        <v>1070.116</v>
      </c>
      <c r="C449">
        <v>1079.5814216636722</v>
      </c>
    </row>
    <row r="450" spans="1:3" x14ac:dyDescent="0.2">
      <c r="A450" s="1">
        <v>42110</v>
      </c>
      <c r="B450" s="4">
        <v>1070.7808</v>
      </c>
      <c r="C450">
        <v>1081.2796624997488</v>
      </c>
    </row>
    <row r="451" spans="1:3" x14ac:dyDescent="0.2">
      <c r="A451" s="1">
        <v>42109</v>
      </c>
      <c r="B451" s="4">
        <v>1070.9183</v>
      </c>
      <c r="C451">
        <v>1081.7320507308416</v>
      </c>
    </row>
    <row r="452" spans="1:3" x14ac:dyDescent="0.2">
      <c r="A452" s="1">
        <v>42108</v>
      </c>
      <c r="B452" s="4">
        <v>1071.4119000000001</v>
      </c>
      <c r="C452">
        <v>1082.1453283718688</v>
      </c>
    </row>
    <row r="453" spans="1:3" x14ac:dyDescent="0.2">
      <c r="A453" s="1">
        <v>42107</v>
      </c>
      <c r="B453" s="4">
        <v>1070.7150999999999</v>
      </c>
      <c r="C453">
        <v>1081.9097923655638</v>
      </c>
    </row>
    <row r="454" spans="1:3" x14ac:dyDescent="0.2">
      <c r="A454" s="1">
        <v>42104</v>
      </c>
      <c r="B454" s="4">
        <v>1070.6021000000001</v>
      </c>
      <c r="C454">
        <v>1080.9329905116599</v>
      </c>
    </row>
    <row r="455" spans="1:3" x14ac:dyDescent="0.2">
      <c r="A455" s="1">
        <v>42103</v>
      </c>
      <c r="B455" s="4">
        <v>1072.1677999999999</v>
      </c>
      <c r="C455">
        <v>1080.8073302194675</v>
      </c>
    </row>
    <row r="456" spans="1:3" x14ac:dyDescent="0.2">
      <c r="A456" s="1">
        <v>42102</v>
      </c>
      <c r="B456" s="4">
        <v>1072.2225000000001</v>
      </c>
      <c r="C456">
        <v>1081.4322380221188</v>
      </c>
    </row>
    <row r="457" spans="1:3" x14ac:dyDescent="0.2">
      <c r="A457" s="1">
        <v>42101</v>
      </c>
      <c r="B457" s="4">
        <v>1071.9148</v>
      </c>
      <c r="C457">
        <v>1082.2219206848933</v>
      </c>
    </row>
    <row r="458" spans="1:3" x14ac:dyDescent="0.2">
      <c r="A458" s="1">
        <v>42100</v>
      </c>
      <c r="B458" s="4">
        <v>1072.3795</v>
      </c>
      <c r="C458">
        <v>1082.1482184556485</v>
      </c>
    </row>
    <row r="459" spans="1:3" x14ac:dyDescent="0.2">
      <c r="A459" s="1">
        <v>42097</v>
      </c>
      <c r="B459" s="4">
        <v>1071.9029</v>
      </c>
      <c r="C459">
        <v>1082.1724952674183</v>
      </c>
    </row>
    <row r="460" spans="1:3" x14ac:dyDescent="0.2">
      <c r="A460" s="1">
        <v>42096</v>
      </c>
      <c r="B460" s="4">
        <v>1071.7279000000001</v>
      </c>
      <c r="C460">
        <v>1082.1724952674183</v>
      </c>
    </row>
    <row r="461" spans="1:3" x14ac:dyDescent="0.2">
      <c r="A461" s="1">
        <v>42095</v>
      </c>
      <c r="B461" s="4">
        <v>1071.6714999999999</v>
      </c>
      <c r="C461">
        <v>1081.6075406671036</v>
      </c>
    </row>
    <row r="462" spans="1:3" x14ac:dyDescent="0.2">
      <c r="A462" s="1">
        <v>42094</v>
      </c>
      <c r="B462" s="4">
        <v>1070.2665</v>
      </c>
      <c r="C462">
        <v>1081.6004936443369</v>
      </c>
    </row>
    <row r="463" spans="1:3" x14ac:dyDescent="0.2">
      <c r="A463" s="1">
        <v>42093</v>
      </c>
      <c r="B463" s="4">
        <v>1070.2471</v>
      </c>
      <c r="C463">
        <v>1081.2521339691646</v>
      </c>
    </row>
    <row r="464" spans="1:3" x14ac:dyDescent="0.2">
      <c r="A464" s="1">
        <v>42090</v>
      </c>
      <c r="B464" s="4">
        <v>1070.0139999999999</v>
      </c>
      <c r="C464">
        <v>1080.6659297554345</v>
      </c>
    </row>
    <row r="465" spans="1:3" x14ac:dyDescent="0.2">
      <c r="A465" s="1">
        <v>42089</v>
      </c>
      <c r="B465" s="4">
        <v>1069.4641999999999</v>
      </c>
      <c r="C465">
        <v>1080.5190264575879</v>
      </c>
    </row>
    <row r="466" spans="1:3" x14ac:dyDescent="0.2">
      <c r="A466" s="1">
        <v>42088</v>
      </c>
      <c r="B466" s="4">
        <v>1069.2221</v>
      </c>
      <c r="C466">
        <v>1080.2009493404867</v>
      </c>
    </row>
    <row r="467" spans="1:3" x14ac:dyDescent="0.2">
      <c r="A467" s="1">
        <v>42087</v>
      </c>
      <c r="B467" s="4">
        <v>1068.0769</v>
      </c>
      <c r="C467">
        <v>1080.0276841581319</v>
      </c>
    </row>
    <row r="468" spans="1:3" x14ac:dyDescent="0.2">
      <c r="A468" s="1">
        <v>42086</v>
      </c>
      <c r="B468" s="4">
        <v>1069.1536000000001</v>
      </c>
      <c r="C468">
        <v>1079.5704926056083</v>
      </c>
    </row>
    <row r="469" spans="1:3" x14ac:dyDescent="0.2">
      <c r="A469" s="1">
        <v>42083</v>
      </c>
      <c r="B469" s="4">
        <v>1068.6559999999999</v>
      </c>
      <c r="C469">
        <v>1079.0099263662994</v>
      </c>
    </row>
    <row r="470" spans="1:3" x14ac:dyDescent="0.2">
      <c r="A470" s="1">
        <v>42082</v>
      </c>
      <c r="B470" s="4">
        <v>1068.4962</v>
      </c>
      <c r="C470">
        <v>1078.6177410989487</v>
      </c>
    </row>
    <row r="471" spans="1:3" x14ac:dyDescent="0.2">
      <c r="A471" s="1">
        <v>42081</v>
      </c>
      <c r="B471" s="4">
        <v>1068.7307000000001</v>
      </c>
      <c r="C471">
        <v>1078.6671912737638</v>
      </c>
    </row>
    <row r="472" spans="1:3" x14ac:dyDescent="0.2">
      <c r="A472" s="1">
        <v>42080</v>
      </c>
      <c r="B472" s="4">
        <v>1068.4465</v>
      </c>
      <c r="C472">
        <v>1078.2907378670579</v>
      </c>
    </row>
    <row r="473" spans="1:3" x14ac:dyDescent="0.2">
      <c r="A473" s="1">
        <v>42079</v>
      </c>
      <c r="B473" s="4">
        <v>1067.2615000000001</v>
      </c>
      <c r="C473">
        <v>1078.1705876881852</v>
      </c>
    </row>
    <row r="474" spans="1:3" x14ac:dyDescent="0.2">
      <c r="A474" s="1">
        <v>42076</v>
      </c>
      <c r="B474" s="4">
        <v>1066.6199999999999</v>
      </c>
      <c r="C474">
        <v>1077.5180467838834</v>
      </c>
    </row>
    <row r="475" spans="1:3" x14ac:dyDescent="0.2">
      <c r="A475" s="1">
        <v>42075</v>
      </c>
      <c r="B475" s="4">
        <v>1065.4029</v>
      </c>
      <c r="C475">
        <v>1076.7929287082006</v>
      </c>
    </row>
    <row r="476" spans="1:3" x14ac:dyDescent="0.2">
      <c r="A476" s="1">
        <v>42074</v>
      </c>
      <c r="B476" s="4">
        <v>1064.7122999999999</v>
      </c>
      <c r="C476">
        <v>1076.1186871771365</v>
      </c>
    </row>
    <row r="477" spans="1:3" x14ac:dyDescent="0.2">
      <c r="A477" s="1">
        <v>42073</v>
      </c>
      <c r="B477" s="4">
        <v>1063.9698000000001</v>
      </c>
      <c r="C477">
        <v>1075.415626433173</v>
      </c>
    </row>
    <row r="478" spans="1:3" x14ac:dyDescent="0.2">
      <c r="A478" s="1">
        <v>42072</v>
      </c>
      <c r="B478" s="4">
        <v>1063.4664</v>
      </c>
      <c r="C478">
        <v>1074.6652744328617</v>
      </c>
    </row>
    <row r="479" spans="1:3" x14ac:dyDescent="0.2">
      <c r="A479" s="1">
        <v>42069</v>
      </c>
      <c r="B479" s="4">
        <v>1061.5835999999999</v>
      </c>
      <c r="C479">
        <v>1074.111600388708</v>
      </c>
    </row>
    <row r="480" spans="1:3" x14ac:dyDescent="0.2">
      <c r="A480" s="1">
        <v>42068</v>
      </c>
      <c r="B480" s="4">
        <v>1061.8121000000001</v>
      </c>
      <c r="C480">
        <v>1073.1555639100898</v>
      </c>
    </row>
    <row r="481" spans="1:3" x14ac:dyDescent="0.2">
      <c r="A481" s="1">
        <v>42067</v>
      </c>
      <c r="B481" s="4">
        <v>1060.6660999999999</v>
      </c>
      <c r="C481">
        <v>1072.2223660887487</v>
      </c>
    </row>
    <row r="482" spans="1:3" x14ac:dyDescent="0.2">
      <c r="A482" s="1">
        <v>42066</v>
      </c>
      <c r="B482" s="4">
        <v>1060.4385</v>
      </c>
      <c r="C482">
        <v>1071.9136490947151</v>
      </c>
    </row>
    <row r="483" spans="1:3" x14ac:dyDescent="0.2">
      <c r="A483" s="1">
        <v>42065</v>
      </c>
      <c r="B483" s="4">
        <v>1060.5831000000001</v>
      </c>
      <c r="C483">
        <v>1071.6917311985433</v>
      </c>
    </row>
    <row r="484" spans="1:3" x14ac:dyDescent="0.2">
      <c r="A484" s="1">
        <v>42062</v>
      </c>
      <c r="B484" s="4">
        <v>1060.3951999999999</v>
      </c>
      <c r="C484">
        <v>1071.3559441589348</v>
      </c>
    </row>
    <row r="485" spans="1:3" x14ac:dyDescent="0.2">
      <c r="A485" s="1">
        <v>42061</v>
      </c>
      <c r="B485" s="4">
        <v>1059.4848999999999</v>
      </c>
      <c r="C485">
        <v>1071.3210474856796</v>
      </c>
    </row>
    <row r="486" spans="1:3" x14ac:dyDescent="0.2">
      <c r="A486" s="1">
        <v>42060</v>
      </c>
      <c r="B486" s="4">
        <v>1059.3601000000001</v>
      </c>
      <c r="C486">
        <v>1070.6929185320294</v>
      </c>
    </row>
    <row r="487" spans="1:3" x14ac:dyDescent="0.2">
      <c r="A487" s="1">
        <v>42059</v>
      </c>
      <c r="B487" s="4">
        <v>1059.0690999999999</v>
      </c>
      <c r="C487">
        <v>1070.3531987189758</v>
      </c>
    </row>
    <row r="488" spans="1:3" x14ac:dyDescent="0.2">
      <c r="A488" s="1">
        <v>42058</v>
      </c>
      <c r="B488" s="4">
        <v>1059.5064</v>
      </c>
      <c r="C488">
        <v>1070.042001916019</v>
      </c>
    </row>
    <row r="489" spans="1:3" x14ac:dyDescent="0.2">
      <c r="A489" s="1">
        <v>42055</v>
      </c>
      <c r="B489" s="4">
        <v>1059.3173999999999</v>
      </c>
      <c r="C489">
        <v>1069.7392407920004</v>
      </c>
    </row>
    <row r="490" spans="1:3" x14ac:dyDescent="0.2">
      <c r="A490" s="1">
        <v>42054</v>
      </c>
      <c r="B490" s="4">
        <v>1059.2481</v>
      </c>
      <c r="C490">
        <v>1069.4493709835463</v>
      </c>
    </row>
    <row r="491" spans="1:3" x14ac:dyDescent="0.2">
      <c r="A491" s="1">
        <v>42053</v>
      </c>
      <c r="B491" s="4">
        <v>1058.2337</v>
      </c>
      <c r="C491">
        <v>1069.151876290327</v>
      </c>
    </row>
    <row r="492" spans="1:3" x14ac:dyDescent="0.2">
      <c r="A492" s="1">
        <v>42052</v>
      </c>
      <c r="B492" s="4">
        <v>1057.7683999999999</v>
      </c>
      <c r="C492">
        <v>1068.5056686103146</v>
      </c>
    </row>
    <row r="493" spans="1:3" x14ac:dyDescent="0.2">
      <c r="A493" s="1">
        <v>42051</v>
      </c>
      <c r="B493" s="4">
        <v>1057.6288</v>
      </c>
      <c r="C493">
        <v>1068.1855578088364</v>
      </c>
    </row>
    <row r="494" spans="1:3" x14ac:dyDescent="0.2">
      <c r="A494" s="1">
        <v>42048</v>
      </c>
      <c r="B494" s="4">
        <v>1057.2371000000001</v>
      </c>
      <c r="C494">
        <v>1067.5760396677899</v>
      </c>
    </row>
    <row r="495" spans="1:3" x14ac:dyDescent="0.2">
      <c r="A495" s="1">
        <v>42047</v>
      </c>
      <c r="B495" s="4">
        <v>1056.5571</v>
      </c>
      <c r="C495">
        <v>1067.4716219240463</v>
      </c>
    </row>
    <row r="496" spans="1:3" x14ac:dyDescent="0.2">
      <c r="A496" s="1">
        <v>42046</v>
      </c>
      <c r="B496" s="4">
        <v>1053.1502</v>
      </c>
      <c r="C496">
        <v>1066.6964536670616</v>
      </c>
    </row>
    <row r="497" spans="1:3" x14ac:dyDescent="0.2">
      <c r="A497" s="1">
        <v>42045</v>
      </c>
      <c r="B497" s="4">
        <v>1054.6377</v>
      </c>
      <c r="C497">
        <v>1067.0239253868444</v>
      </c>
    </row>
    <row r="498" spans="1:3" x14ac:dyDescent="0.2">
      <c r="A498" s="1">
        <v>42044</v>
      </c>
      <c r="B498" s="4">
        <v>1053.3579999999999</v>
      </c>
      <c r="C498">
        <v>1066.1319803593931</v>
      </c>
    </row>
    <row r="499" spans="1:3" x14ac:dyDescent="0.2">
      <c r="A499" s="1">
        <v>42041</v>
      </c>
      <c r="B499" s="4">
        <v>1052.5174999999999</v>
      </c>
      <c r="C499">
        <v>1065.3223706279439</v>
      </c>
    </row>
    <row r="500" spans="1:3" x14ac:dyDescent="0.2">
      <c r="A500" s="1">
        <v>42040</v>
      </c>
      <c r="B500" s="4">
        <v>1051.6750999999999</v>
      </c>
      <c r="C500">
        <v>1062.8563633038279</v>
      </c>
    </row>
    <row r="501" spans="1:3" x14ac:dyDescent="0.2">
      <c r="A501" s="1">
        <v>42039</v>
      </c>
      <c r="B501" s="4">
        <v>1050.3529000000001</v>
      </c>
      <c r="C501">
        <v>1062.4741641719968</v>
      </c>
    </row>
    <row r="502" spans="1:3" x14ac:dyDescent="0.2">
      <c r="A502" s="1">
        <v>42038</v>
      </c>
      <c r="B502" s="4">
        <v>1050.0198</v>
      </c>
      <c r="C502">
        <v>1061.9695624073736</v>
      </c>
    </row>
    <row r="503" spans="1:3" x14ac:dyDescent="0.2">
      <c r="A503" s="1">
        <v>42037</v>
      </c>
      <c r="B503" s="4">
        <v>1049.1296</v>
      </c>
      <c r="C503">
        <v>1060.8937495879411</v>
      </c>
    </row>
    <row r="504" spans="1:3" x14ac:dyDescent="0.2">
      <c r="A504" s="1">
        <v>42034</v>
      </c>
      <c r="B504" s="4">
        <v>1049.4939999999999</v>
      </c>
      <c r="C504">
        <v>1060.3851602014383</v>
      </c>
    </row>
    <row r="505" spans="1:3" x14ac:dyDescent="0.2">
      <c r="A505" s="1">
        <v>42033</v>
      </c>
      <c r="B505" s="4">
        <v>1049.1256000000001</v>
      </c>
      <c r="C505">
        <v>1060.0529406285623</v>
      </c>
    </row>
    <row r="506" spans="1:3" x14ac:dyDescent="0.2">
      <c r="A506" s="1">
        <v>42032</v>
      </c>
      <c r="B506" s="4">
        <v>1048.6799000000001</v>
      </c>
      <c r="C506">
        <v>1059.9117663574389</v>
      </c>
    </row>
    <row r="507" spans="1:3" x14ac:dyDescent="0.2">
      <c r="A507" s="1">
        <v>42031</v>
      </c>
      <c r="B507" s="4">
        <v>1047.8188</v>
      </c>
      <c r="C507">
        <v>1059.3711721192392</v>
      </c>
    </row>
    <row r="508" spans="1:3" x14ac:dyDescent="0.2">
      <c r="A508" s="1">
        <v>42030</v>
      </c>
      <c r="B508" s="4">
        <v>1047.3451</v>
      </c>
      <c r="C508">
        <v>1058.4128923567725</v>
      </c>
    </row>
    <row r="509" spans="1:3" x14ac:dyDescent="0.2">
      <c r="A509" s="1">
        <v>42027</v>
      </c>
      <c r="B509" s="4">
        <v>1046.7867000000001</v>
      </c>
      <c r="C509">
        <v>1058.2415830729794</v>
      </c>
    </row>
    <row r="510" spans="1:3" x14ac:dyDescent="0.2">
      <c r="A510" s="1">
        <v>42026</v>
      </c>
      <c r="B510" s="4">
        <v>1044.7807</v>
      </c>
      <c r="C510">
        <v>1057.8875404737319</v>
      </c>
    </row>
    <row r="511" spans="1:3" x14ac:dyDescent="0.2">
      <c r="A511" s="1">
        <v>42025</v>
      </c>
      <c r="B511" s="4">
        <v>1045.4691</v>
      </c>
      <c r="C511">
        <v>1056.9229766364683</v>
      </c>
    </row>
    <row r="512" spans="1:3" x14ac:dyDescent="0.2">
      <c r="A512" s="1">
        <v>42024</v>
      </c>
      <c r="B512" s="4">
        <v>1043.4956999999999</v>
      </c>
      <c r="C512">
        <v>1056.5427564682973</v>
      </c>
    </row>
    <row r="513" spans="1:3" x14ac:dyDescent="0.2">
      <c r="A513" s="1">
        <v>42023</v>
      </c>
      <c r="B513" s="4">
        <v>1044.0915</v>
      </c>
      <c r="C513">
        <v>1055.4686438841741</v>
      </c>
    </row>
    <row r="514" spans="1:3" x14ac:dyDescent="0.2">
      <c r="A514" s="1">
        <v>42020</v>
      </c>
      <c r="B514" s="4">
        <v>1043.2396000000001</v>
      </c>
      <c r="C514">
        <v>1055.6221343389989</v>
      </c>
    </row>
    <row r="515" spans="1:3" x14ac:dyDescent="0.2">
      <c r="A515" s="1">
        <v>42019</v>
      </c>
      <c r="B515" s="4">
        <v>1043.5984000000001</v>
      </c>
      <c r="C515">
        <v>1055.1201959020059</v>
      </c>
    </row>
    <row r="516" spans="1:3" x14ac:dyDescent="0.2">
      <c r="A516" s="1">
        <v>42018</v>
      </c>
      <c r="B516" s="4">
        <v>1043.6221</v>
      </c>
      <c r="C516">
        <v>1054.5070143659154</v>
      </c>
    </row>
    <row r="517" spans="1:3" x14ac:dyDescent="0.2">
      <c r="A517" s="1">
        <v>42017</v>
      </c>
      <c r="B517" s="4">
        <v>1043.4058</v>
      </c>
      <c r="C517">
        <v>1053.8842480352066</v>
      </c>
    </row>
    <row r="518" spans="1:3" x14ac:dyDescent="0.2">
      <c r="A518" s="1">
        <v>42016</v>
      </c>
      <c r="B518" s="4">
        <v>1042.5827999999999</v>
      </c>
      <c r="C518">
        <v>1053.5212905617877</v>
      </c>
    </row>
    <row r="519" spans="1:3" x14ac:dyDescent="0.2">
      <c r="A519" s="1">
        <v>42013</v>
      </c>
      <c r="B519" s="4">
        <v>1042.3733999999999</v>
      </c>
      <c r="C519">
        <v>1053.3969098501786</v>
      </c>
    </row>
    <row r="520" spans="1:3" x14ac:dyDescent="0.2">
      <c r="A520" s="1">
        <v>42012</v>
      </c>
      <c r="B520" s="4">
        <v>1041.8527999999999</v>
      </c>
      <c r="C520">
        <v>1052.4444459074373</v>
      </c>
    </row>
    <row r="521" spans="1:3" x14ac:dyDescent="0.2">
      <c r="A521" s="1">
        <v>42011</v>
      </c>
      <c r="B521" s="4">
        <v>1040.7402</v>
      </c>
      <c r="C521">
        <v>1052.3251187535971</v>
      </c>
    </row>
    <row r="522" spans="1:3" x14ac:dyDescent="0.2">
      <c r="A522" s="1">
        <v>42010</v>
      </c>
      <c r="B522" s="4">
        <v>1039.3027999999999</v>
      </c>
      <c r="C522">
        <v>1051.7007660980714</v>
      </c>
    </row>
    <row r="523" spans="1:3" x14ac:dyDescent="0.2">
      <c r="A523" s="1">
        <v>42009</v>
      </c>
      <c r="B523" s="4">
        <v>1039.2166999999999</v>
      </c>
      <c r="C523">
        <v>1050.749625997935</v>
      </c>
    </row>
    <row r="524" spans="1:3" x14ac:dyDescent="0.2">
      <c r="A524" s="1">
        <v>42006</v>
      </c>
      <c r="B524" s="4">
        <v>1039.5767000000001</v>
      </c>
      <c r="C524">
        <v>1050.1432780281714</v>
      </c>
    </row>
    <row r="525" spans="1:3" x14ac:dyDescent="0.2">
      <c r="A525" s="1">
        <v>42005</v>
      </c>
      <c r="B525" s="4">
        <v>1039.4848999999999</v>
      </c>
      <c r="C525">
        <v>1050.0146599141756</v>
      </c>
    </row>
    <row r="526" spans="1:3" x14ac:dyDescent="0.2">
      <c r="A526" s="1">
        <v>42004</v>
      </c>
      <c r="B526" s="4">
        <v>1039.4083000000001</v>
      </c>
      <c r="C526">
        <v>1050.0146599141756</v>
      </c>
    </row>
    <row r="527" spans="1:3" x14ac:dyDescent="0.2">
      <c r="A527" s="1">
        <v>42003</v>
      </c>
      <c r="B527" s="4">
        <v>1038.4916000000001</v>
      </c>
      <c r="C527">
        <v>1050.0146599141756</v>
      </c>
    </row>
    <row r="528" spans="1:3" x14ac:dyDescent="0.2">
      <c r="A528" s="1">
        <v>42002</v>
      </c>
      <c r="B528" s="4">
        <v>1038.6796999999999</v>
      </c>
      <c r="C528">
        <v>1049.6100660307086</v>
      </c>
    </row>
    <row r="529" spans="1:3" x14ac:dyDescent="0.2">
      <c r="A529" s="1">
        <v>41999</v>
      </c>
      <c r="B529" s="4">
        <v>1037.3199</v>
      </c>
      <c r="C529">
        <v>1048.9483024767878</v>
      </c>
    </row>
    <row r="530" spans="1:3" x14ac:dyDescent="0.2">
      <c r="A530" s="1">
        <v>41998</v>
      </c>
      <c r="B530" s="4">
        <v>1036.7248999999999</v>
      </c>
      <c r="C530">
        <v>1048.636894378302</v>
      </c>
    </row>
    <row r="531" spans="1:3" x14ac:dyDescent="0.2">
      <c r="A531" s="1">
        <v>41997</v>
      </c>
      <c r="B531" s="4">
        <v>1036.6279999999999</v>
      </c>
      <c r="C531">
        <v>1048.636894378302</v>
      </c>
    </row>
    <row r="532" spans="1:3" x14ac:dyDescent="0.2">
      <c r="A532" s="1">
        <v>41996</v>
      </c>
      <c r="B532" s="4">
        <v>1035.6482000000001</v>
      </c>
      <c r="C532">
        <v>1047.8536040638353</v>
      </c>
    </row>
    <row r="533" spans="1:3" x14ac:dyDescent="0.2">
      <c r="A533" s="1">
        <v>41995</v>
      </c>
      <c r="B533" s="4">
        <v>1035.7365</v>
      </c>
      <c r="C533">
        <v>1047.1572132683987</v>
      </c>
    </row>
    <row r="534" spans="1:3" x14ac:dyDescent="0.2">
      <c r="A534" s="1">
        <v>41992</v>
      </c>
      <c r="B534" s="4">
        <v>1035.4373000000001</v>
      </c>
      <c r="C534">
        <v>1046.9592447882437</v>
      </c>
    </row>
    <row r="535" spans="1:3" x14ac:dyDescent="0.2">
      <c r="A535" s="1">
        <v>41991</v>
      </c>
      <c r="B535" s="4">
        <v>1035.1731</v>
      </c>
      <c r="C535">
        <v>1047.2217604475661</v>
      </c>
    </row>
    <row r="536" spans="1:3" x14ac:dyDescent="0.2">
      <c r="A536" s="1">
        <v>41990</v>
      </c>
      <c r="B536" s="4">
        <v>1035.5304000000001</v>
      </c>
      <c r="C536">
        <v>1047.2175582422717</v>
      </c>
    </row>
    <row r="537" spans="1:3" x14ac:dyDescent="0.2">
      <c r="A537" s="1">
        <v>41989</v>
      </c>
      <c r="B537" s="4">
        <v>1036.2417</v>
      </c>
      <c r="C537">
        <v>1047.7816533687305</v>
      </c>
    </row>
    <row r="538" spans="1:3" x14ac:dyDescent="0.2">
      <c r="A538" s="1">
        <v>41988</v>
      </c>
      <c r="B538" s="4">
        <v>1036.768</v>
      </c>
      <c r="C538">
        <v>1048.693951830641</v>
      </c>
    </row>
    <row r="539" spans="1:3" x14ac:dyDescent="0.2">
      <c r="A539" s="1">
        <v>41985</v>
      </c>
      <c r="B539" s="4">
        <v>1037.7021</v>
      </c>
      <c r="C539">
        <v>1049.4014182309377</v>
      </c>
    </row>
    <row r="540" spans="1:3" x14ac:dyDescent="0.2">
      <c r="A540" s="1">
        <v>41984</v>
      </c>
      <c r="B540" s="4">
        <v>1039.4757</v>
      </c>
      <c r="C540">
        <v>1050.4425394689488</v>
      </c>
    </row>
    <row r="541" spans="1:3" x14ac:dyDescent="0.2">
      <c r="A541" s="1">
        <v>41983</v>
      </c>
      <c r="B541" s="4">
        <v>1039.7489</v>
      </c>
      <c r="C541">
        <v>1051.3808358488543</v>
      </c>
    </row>
    <row r="542" spans="1:3" x14ac:dyDescent="0.2">
      <c r="A542" s="1">
        <v>41982</v>
      </c>
      <c r="B542" s="4">
        <v>1039.7530999999999</v>
      </c>
      <c r="C542">
        <v>1052.0147445222547</v>
      </c>
    </row>
    <row r="543" spans="1:3" x14ac:dyDescent="0.2">
      <c r="A543" s="1">
        <v>41981</v>
      </c>
      <c r="B543" s="4">
        <v>1039.3798999999999</v>
      </c>
      <c r="C543">
        <v>1050.8056172848951</v>
      </c>
    </row>
    <row r="544" spans="1:3" x14ac:dyDescent="0.2">
      <c r="A544" s="1">
        <v>41978</v>
      </c>
      <c r="B544" s="4">
        <v>1038.3562999999999</v>
      </c>
      <c r="C544">
        <v>1050.8056172848951</v>
      </c>
    </row>
    <row r="545" spans="1:3" x14ac:dyDescent="0.2">
      <c r="A545" s="1">
        <v>41977</v>
      </c>
      <c r="B545" s="4">
        <v>1038.6223</v>
      </c>
      <c r="C545">
        <v>1050.7784939783317</v>
      </c>
    </row>
    <row r="546" spans="1:3" x14ac:dyDescent="0.2">
      <c r="A546" s="1">
        <v>41976</v>
      </c>
      <c r="B546" s="4">
        <v>1038.4175</v>
      </c>
      <c r="C546">
        <v>1050.718668439461</v>
      </c>
    </row>
    <row r="547" spans="1:3" x14ac:dyDescent="0.2">
      <c r="A547" s="1">
        <v>41975</v>
      </c>
      <c r="B547" s="4">
        <v>1039.0624</v>
      </c>
      <c r="C547">
        <v>1050.2251081317822</v>
      </c>
    </row>
    <row r="548" spans="1:3" x14ac:dyDescent="0.2">
      <c r="A548" s="1">
        <v>41974</v>
      </c>
      <c r="B548" s="4">
        <v>1039.3309999999999</v>
      </c>
      <c r="C548">
        <v>1050.1344045025244</v>
      </c>
    </row>
    <row r="549" spans="1:3" x14ac:dyDescent="0.2">
      <c r="A549" s="1">
        <v>41971</v>
      </c>
      <c r="B549" s="4">
        <v>1038.1567</v>
      </c>
      <c r="C549">
        <v>1049.5196926395035</v>
      </c>
    </row>
    <row r="550" spans="1:3" x14ac:dyDescent="0.2">
      <c r="A550" s="1">
        <v>41970</v>
      </c>
      <c r="B550" s="4">
        <v>1037.2429</v>
      </c>
      <c r="C550">
        <v>1049.6696968256299</v>
      </c>
    </row>
    <row r="551" spans="1:3" x14ac:dyDescent="0.2">
      <c r="A551" s="1">
        <v>41969</v>
      </c>
      <c r="B551" s="4">
        <v>1037.3132000000001</v>
      </c>
      <c r="C551">
        <v>1049.382074308915</v>
      </c>
    </row>
    <row r="552" spans="1:3" x14ac:dyDescent="0.2">
      <c r="A552" s="1">
        <v>41968</v>
      </c>
      <c r="B552" s="4">
        <v>1036.9822999999999</v>
      </c>
      <c r="C552">
        <v>1049.4599306118384</v>
      </c>
    </row>
    <row r="553" spans="1:3" x14ac:dyDescent="0.2">
      <c r="A553" s="1">
        <v>41967</v>
      </c>
      <c r="B553" s="4">
        <v>1036.8699999999999</v>
      </c>
      <c r="C553">
        <v>1049.1426491583036</v>
      </c>
    </row>
    <row r="554" spans="1:3" x14ac:dyDescent="0.2">
      <c r="A554" s="1">
        <v>41964</v>
      </c>
      <c r="B554" s="4">
        <v>1035.5922</v>
      </c>
      <c r="C554">
        <v>1048.2676033159585</v>
      </c>
    </row>
    <row r="555" spans="1:3" x14ac:dyDescent="0.2">
      <c r="A555" s="1">
        <v>41963</v>
      </c>
      <c r="B555" s="4">
        <v>1034.8646000000001</v>
      </c>
      <c r="C555">
        <v>1047.8159662194207</v>
      </c>
    </row>
    <row r="556" spans="1:3" x14ac:dyDescent="0.2">
      <c r="A556" s="1">
        <v>41962</v>
      </c>
      <c r="B556" s="4">
        <v>1034.5074999999999</v>
      </c>
      <c r="C556">
        <v>1047.3326322283001</v>
      </c>
    </row>
    <row r="557" spans="1:3" x14ac:dyDescent="0.2">
      <c r="A557" s="1">
        <v>41961</v>
      </c>
      <c r="B557" s="4">
        <v>1034.1986999999999</v>
      </c>
      <c r="C557">
        <v>1047.2135800538017</v>
      </c>
    </row>
    <row r="558" spans="1:3" x14ac:dyDescent="0.2">
      <c r="A558" s="1">
        <v>41960</v>
      </c>
      <c r="B558" s="4">
        <v>1033.8954000000001</v>
      </c>
      <c r="C558">
        <v>1046.5735991430136</v>
      </c>
    </row>
    <row r="559" spans="1:3" x14ac:dyDescent="0.2">
      <c r="A559" s="1">
        <v>41957</v>
      </c>
      <c r="B559" s="4">
        <v>1032.8856000000001</v>
      </c>
      <c r="C559">
        <v>1045.5235716817658</v>
      </c>
    </row>
    <row r="560" spans="1:3" x14ac:dyDescent="0.2">
      <c r="A560" s="1">
        <v>41956</v>
      </c>
      <c r="B560" s="4">
        <v>1031.9643000000001</v>
      </c>
      <c r="C560">
        <v>1045.2458405421219</v>
      </c>
    </row>
    <row r="561" spans="1:3" x14ac:dyDescent="0.2">
      <c r="A561" s="1">
        <v>41955</v>
      </c>
      <c r="B561" s="4">
        <v>1031.4202</v>
      </c>
      <c r="C561">
        <v>1044.4609923034461</v>
      </c>
    </row>
    <row r="562" spans="1:3" x14ac:dyDescent="0.2">
      <c r="A562" s="1">
        <v>41954</v>
      </c>
      <c r="B562" s="4">
        <v>1031.1488999999999</v>
      </c>
      <c r="C562">
        <v>1043.779252411633</v>
      </c>
    </row>
    <row r="563" spans="1:3" x14ac:dyDescent="0.2">
      <c r="A563" s="1">
        <v>41953</v>
      </c>
      <c r="B563" s="4">
        <v>1030.6733999999999</v>
      </c>
      <c r="C563">
        <v>1043.3220888519777</v>
      </c>
    </row>
    <row r="564" spans="1:3" x14ac:dyDescent="0.2">
      <c r="A564" s="1">
        <v>41950</v>
      </c>
      <c r="B564" s="4">
        <v>1029.6038000000001</v>
      </c>
      <c r="C564">
        <v>1042.6449296906262</v>
      </c>
    </row>
    <row r="565" spans="1:3" x14ac:dyDescent="0.2">
      <c r="A565" s="1">
        <v>41949</v>
      </c>
      <c r="B565" s="4">
        <v>1029.634</v>
      </c>
      <c r="C565">
        <v>1041.1900964997405</v>
      </c>
    </row>
    <row r="566" spans="1:3" x14ac:dyDescent="0.2">
      <c r="A566" s="1">
        <v>41948</v>
      </c>
      <c r="B566" s="4">
        <v>1029.5246999999999</v>
      </c>
      <c r="C566">
        <v>1040.8691607219291</v>
      </c>
    </row>
    <row r="567" spans="1:3" x14ac:dyDescent="0.2">
      <c r="A567" s="1">
        <v>41947</v>
      </c>
      <c r="B567" s="4">
        <v>1029.7529999999999</v>
      </c>
      <c r="C567">
        <v>1040.9404015847392</v>
      </c>
    </row>
    <row r="568" spans="1:3" x14ac:dyDescent="0.2">
      <c r="A568" s="1">
        <v>41946</v>
      </c>
      <c r="B568" s="4">
        <v>1029.5994000000001</v>
      </c>
      <c r="C568">
        <v>1041.1624270238124</v>
      </c>
    </row>
    <row r="569" spans="1:3" x14ac:dyDescent="0.2">
      <c r="A569" s="1">
        <v>41943</v>
      </c>
      <c r="B569" s="4">
        <v>1028.3236999999999</v>
      </c>
      <c r="C569">
        <v>1040.4511114191118</v>
      </c>
    </row>
    <row r="570" spans="1:3" x14ac:dyDescent="0.2">
      <c r="A570" s="1">
        <v>41942</v>
      </c>
      <c r="B570" s="4">
        <v>1028.0346</v>
      </c>
      <c r="C570">
        <v>1040.4511114191118</v>
      </c>
    </row>
    <row r="571" spans="1:3" x14ac:dyDescent="0.2">
      <c r="A571" s="1">
        <v>41941</v>
      </c>
      <c r="B571" s="4">
        <v>1027.9785999999999</v>
      </c>
      <c r="C571">
        <v>1040.5899555911228</v>
      </c>
    </row>
    <row r="572" spans="1:3" x14ac:dyDescent="0.2">
      <c r="A572" s="1">
        <v>41940</v>
      </c>
      <c r="B572" s="4">
        <v>1028.0051000000001</v>
      </c>
      <c r="C572">
        <v>1040.4839334483038</v>
      </c>
    </row>
    <row r="573" spans="1:3" x14ac:dyDescent="0.2">
      <c r="A573" s="1">
        <v>41939</v>
      </c>
      <c r="B573" s="4">
        <v>1028.6239</v>
      </c>
      <c r="C573">
        <v>1040.5764959876026</v>
      </c>
    </row>
    <row r="574" spans="1:3" x14ac:dyDescent="0.2">
      <c r="A574" s="1">
        <v>41936</v>
      </c>
      <c r="B574" s="4">
        <v>1027.8539000000001</v>
      </c>
      <c r="C574">
        <v>1040.0532855387066</v>
      </c>
    </row>
    <row r="575" spans="1:3" x14ac:dyDescent="0.2">
      <c r="A575" s="1">
        <v>41935</v>
      </c>
      <c r="B575" s="4">
        <v>1027.2683999999999</v>
      </c>
      <c r="C575">
        <v>1040.0974947682773</v>
      </c>
    </row>
    <row r="576" spans="1:3" x14ac:dyDescent="0.2">
      <c r="A576" s="1">
        <v>41934</v>
      </c>
      <c r="B576" s="4">
        <v>1026.7628</v>
      </c>
      <c r="C576">
        <v>1040.365829440834</v>
      </c>
    </row>
    <row r="577" spans="1:3" x14ac:dyDescent="0.2">
      <c r="A577" s="1">
        <v>41933</v>
      </c>
      <c r="B577" s="4">
        <v>1026.7781</v>
      </c>
      <c r="C577">
        <v>1040.3164114034464</v>
      </c>
    </row>
    <row r="578" spans="1:3" x14ac:dyDescent="0.2">
      <c r="A578" s="1">
        <v>41932</v>
      </c>
      <c r="B578" s="4">
        <v>1026.5822000000001</v>
      </c>
      <c r="C578">
        <v>1040.2178483252267</v>
      </c>
    </row>
    <row r="579" spans="1:3" x14ac:dyDescent="0.2">
      <c r="A579" s="1">
        <v>41929</v>
      </c>
      <c r="B579" s="4">
        <v>1025.7996000000001</v>
      </c>
      <c r="C579">
        <v>1039.4925668855092</v>
      </c>
    </row>
    <row r="580" spans="1:3" x14ac:dyDescent="0.2">
      <c r="A580" s="1">
        <v>41928</v>
      </c>
      <c r="B580" s="4">
        <v>1025.5988</v>
      </c>
      <c r="C580">
        <v>1039.5392267409304</v>
      </c>
    </row>
    <row r="581" spans="1:3" x14ac:dyDescent="0.2">
      <c r="A581" s="1">
        <v>41927</v>
      </c>
      <c r="B581" s="4">
        <v>1024.5128</v>
      </c>
      <c r="C581">
        <v>1039.4980968777907</v>
      </c>
    </row>
    <row r="582" spans="1:3" x14ac:dyDescent="0.2">
      <c r="A582" s="1">
        <v>41926</v>
      </c>
      <c r="B582" s="4">
        <v>1024.2009</v>
      </c>
      <c r="C582">
        <v>1039.0042614403962</v>
      </c>
    </row>
    <row r="583" spans="1:3" x14ac:dyDescent="0.2">
      <c r="A583" s="1">
        <v>41925</v>
      </c>
      <c r="B583" s="4">
        <v>1024.1959999999999</v>
      </c>
      <c r="C583">
        <v>1038.8292567212382</v>
      </c>
    </row>
    <row r="584" spans="1:3" x14ac:dyDescent="0.2">
      <c r="A584" s="1">
        <v>41922</v>
      </c>
      <c r="B584" s="4">
        <v>1022.9081</v>
      </c>
      <c r="C584">
        <v>1038.6222722924306</v>
      </c>
    </row>
    <row r="585" spans="1:3" x14ac:dyDescent="0.2">
      <c r="A585" s="1">
        <v>41921</v>
      </c>
      <c r="B585" s="4">
        <v>1023.2626</v>
      </c>
      <c r="C585">
        <v>1038.4878765555752</v>
      </c>
    </row>
    <row r="586" spans="1:3" x14ac:dyDescent="0.2">
      <c r="A586" s="1">
        <v>41920</v>
      </c>
      <c r="B586" s="4">
        <v>1025.8343</v>
      </c>
      <c r="C586">
        <v>1037.9941568910547</v>
      </c>
    </row>
    <row r="587" spans="1:3" x14ac:dyDescent="0.2">
      <c r="A587" s="1">
        <v>41919</v>
      </c>
      <c r="B587" s="4">
        <v>1026.8520000000001</v>
      </c>
      <c r="C587">
        <v>1037.8284684505429</v>
      </c>
    </row>
    <row r="588" spans="1:3" x14ac:dyDescent="0.2">
      <c r="A588" s="1">
        <v>41918</v>
      </c>
      <c r="B588" s="4">
        <v>1026.9338</v>
      </c>
      <c r="C588">
        <v>1038.477688364791</v>
      </c>
    </row>
    <row r="589" spans="1:3" x14ac:dyDescent="0.2">
      <c r="A589" s="1">
        <v>41915</v>
      </c>
      <c r="B589" s="4">
        <v>1026.9311</v>
      </c>
      <c r="C589">
        <v>1038.6458408238086</v>
      </c>
    </row>
    <row r="590" spans="1:3" x14ac:dyDescent="0.2">
      <c r="A590" s="1">
        <v>41914</v>
      </c>
      <c r="B590" s="4">
        <v>1027.0853999999999</v>
      </c>
      <c r="C590">
        <v>1039.5567312482469</v>
      </c>
    </row>
    <row r="591" spans="1:3" x14ac:dyDescent="0.2">
      <c r="A591" s="1">
        <v>41913</v>
      </c>
      <c r="B591" s="4">
        <v>1027.7437</v>
      </c>
      <c r="C591">
        <v>1039.3041689579468</v>
      </c>
    </row>
    <row r="592" spans="1:3" x14ac:dyDescent="0.2">
      <c r="A592" s="1">
        <v>41912</v>
      </c>
      <c r="B592" s="4">
        <v>1027.8934999999999</v>
      </c>
      <c r="C592">
        <v>1039.902293600373</v>
      </c>
    </row>
    <row r="593" spans="1:3" x14ac:dyDescent="0.2">
      <c r="A593" s="1">
        <v>41911</v>
      </c>
      <c r="B593" s="4">
        <v>1028.6591000000001</v>
      </c>
      <c r="C593">
        <v>1040.1893717381263</v>
      </c>
    </row>
    <row r="594" spans="1:3" x14ac:dyDescent="0.2">
      <c r="A594" s="1">
        <v>41908</v>
      </c>
      <c r="B594" s="4">
        <v>1028.9099000000001</v>
      </c>
      <c r="C594">
        <v>1040.387616272069</v>
      </c>
    </row>
    <row r="595" spans="1:3" x14ac:dyDescent="0.2">
      <c r="A595" s="1">
        <v>41907</v>
      </c>
      <c r="B595" s="4">
        <v>1029.6056000000001</v>
      </c>
      <c r="C595">
        <v>1040.7185271522224</v>
      </c>
    </row>
    <row r="596" spans="1:3" x14ac:dyDescent="0.2">
      <c r="A596" s="1">
        <v>41906</v>
      </c>
      <c r="B596" s="4">
        <v>1029.9971</v>
      </c>
      <c r="C596">
        <v>1040.9388280918542</v>
      </c>
    </row>
    <row r="597" spans="1:3" x14ac:dyDescent="0.2">
      <c r="A597" s="1">
        <v>41905</v>
      </c>
      <c r="B597" s="4">
        <v>1029.6436000000001</v>
      </c>
      <c r="C597">
        <v>1041.0205858922411</v>
      </c>
    </row>
    <row r="598" spans="1:3" x14ac:dyDescent="0.2">
      <c r="A598" s="1">
        <v>41904</v>
      </c>
      <c r="B598" s="4">
        <v>1029.8114</v>
      </c>
      <c r="C598">
        <v>1040.7878866666229</v>
      </c>
    </row>
    <row r="599" spans="1:3" x14ac:dyDescent="0.2">
      <c r="A599" s="1">
        <v>41901</v>
      </c>
      <c r="B599" s="4">
        <v>1029.7565999999999</v>
      </c>
      <c r="C599">
        <v>1039.6988230505449</v>
      </c>
    </row>
    <row r="600" spans="1:3" x14ac:dyDescent="0.2">
      <c r="A600" s="1">
        <v>41900</v>
      </c>
      <c r="B600" s="4">
        <v>1029.5972999999999</v>
      </c>
      <c r="C600">
        <v>1039.6988230505449</v>
      </c>
    </row>
    <row r="601" spans="1:3" x14ac:dyDescent="0.2">
      <c r="A601" s="1">
        <v>41899</v>
      </c>
      <c r="B601" s="4">
        <v>1029.4490000000001</v>
      </c>
      <c r="C601">
        <v>1039.6988230505449</v>
      </c>
    </row>
    <row r="602" spans="1:3" x14ac:dyDescent="0.2">
      <c r="A602" s="1">
        <v>41898</v>
      </c>
      <c r="B602" s="4">
        <v>1029.971</v>
      </c>
      <c r="C602">
        <v>1040.3683700292231</v>
      </c>
    </row>
    <row r="603" spans="1:3" x14ac:dyDescent="0.2">
      <c r="A603" s="1">
        <v>41897</v>
      </c>
      <c r="B603" s="4">
        <v>1029.9751000000001</v>
      </c>
      <c r="C603">
        <v>1040.0647517155967</v>
      </c>
    </row>
    <row r="604" spans="1:3" x14ac:dyDescent="0.2">
      <c r="A604" s="1">
        <v>41894</v>
      </c>
      <c r="B604" s="4">
        <v>1031.6512</v>
      </c>
      <c r="C604">
        <v>1039.555314419194</v>
      </c>
    </row>
    <row r="605" spans="1:3" x14ac:dyDescent="0.2">
      <c r="A605" s="1">
        <v>41893</v>
      </c>
      <c r="B605" s="4">
        <v>1032.1346000000001</v>
      </c>
      <c r="C605">
        <v>1040.2590011081054</v>
      </c>
    </row>
    <row r="606" spans="1:3" x14ac:dyDescent="0.2">
      <c r="A606" s="1">
        <v>41892</v>
      </c>
      <c r="B606" s="4">
        <v>1031.9242999999999</v>
      </c>
      <c r="C606">
        <v>1040.2194151783788</v>
      </c>
    </row>
    <row r="607" spans="1:3" x14ac:dyDescent="0.2">
      <c r="A607" s="1">
        <v>41891</v>
      </c>
      <c r="B607" s="4">
        <v>1031.8294000000001</v>
      </c>
      <c r="C607">
        <v>1040.3213639832261</v>
      </c>
    </row>
    <row r="608" spans="1:3" x14ac:dyDescent="0.2">
      <c r="A608" s="1">
        <v>41890</v>
      </c>
      <c r="B608" s="4">
        <v>1032.8146999999999</v>
      </c>
      <c r="C608">
        <v>1040.690830843547</v>
      </c>
    </row>
    <row r="609" spans="1:3" x14ac:dyDescent="0.2">
      <c r="A609" s="1">
        <v>41887</v>
      </c>
      <c r="B609" s="4">
        <v>1034.7949000000001</v>
      </c>
      <c r="C609">
        <v>1039.9936963520113</v>
      </c>
    </row>
    <row r="610" spans="1:3" x14ac:dyDescent="0.2">
      <c r="A610" s="1">
        <v>41886</v>
      </c>
      <c r="B610" s="4">
        <v>1034.9101000000001</v>
      </c>
      <c r="C610">
        <v>1041.1003817173289</v>
      </c>
    </row>
    <row r="611" spans="1:3" x14ac:dyDescent="0.2">
      <c r="A611" s="1">
        <v>41885</v>
      </c>
      <c r="B611" s="4">
        <v>1034.116</v>
      </c>
      <c r="C611">
        <v>1041.790258647851</v>
      </c>
    </row>
    <row r="612" spans="1:3" x14ac:dyDescent="0.2">
      <c r="A612" s="1">
        <v>41884</v>
      </c>
      <c r="B612" s="4">
        <v>1033.3913</v>
      </c>
      <c r="C612">
        <v>1041.4902780232787</v>
      </c>
    </row>
    <row r="613" spans="1:3" x14ac:dyDescent="0.2">
      <c r="A613" s="1">
        <v>41883</v>
      </c>
      <c r="B613" s="4">
        <v>1033.6170999999999</v>
      </c>
      <c r="C613">
        <v>1040.9381384605701</v>
      </c>
    </row>
    <row r="614" spans="1:3" x14ac:dyDescent="0.2">
      <c r="A614" s="1">
        <v>41880</v>
      </c>
      <c r="B614" s="4">
        <v>1032.9477999999999</v>
      </c>
      <c r="C614">
        <v>1040.4201853293071</v>
      </c>
    </row>
    <row r="615" spans="1:3" x14ac:dyDescent="0.2">
      <c r="A615" s="1">
        <v>41879</v>
      </c>
      <c r="B615" s="4">
        <v>1032.5342000000001</v>
      </c>
      <c r="C615">
        <v>1040.0893796404678</v>
      </c>
    </row>
    <row r="616" spans="1:3" x14ac:dyDescent="0.2">
      <c r="A616" s="1">
        <v>41878</v>
      </c>
      <c r="B616" s="4">
        <v>1031.8477</v>
      </c>
      <c r="C616">
        <v>1039.4618132271387</v>
      </c>
    </row>
    <row r="617" spans="1:3" x14ac:dyDescent="0.2">
      <c r="A617" s="1">
        <v>41877</v>
      </c>
      <c r="B617" s="4">
        <v>1031.6622</v>
      </c>
      <c r="C617">
        <v>1038.949993429329</v>
      </c>
    </row>
    <row r="618" spans="1:3" x14ac:dyDescent="0.2">
      <c r="A618" s="1">
        <v>41876</v>
      </c>
      <c r="B618" s="4">
        <v>1031.1568</v>
      </c>
      <c r="C618">
        <v>1038.7982125382032</v>
      </c>
    </row>
    <row r="619" spans="1:3" x14ac:dyDescent="0.2">
      <c r="A619" s="1">
        <v>41873</v>
      </c>
      <c r="B619" s="4">
        <v>1030.5452</v>
      </c>
      <c r="C619">
        <v>1038.1075308282593</v>
      </c>
    </row>
    <row r="620" spans="1:3" x14ac:dyDescent="0.2">
      <c r="A620" s="1">
        <v>41872</v>
      </c>
      <c r="B620" s="4">
        <v>1028.0150000000001</v>
      </c>
      <c r="C620">
        <v>1037.6464947250361</v>
      </c>
    </row>
    <row r="621" spans="1:3" x14ac:dyDescent="0.2">
      <c r="A621" s="1">
        <v>41871</v>
      </c>
      <c r="B621" s="4">
        <v>1027.4394</v>
      </c>
      <c r="C621">
        <v>1036.5946380193918</v>
      </c>
    </row>
    <row r="622" spans="1:3" x14ac:dyDescent="0.2">
      <c r="A622" s="1">
        <v>41870</v>
      </c>
      <c r="B622" s="4">
        <v>1026.6872000000001</v>
      </c>
      <c r="C622">
        <v>1035.7929678401595</v>
      </c>
    </row>
    <row r="623" spans="1:3" x14ac:dyDescent="0.2">
      <c r="A623" s="1">
        <v>41869</v>
      </c>
      <c r="B623" s="4">
        <v>1026.3833999999999</v>
      </c>
      <c r="C623">
        <v>1035.359074868612</v>
      </c>
    </row>
    <row r="624" spans="1:3" x14ac:dyDescent="0.2">
      <c r="A624" s="1">
        <v>41866</v>
      </c>
      <c r="B624" s="4">
        <v>1024.8981000000001</v>
      </c>
      <c r="C624">
        <v>1034.001063111748</v>
      </c>
    </row>
    <row r="625" spans="1:3" x14ac:dyDescent="0.2">
      <c r="A625" s="1">
        <v>41865</v>
      </c>
      <c r="B625" s="4">
        <v>1024.7759000000001</v>
      </c>
      <c r="C625">
        <v>1034.001063111748</v>
      </c>
    </row>
    <row r="626" spans="1:3" x14ac:dyDescent="0.2">
      <c r="A626" s="1">
        <v>41864</v>
      </c>
      <c r="B626" s="4">
        <v>1023.7254</v>
      </c>
      <c r="C626">
        <v>1033.1763158080057</v>
      </c>
    </row>
    <row r="627" spans="1:3" x14ac:dyDescent="0.2">
      <c r="A627" s="1">
        <v>41863</v>
      </c>
      <c r="B627" s="4">
        <v>1023.0242</v>
      </c>
      <c r="C627">
        <v>1032.0878893857998</v>
      </c>
    </row>
    <row r="628" spans="1:3" x14ac:dyDescent="0.2">
      <c r="A628" s="1">
        <v>41862</v>
      </c>
      <c r="B628" s="4">
        <v>1022.3371</v>
      </c>
      <c r="C628">
        <v>1031.5024658951811</v>
      </c>
    </row>
    <row r="629" spans="1:3" x14ac:dyDescent="0.2">
      <c r="A629" s="1">
        <v>41859</v>
      </c>
      <c r="B629" s="4">
        <v>1021.4928</v>
      </c>
      <c r="C629">
        <v>1031.0098680445622</v>
      </c>
    </row>
    <row r="630" spans="1:3" x14ac:dyDescent="0.2">
      <c r="A630" s="1">
        <v>41858</v>
      </c>
      <c r="B630" s="4">
        <v>1020.5912</v>
      </c>
      <c r="C630">
        <v>1030.3286404690739</v>
      </c>
    </row>
    <row r="631" spans="1:3" x14ac:dyDescent="0.2">
      <c r="A631" s="1">
        <v>41857</v>
      </c>
      <c r="B631" s="4">
        <v>1019.857</v>
      </c>
      <c r="C631">
        <v>1029.4168377866904</v>
      </c>
    </row>
    <row r="632" spans="1:3" x14ac:dyDescent="0.2">
      <c r="A632" s="1">
        <v>41856</v>
      </c>
      <c r="B632" s="4">
        <v>1019.1994</v>
      </c>
      <c r="C632">
        <v>1028.6248342385497</v>
      </c>
    </row>
    <row r="633" spans="1:3" x14ac:dyDescent="0.2">
      <c r="A633" s="1">
        <v>41855</v>
      </c>
      <c r="B633" s="4">
        <v>1018.7819</v>
      </c>
      <c r="C633">
        <v>1027.8602419705642</v>
      </c>
    </row>
    <row r="634" spans="1:3" x14ac:dyDescent="0.2">
      <c r="A634" s="1">
        <v>41852</v>
      </c>
      <c r="B634" s="4">
        <v>1018.7125</v>
      </c>
      <c r="C634">
        <v>1027.4284224734031</v>
      </c>
    </row>
    <row r="635" spans="1:3" x14ac:dyDescent="0.2">
      <c r="A635" s="1">
        <v>41851</v>
      </c>
      <c r="B635" s="4">
        <v>1017.9192</v>
      </c>
      <c r="C635">
        <v>1027.1239821830179</v>
      </c>
    </row>
    <row r="636" spans="1:3" x14ac:dyDescent="0.2">
      <c r="A636" s="1">
        <v>41850</v>
      </c>
      <c r="B636" s="4">
        <v>1017.7905</v>
      </c>
      <c r="C636">
        <v>1026.7169600831739</v>
      </c>
    </row>
    <row r="637" spans="1:3" x14ac:dyDescent="0.2">
      <c r="A637" s="1">
        <v>41849</v>
      </c>
      <c r="B637" s="4">
        <v>1017.6668</v>
      </c>
      <c r="C637">
        <v>1026.1743819833609</v>
      </c>
    </row>
    <row r="638" spans="1:3" x14ac:dyDescent="0.2">
      <c r="A638" s="1">
        <v>41848</v>
      </c>
      <c r="B638" s="4">
        <v>1017.1823000000001</v>
      </c>
      <c r="C638">
        <v>1025.7190254551901</v>
      </c>
    </row>
    <row r="639" spans="1:3" x14ac:dyDescent="0.2">
      <c r="A639" s="1">
        <v>41845</v>
      </c>
      <c r="B639" s="4">
        <v>1016.5028</v>
      </c>
      <c r="C639">
        <v>1025.3535000597378</v>
      </c>
    </row>
    <row r="640" spans="1:3" x14ac:dyDescent="0.2">
      <c r="A640" s="1">
        <v>41844</v>
      </c>
      <c r="B640" s="4">
        <v>1016.1407</v>
      </c>
      <c r="C640">
        <v>1025.1826079289112</v>
      </c>
    </row>
    <row r="641" spans="1:3" x14ac:dyDescent="0.2">
      <c r="A641" s="1">
        <v>41843</v>
      </c>
      <c r="B641" s="4">
        <v>1015.8083</v>
      </c>
      <c r="C641">
        <v>1024.9403517588237</v>
      </c>
    </row>
    <row r="642" spans="1:3" x14ac:dyDescent="0.2">
      <c r="A642" s="1">
        <v>41842</v>
      </c>
      <c r="B642" s="4">
        <v>1015.6636</v>
      </c>
      <c r="C642">
        <v>1024.6956226823474</v>
      </c>
    </row>
    <row r="643" spans="1:3" x14ac:dyDescent="0.2">
      <c r="A643" s="1">
        <v>41841</v>
      </c>
      <c r="B643" s="4">
        <v>1015.5896</v>
      </c>
      <c r="C643">
        <v>1024.3130207239349</v>
      </c>
    </row>
    <row r="644" spans="1:3" x14ac:dyDescent="0.2">
      <c r="A644" s="1">
        <v>41838</v>
      </c>
      <c r="B644" s="4">
        <v>1015.1957</v>
      </c>
      <c r="C644">
        <v>1024.2322342461955</v>
      </c>
    </row>
    <row r="645" spans="1:3" x14ac:dyDescent="0.2">
      <c r="A645" s="1">
        <v>41837</v>
      </c>
      <c r="B645" s="4">
        <v>1014.3866</v>
      </c>
      <c r="C645">
        <v>1024.000471972478</v>
      </c>
    </row>
    <row r="646" spans="1:3" x14ac:dyDescent="0.2">
      <c r="A646" s="1">
        <v>41836</v>
      </c>
      <c r="B646" s="4">
        <v>1014.1876</v>
      </c>
      <c r="C646">
        <v>1023.2566057069355</v>
      </c>
    </row>
    <row r="647" spans="1:3" x14ac:dyDescent="0.2">
      <c r="A647" s="1">
        <v>41835</v>
      </c>
      <c r="B647" s="4">
        <v>1014.0789</v>
      </c>
      <c r="C647">
        <v>1023.2566057069355</v>
      </c>
    </row>
    <row r="648" spans="1:3" x14ac:dyDescent="0.2">
      <c r="A648" s="1">
        <v>41834</v>
      </c>
      <c r="B648" s="4">
        <v>1013.6259</v>
      </c>
      <c r="C648">
        <v>1022.9224673867379</v>
      </c>
    </row>
    <row r="649" spans="1:3" x14ac:dyDescent="0.2">
      <c r="A649" s="1">
        <v>41831</v>
      </c>
      <c r="B649" s="4">
        <v>1013.4951</v>
      </c>
      <c r="C649">
        <v>1022.4519380951307</v>
      </c>
    </row>
    <row r="650" spans="1:3" x14ac:dyDescent="0.2">
      <c r="A650" s="1">
        <v>41830</v>
      </c>
      <c r="B650" s="4">
        <v>1013.1246</v>
      </c>
      <c r="C650">
        <v>1021.9670589018742</v>
      </c>
    </row>
    <row r="651" spans="1:3" x14ac:dyDescent="0.2">
      <c r="A651" s="1">
        <v>41829</v>
      </c>
      <c r="B651" s="4">
        <v>1013.3674</v>
      </c>
      <c r="C651">
        <v>1021.9047648846064</v>
      </c>
    </row>
    <row r="652" spans="1:3" x14ac:dyDescent="0.2">
      <c r="A652" s="1">
        <v>41828</v>
      </c>
      <c r="B652" s="4">
        <v>1013.2207</v>
      </c>
      <c r="C652">
        <v>1021.8080448913895</v>
      </c>
    </row>
    <row r="653" spans="1:3" x14ac:dyDescent="0.2">
      <c r="A653" s="1">
        <v>41827</v>
      </c>
      <c r="B653" s="4">
        <v>1012.7542999999999</v>
      </c>
      <c r="C653">
        <v>1021.8454321499853</v>
      </c>
    </row>
    <row r="654" spans="1:3" x14ac:dyDescent="0.2">
      <c r="A654" s="1">
        <v>41824</v>
      </c>
      <c r="B654" s="4">
        <v>1012.2986</v>
      </c>
      <c r="C654">
        <v>1021.4304776466402</v>
      </c>
    </row>
    <row r="655" spans="1:3" x14ac:dyDescent="0.2">
      <c r="A655" s="1">
        <v>41823</v>
      </c>
      <c r="B655" s="4">
        <v>1012.0953</v>
      </c>
      <c r="C655">
        <v>1021.4081664194052</v>
      </c>
    </row>
    <row r="656" spans="1:3" x14ac:dyDescent="0.2">
      <c r="A656" s="1">
        <v>41822</v>
      </c>
      <c r="B656" s="4">
        <v>1011.7761</v>
      </c>
      <c r="C656">
        <v>1021.3348125549151</v>
      </c>
    </row>
    <row r="657" spans="1:3" x14ac:dyDescent="0.2">
      <c r="A657" s="1">
        <v>41821</v>
      </c>
      <c r="B657" s="4">
        <v>1011.5881000000001</v>
      </c>
      <c r="C657">
        <v>1021.1931541476729</v>
      </c>
    </row>
    <row r="658" spans="1:3" x14ac:dyDescent="0.2">
      <c r="A658" s="1">
        <v>41820</v>
      </c>
      <c r="B658" s="4">
        <v>1011.3227000000001</v>
      </c>
      <c r="C658">
        <v>1020.4995682191603</v>
      </c>
    </row>
    <row r="659" spans="1:3" x14ac:dyDescent="0.2">
      <c r="A659" s="1">
        <v>41817</v>
      </c>
      <c r="B659" s="4">
        <v>1011.0436</v>
      </c>
      <c r="C659">
        <v>1020.097497630887</v>
      </c>
    </row>
    <row r="660" spans="1:3" x14ac:dyDescent="0.2">
      <c r="A660" s="1">
        <v>41816</v>
      </c>
      <c r="B660" s="4">
        <v>1010.9358</v>
      </c>
      <c r="C660">
        <v>1020.0614844551707</v>
      </c>
    </row>
    <row r="661" spans="1:3" x14ac:dyDescent="0.2">
      <c r="A661" s="1">
        <v>41815</v>
      </c>
      <c r="B661" s="4">
        <v>1011.0078</v>
      </c>
      <c r="C661">
        <v>1019.9490392642805</v>
      </c>
    </row>
    <row r="662" spans="1:3" x14ac:dyDescent="0.2">
      <c r="A662" s="1">
        <v>41814</v>
      </c>
      <c r="B662" s="4">
        <v>1010.9275</v>
      </c>
      <c r="C662">
        <v>1019.788751582691</v>
      </c>
    </row>
    <row r="663" spans="1:3" x14ac:dyDescent="0.2">
      <c r="A663" s="1">
        <v>41813</v>
      </c>
      <c r="B663" s="4">
        <v>1010.9981</v>
      </c>
      <c r="C663">
        <v>1020.0985970714175</v>
      </c>
    </row>
    <row r="664" spans="1:3" x14ac:dyDescent="0.2">
      <c r="A664" s="1">
        <v>41810</v>
      </c>
      <c r="B664" s="4">
        <v>1010.6425</v>
      </c>
      <c r="C664">
        <v>1019.9330830173602</v>
      </c>
    </row>
    <row r="665" spans="1:3" x14ac:dyDescent="0.2">
      <c r="A665" s="1">
        <v>41809</v>
      </c>
      <c r="B665" s="4">
        <v>1010.8712</v>
      </c>
      <c r="C665">
        <v>1020.2492349335356</v>
      </c>
    </row>
    <row r="666" spans="1:3" x14ac:dyDescent="0.2">
      <c r="A666" s="1">
        <v>41808</v>
      </c>
      <c r="B666" s="4">
        <v>1010.6777</v>
      </c>
      <c r="C666">
        <v>1020.7630850967344</v>
      </c>
    </row>
    <row r="667" spans="1:3" x14ac:dyDescent="0.2">
      <c r="A667" s="1">
        <v>41807</v>
      </c>
      <c r="B667" s="4">
        <v>1010.9709</v>
      </c>
      <c r="C667">
        <v>1020.9549244229562</v>
      </c>
    </row>
    <row r="668" spans="1:3" x14ac:dyDescent="0.2">
      <c r="A668" s="1">
        <v>41806</v>
      </c>
      <c r="B668" s="4">
        <v>1010.6866</v>
      </c>
      <c r="C668">
        <v>1021.3262745717225</v>
      </c>
    </row>
    <row r="669" spans="1:3" x14ac:dyDescent="0.2">
      <c r="A669" s="1">
        <v>41803</v>
      </c>
      <c r="B669" s="4">
        <v>1010.4524</v>
      </c>
      <c r="C669">
        <v>1021.201323381021</v>
      </c>
    </row>
    <row r="670" spans="1:3" x14ac:dyDescent="0.2">
      <c r="A670" s="1">
        <v>41802</v>
      </c>
      <c r="B670" s="4">
        <v>1011.2578</v>
      </c>
      <c r="C670">
        <v>1020.8788132095102</v>
      </c>
    </row>
    <row r="671" spans="1:3" x14ac:dyDescent="0.2">
      <c r="A671" s="1">
        <v>41801</v>
      </c>
      <c r="B671" s="4">
        <v>1011.0047</v>
      </c>
      <c r="C671">
        <v>1020.7624006058956</v>
      </c>
    </row>
    <row r="672" spans="1:3" x14ac:dyDescent="0.2">
      <c r="A672" s="1">
        <v>41800</v>
      </c>
      <c r="B672" s="4">
        <v>1011.0023</v>
      </c>
      <c r="C672">
        <v>1020.9700485694174</v>
      </c>
    </row>
    <row r="673" spans="1:3" x14ac:dyDescent="0.2">
      <c r="A673" s="1">
        <v>41799</v>
      </c>
      <c r="B673" s="4">
        <v>1010.7717</v>
      </c>
      <c r="C673">
        <v>1020.792102859101</v>
      </c>
    </row>
    <row r="674" spans="1:3" x14ac:dyDescent="0.2">
      <c r="A674" s="1">
        <v>41796</v>
      </c>
      <c r="B674" s="4">
        <v>1010.5654</v>
      </c>
      <c r="C674">
        <v>1020.4299836538598</v>
      </c>
    </row>
    <row r="675" spans="1:3" x14ac:dyDescent="0.2">
      <c r="A675" s="1">
        <v>41795</v>
      </c>
      <c r="B675" s="4">
        <v>1010.3407</v>
      </c>
      <c r="C675">
        <v>1020.5171136274698</v>
      </c>
    </row>
    <row r="676" spans="1:3" x14ac:dyDescent="0.2">
      <c r="A676" s="1">
        <v>41794</v>
      </c>
      <c r="B676" s="4">
        <v>1009.8976</v>
      </c>
      <c r="C676">
        <v>1019.9197705476347</v>
      </c>
    </row>
    <row r="677" spans="1:3" x14ac:dyDescent="0.2">
      <c r="A677" s="1">
        <v>41793</v>
      </c>
      <c r="B677" s="4">
        <v>1009.3647</v>
      </c>
      <c r="C677">
        <v>1019.4478241261278</v>
      </c>
    </row>
    <row r="678" spans="1:3" x14ac:dyDescent="0.2">
      <c r="A678" s="1">
        <v>41792</v>
      </c>
      <c r="B678" s="4">
        <v>1009.2957</v>
      </c>
      <c r="C678">
        <v>1018.666992642331</v>
      </c>
    </row>
    <row r="679" spans="1:3" x14ac:dyDescent="0.2">
      <c r="A679" s="1">
        <v>41789</v>
      </c>
      <c r="B679" s="4">
        <v>1008.5976000000001</v>
      </c>
      <c r="C679">
        <v>1018.2557244561596</v>
      </c>
    </row>
    <row r="680" spans="1:3" x14ac:dyDescent="0.2">
      <c r="A680" s="1">
        <v>41788</v>
      </c>
      <c r="B680" s="4">
        <v>1007.4181</v>
      </c>
      <c r="C680">
        <v>1017.7492837804479</v>
      </c>
    </row>
    <row r="681" spans="1:3" x14ac:dyDescent="0.2">
      <c r="A681" s="1">
        <v>41787</v>
      </c>
      <c r="B681" s="4">
        <v>1007.1174</v>
      </c>
      <c r="C681">
        <v>1017.4303799722347</v>
      </c>
    </row>
    <row r="682" spans="1:3" x14ac:dyDescent="0.2">
      <c r="A682" s="1">
        <v>41786</v>
      </c>
      <c r="B682" s="4">
        <v>1006.6563</v>
      </c>
      <c r="C682">
        <v>1017.2005934216079</v>
      </c>
    </row>
    <row r="683" spans="1:3" x14ac:dyDescent="0.2">
      <c r="A683" s="1">
        <v>41785</v>
      </c>
      <c r="B683" s="4">
        <v>1006.7752</v>
      </c>
      <c r="C683">
        <v>1016.3022885892819</v>
      </c>
    </row>
    <row r="684" spans="1:3" x14ac:dyDescent="0.2">
      <c r="A684" s="1">
        <v>41782</v>
      </c>
      <c r="B684" s="4">
        <v>1005.7139</v>
      </c>
      <c r="C684">
        <v>1015.0334444716892</v>
      </c>
    </row>
    <row r="685" spans="1:3" x14ac:dyDescent="0.2">
      <c r="A685" s="1">
        <v>41781</v>
      </c>
      <c r="B685" s="4">
        <v>1005.0744</v>
      </c>
      <c r="C685">
        <v>1014.1914547919888</v>
      </c>
    </row>
    <row r="686" spans="1:3" x14ac:dyDescent="0.2">
      <c r="A686" s="1">
        <v>41780</v>
      </c>
      <c r="B686" s="4">
        <v>1004.8801</v>
      </c>
      <c r="C686">
        <v>1012.3073870857454</v>
      </c>
    </row>
    <row r="687" spans="1:3" x14ac:dyDescent="0.2">
      <c r="A687" s="1">
        <v>41779</v>
      </c>
      <c r="B687" s="4">
        <v>1004.7173</v>
      </c>
      <c r="C687">
        <v>1012.3073870857454</v>
      </c>
    </row>
    <row r="688" spans="1:3" x14ac:dyDescent="0.2">
      <c r="A688" s="1">
        <v>41778</v>
      </c>
      <c r="B688" s="4">
        <v>1004.4776000000001</v>
      </c>
      <c r="C688">
        <v>1012.0098524802861</v>
      </c>
    </row>
    <row r="689" spans="1:3" x14ac:dyDescent="0.2">
      <c r="A689" s="1">
        <v>41775</v>
      </c>
      <c r="B689" s="4">
        <v>1003.5291</v>
      </c>
      <c r="C689">
        <v>1010.6468836250159</v>
      </c>
    </row>
    <row r="690" spans="1:3" x14ac:dyDescent="0.2">
      <c r="A690" s="1">
        <v>41774</v>
      </c>
      <c r="B690" s="4">
        <v>1003.3324</v>
      </c>
      <c r="C690">
        <v>1009.8218677333398</v>
      </c>
    </row>
    <row r="691" spans="1:3" x14ac:dyDescent="0.2">
      <c r="A691" s="1">
        <v>41773</v>
      </c>
      <c r="B691" s="4">
        <v>1002.9804</v>
      </c>
      <c r="C691">
        <v>1009.2659160635096</v>
      </c>
    </row>
    <row r="692" spans="1:3" x14ac:dyDescent="0.2">
      <c r="A692" s="1">
        <v>41772</v>
      </c>
      <c r="B692" s="4">
        <v>1002.7184999999999</v>
      </c>
      <c r="C692">
        <v>1008.6475958456808</v>
      </c>
    </row>
    <row r="693" spans="1:3" x14ac:dyDescent="0.2">
      <c r="A693" s="1">
        <v>41771</v>
      </c>
      <c r="B693" s="4">
        <v>1002.8334</v>
      </c>
      <c r="C693">
        <v>1008.0516183628746</v>
      </c>
    </row>
    <row r="694" spans="1:3" x14ac:dyDescent="0.2">
      <c r="A694" s="1">
        <v>41768</v>
      </c>
      <c r="B694" s="4">
        <v>1002.1567</v>
      </c>
      <c r="C694">
        <v>1007.0118808115146</v>
      </c>
    </row>
    <row r="695" spans="1:3" x14ac:dyDescent="0.2">
      <c r="A695" s="1">
        <v>41767</v>
      </c>
      <c r="B695" s="4">
        <v>1001.7146</v>
      </c>
      <c r="C695">
        <v>1006.2538838516912</v>
      </c>
    </row>
    <row r="696" spans="1:3" x14ac:dyDescent="0.2">
      <c r="A696" s="1">
        <v>41766</v>
      </c>
      <c r="B696" s="4">
        <v>1001.6763</v>
      </c>
      <c r="C696">
        <v>1004.7411966495004</v>
      </c>
    </row>
    <row r="697" spans="1:3" x14ac:dyDescent="0.2">
      <c r="A697" s="1">
        <v>41765</v>
      </c>
      <c r="B697" s="4">
        <v>1001.5902</v>
      </c>
      <c r="C697">
        <v>1003.99911573196</v>
      </c>
    </row>
    <row r="698" spans="1:3" x14ac:dyDescent="0.2">
      <c r="A698" s="1">
        <v>41764</v>
      </c>
      <c r="B698" s="4">
        <v>1001.4342</v>
      </c>
      <c r="C698">
        <v>1003.8978377101677</v>
      </c>
    </row>
    <row r="699" spans="1:3" x14ac:dyDescent="0.2">
      <c r="A699" s="1">
        <v>41761</v>
      </c>
      <c r="B699" s="4">
        <v>1001.0426</v>
      </c>
      <c r="C699">
        <v>1002.7961313434923</v>
      </c>
    </row>
    <row r="700" spans="1:3" x14ac:dyDescent="0.2">
      <c r="A700" s="1">
        <v>41760</v>
      </c>
      <c r="B700" s="4">
        <v>1000.9114</v>
      </c>
      <c r="C700">
        <v>1002.0412986971407</v>
      </c>
    </row>
    <row r="701" spans="1:3" x14ac:dyDescent="0.2">
      <c r="A701" s="1">
        <v>41759</v>
      </c>
      <c r="B701" s="4">
        <v>1000.7811</v>
      </c>
      <c r="C701">
        <v>1002.0412986971407</v>
      </c>
    </row>
    <row r="702" spans="1:3" x14ac:dyDescent="0.2">
      <c r="A702" s="1">
        <v>41758</v>
      </c>
      <c r="B702" s="4">
        <v>1000.6867999999999</v>
      </c>
      <c r="C702">
        <v>1001.6059810837438</v>
      </c>
    </row>
    <row r="703" spans="1:3" x14ac:dyDescent="0.2">
      <c r="A703" s="1">
        <v>41757</v>
      </c>
      <c r="B703" s="4">
        <v>1000.5468</v>
      </c>
      <c r="C703">
        <v>1001.2221927160004</v>
      </c>
    </row>
    <row r="704" spans="1:3" x14ac:dyDescent="0.2">
      <c r="A704" s="1">
        <v>41754</v>
      </c>
      <c r="B704" s="4">
        <v>1000.2134</v>
      </c>
      <c r="C704">
        <v>1000.0760946951901</v>
      </c>
    </row>
    <row r="705" spans="1:3" x14ac:dyDescent="0.2">
      <c r="A705" s="1">
        <v>41753</v>
      </c>
      <c r="B705" s="4">
        <v>1000</v>
      </c>
      <c r="C705">
        <v>999.99999999999989</v>
      </c>
    </row>
    <row r="706" spans="1:3" x14ac:dyDescent="0.2">
      <c r="A706" s="1"/>
    </row>
    <row r="707" spans="1:3" x14ac:dyDescent="0.2">
      <c r="A707" s="1"/>
    </row>
    <row r="708" spans="1:3" x14ac:dyDescent="0.2">
      <c r="A708" s="1"/>
    </row>
    <row r="709" spans="1:3" x14ac:dyDescent="0.2">
      <c r="A709" s="1"/>
    </row>
    <row r="710" spans="1:3" x14ac:dyDescent="0.2">
      <c r="A710" s="1"/>
    </row>
    <row r="711" spans="1:3" x14ac:dyDescent="0.2">
      <c r="A711" s="1"/>
    </row>
    <row r="712" spans="1:3" x14ac:dyDescent="0.2">
      <c r="A712" s="1"/>
    </row>
    <row r="713" spans="1:3" x14ac:dyDescent="0.2">
      <c r="A713" s="1"/>
    </row>
    <row r="714" spans="1:3" x14ac:dyDescent="0.2">
      <c r="A714" s="1"/>
    </row>
    <row r="715" spans="1:3" x14ac:dyDescent="0.2">
      <c r="A715" s="1"/>
    </row>
    <row r="716" spans="1:3" x14ac:dyDescent="0.2">
      <c r="A716" s="1"/>
    </row>
    <row r="717" spans="1:3" x14ac:dyDescent="0.2">
      <c r="A717" s="1"/>
    </row>
    <row r="718" spans="1:3" x14ac:dyDescent="0.2">
      <c r="A718" s="1"/>
    </row>
    <row r="719" spans="1:3" x14ac:dyDescent="0.2">
      <c r="A719" s="1"/>
    </row>
    <row r="720" spans="1:3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</sheetData>
  <mergeCells count="4">
    <mergeCell ref="A1:C1"/>
    <mergeCell ref="E1:G1"/>
    <mergeCell ref="I1:K1"/>
    <mergeCell ref="M1:X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indexed="16"/>
  </sheetPr>
  <dimension ref="A1"/>
  <sheetViews>
    <sheetView workbookViewId="0">
      <selection activeCell="G15" sqref="G15"/>
    </sheetView>
  </sheetViews>
  <sheetFormatPr baseColWidth="10" defaultRowHeight="14.25" x14ac:dyDescent="0.2"/>
  <cols>
    <col min="1" max="1" width="1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N1000"/>
  <sheetViews>
    <sheetView zoomScale="70" zoomScaleNormal="70" workbookViewId="0">
      <pane ySplit="1" topLeftCell="A2" activePane="bottomLeft" state="frozen"/>
      <selection activeCell="C1" sqref="C1"/>
      <selection pane="bottomLeft"/>
    </sheetView>
  </sheetViews>
  <sheetFormatPr baseColWidth="10" defaultRowHeight="14.25" x14ac:dyDescent="0.2"/>
  <cols>
    <col min="1" max="1" width="15.25" customWidth="1"/>
    <col min="2" max="2" width="15.875" customWidth="1"/>
    <col min="3" max="3" width="17" customWidth="1"/>
    <col min="4" max="4" width="12" style="80" customWidth="1"/>
    <col min="9" max="9" width="17" customWidth="1"/>
    <col min="10" max="10" width="14" customWidth="1"/>
    <col min="11" max="11" width="30.25" customWidth="1"/>
    <col min="12" max="12" width="30.75" customWidth="1"/>
    <col min="13" max="13" width="17" customWidth="1"/>
    <col min="15" max="15" width="18.875" customWidth="1"/>
    <col min="16" max="16" width="11.5" customWidth="1"/>
    <col min="17" max="19" width="24.375" customWidth="1"/>
    <col min="20" max="20" width="24.5" customWidth="1"/>
    <col min="21" max="21" width="17.375" customWidth="1"/>
    <col min="22" max="22" width="24.5" customWidth="1"/>
    <col min="23" max="25" width="32.75" customWidth="1"/>
    <col min="26" max="26" width="35.75" customWidth="1"/>
    <col min="27" max="27" width="22.125" customWidth="1"/>
    <col min="33" max="33" width="14" customWidth="1"/>
  </cols>
  <sheetData>
    <row r="1" spans="1:92" x14ac:dyDescent="0.2">
      <c r="A1" s="87" t="s">
        <v>103</v>
      </c>
      <c r="B1" s="87" t="s">
        <v>104</v>
      </c>
      <c r="C1" s="88" t="s">
        <v>89</v>
      </c>
      <c r="D1" s="138" t="s">
        <v>105</v>
      </c>
      <c r="E1" s="87" t="s">
        <v>18</v>
      </c>
      <c r="F1" s="118" t="s">
        <v>19</v>
      </c>
      <c r="G1" s="119" t="s">
        <v>106</v>
      </c>
      <c r="H1" s="87" t="s">
        <v>107</v>
      </c>
      <c r="I1" s="90" t="s">
        <v>108</v>
      </c>
      <c r="J1" s="87" t="s">
        <v>109</v>
      </c>
      <c r="K1" s="87" t="s">
        <v>110</v>
      </c>
      <c r="L1" s="90" t="s">
        <v>111</v>
      </c>
      <c r="M1" s="120" t="s">
        <v>88</v>
      </c>
      <c r="N1" s="87" t="s">
        <v>112</v>
      </c>
      <c r="O1" s="89" t="s">
        <v>113</v>
      </c>
      <c r="P1" s="87" t="s">
        <v>114</v>
      </c>
      <c r="Q1" s="87" t="s">
        <v>115</v>
      </c>
      <c r="R1" s="89" t="s">
        <v>116</v>
      </c>
      <c r="S1" s="121" t="s">
        <v>117</v>
      </c>
      <c r="T1" s="87" t="s">
        <v>118</v>
      </c>
      <c r="U1" s="89" t="s">
        <v>119</v>
      </c>
      <c r="V1" s="87" t="s">
        <v>120</v>
      </c>
      <c r="W1" s="87" t="s">
        <v>121</v>
      </c>
      <c r="X1" s="89" t="s">
        <v>122</v>
      </c>
      <c r="Y1" s="87" t="s">
        <v>123</v>
      </c>
      <c r="Z1" s="87" t="s">
        <v>124</v>
      </c>
      <c r="AA1" s="88" t="s">
        <v>125</v>
      </c>
      <c r="AB1" s="12"/>
      <c r="AC1" s="12"/>
      <c r="AD1" s="12"/>
      <c r="AF1" s="12"/>
      <c r="AG1" s="12"/>
      <c r="AJ1" s="12"/>
      <c r="AL1" s="12"/>
      <c r="AM1" s="12"/>
      <c r="AO1" s="1"/>
      <c r="BA1" s="1"/>
      <c r="BB1" s="1"/>
      <c r="BC1" s="1"/>
      <c r="BE1" s="1"/>
      <c r="BF1" s="12"/>
      <c r="BG1" s="12"/>
      <c r="BH1" s="12"/>
      <c r="BI1" s="12"/>
      <c r="BJ1" s="12"/>
      <c r="BN1" s="12"/>
      <c r="BO1" s="12"/>
      <c r="BP1" s="12"/>
      <c r="BR1" s="1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J1" s="12"/>
      <c r="CL1" s="1"/>
      <c r="CN1" s="1"/>
    </row>
    <row r="2" spans="1:92" x14ac:dyDescent="0.2">
      <c r="A2" s="44" t="s">
        <v>126</v>
      </c>
      <c r="B2" s="44" t="s">
        <v>127</v>
      </c>
      <c r="C2" s="91">
        <v>14951448</v>
      </c>
      <c r="D2" s="139">
        <v>0</v>
      </c>
      <c r="E2" s="44" t="s">
        <v>99</v>
      </c>
      <c r="F2" s="122">
        <v>1.22</v>
      </c>
      <c r="G2" s="123">
        <v>2.2000000000000002</v>
      </c>
      <c r="H2" s="44" t="s">
        <v>128</v>
      </c>
      <c r="I2" s="93" t="s">
        <v>129</v>
      </c>
      <c r="J2" s="44" t="s">
        <v>130</v>
      </c>
      <c r="K2" s="44" t="s">
        <v>131</v>
      </c>
      <c r="L2" s="93" t="s">
        <v>132</v>
      </c>
      <c r="M2" s="124">
        <v>1000</v>
      </c>
      <c r="N2" s="44" t="s">
        <v>133</v>
      </c>
      <c r="O2" s="92" t="s">
        <v>102</v>
      </c>
      <c r="P2" s="110">
        <v>101.32</v>
      </c>
      <c r="Q2" s="44" t="s">
        <v>134</v>
      </c>
      <c r="R2" s="92" t="s">
        <v>135</v>
      </c>
      <c r="S2" s="125">
        <v>7.4375491615533455E-4</v>
      </c>
      <c r="T2" s="44" t="s">
        <v>136</v>
      </c>
      <c r="U2" s="92" t="s">
        <v>137</v>
      </c>
      <c r="V2" s="44" t="s">
        <v>138</v>
      </c>
      <c r="W2" s="44" t="s">
        <v>139</v>
      </c>
      <c r="X2" s="92" t="s">
        <v>140</v>
      </c>
      <c r="Y2" s="44" t="s">
        <v>141</v>
      </c>
      <c r="Z2" s="44" t="s">
        <v>97</v>
      </c>
      <c r="AA2" s="91" t="s">
        <v>142</v>
      </c>
      <c r="AB2" s="12"/>
      <c r="AC2" s="12"/>
      <c r="AD2" s="12"/>
      <c r="AF2" s="12"/>
      <c r="AG2" s="12"/>
      <c r="AJ2" s="12"/>
      <c r="AL2" s="12"/>
      <c r="AM2" s="12"/>
      <c r="AO2" s="1"/>
      <c r="BA2" s="1"/>
      <c r="BB2" s="1"/>
      <c r="BC2" s="1"/>
      <c r="BE2" s="1"/>
      <c r="BF2" s="12"/>
      <c r="BG2" s="12"/>
      <c r="BH2" s="12"/>
      <c r="BI2" s="12"/>
      <c r="BJ2" s="12"/>
      <c r="BN2" s="12"/>
      <c r="BO2" s="12"/>
      <c r="BP2" s="12"/>
      <c r="BR2" s="1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J2" s="12"/>
      <c r="CL2" s="1"/>
      <c r="CN2" s="1"/>
    </row>
    <row r="3" spans="1:92" x14ac:dyDescent="0.2">
      <c r="A3" s="41" t="s">
        <v>143</v>
      </c>
      <c r="B3" s="41" t="s">
        <v>144</v>
      </c>
      <c r="C3" s="94">
        <v>27407993</v>
      </c>
      <c r="D3" s="140">
        <v>0</v>
      </c>
      <c r="E3" s="41" t="s">
        <v>99</v>
      </c>
      <c r="F3" s="126">
        <v>1.81</v>
      </c>
      <c r="G3" s="127">
        <v>1.98</v>
      </c>
      <c r="H3" s="41" t="s">
        <v>145</v>
      </c>
      <c r="I3" s="95" t="s">
        <v>129</v>
      </c>
      <c r="J3" s="41" t="s">
        <v>146</v>
      </c>
      <c r="K3" s="41" t="s">
        <v>147</v>
      </c>
      <c r="L3" s="95" t="s">
        <v>148</v>
      </c>
      <c r="M3" s="128">
        <v>1000</v>
      </c>
      <c r="N3" s="41" t="s">
        <v>133</v>
      </c>
      <c r="O3" s="42" t="s">
        <v>102</v>
      </c>
      <c r="P3" s="52">
        <v>102.69</v>
      </c>
      <c r="Q3" s="41" t="s">
        <v>134</v>
      </c>
      <c r="R3" s="42" t="s">
        <v>135</v>
      </c>
      <c r="S3" s="129">
        <v>1.363401694317567E-3</v>
      </c>
      <c r="T3" s="41" t="s">
        <v>136</v>
      </c>
      <c r="U3" s="42" t="s">
        <v>137</v>
      </c>
      <c r="V3" s="41" t="s">
        <v>138</v>
      </c>
      <c r="W3" s="41" t="s">
        <v>139</v>
      </c>
      <c r="X3" s="42" t="s">
        <v>140</v>
      </c>
      <c r="Y3" s="41" t="s">
        <v>141</v>
      </c>
      <c r="Z3" s="41" t="s">
        <v>97</v>
      </c>
      <c r="AA3" s="94" t="s">
        <v>142</v>
      </c>
      <c r="AB3" s="12"/>
      <c r="AC3" s="12"/>
      <c r="AD3" s="12"/>
      <c r="AF3" s="12"/>
      <c r="AG3" s="12"/>
      <c r="AJ3" s="12"/>
      <c r="AL3" s="12"/>
      <c r="AM3" s="12"/>
      <c r="AO3" s="1"/>
      <c r="BA3" s="1"/>
      <c r="BB3" s="1"/>
      <c r="BC3" s="1"/>
      <c r="BE3" s="1"/>
      <c r="BF3" s="12"/>
      <c r="BG3" s="12"/>
      <c r="BH3" s="12"/>
      <c r="BI3" s="12"/>
      <c r="BJ3" s="12"/>
      <c r="BN3" s="12"/>
      <c r="BO3" s="12"/>
      <c r="BP3" s="12"/>
      <c r="BR3" s="1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J3" s="12"/>
      <c r="CL3" s="1"/>
      <c r="CN3" s="1"/>
    </row>
    <row r="4" spans="1:92" x14ac:dyDescent="0.2">
      <c r="A4" s="44" t="s">
        <v>149</v>
      </c>
      <c r="B4" s="44" t="s">
        <v>150</v>
      </c>
      <c r="C4" s="91">
        <v>298660875</v>
      </c>
      <c r="D4" s="139">
        <v>0.01</v>
      </c>
      <c r="E4" s="44" t="s">
        <v>99</v>
      </c>
      <c r="F4" s="122">
        <v>4.3899999999999997</v>
      </c>
      <c r="G4" s="123">
        <v>2.12</v>
      </c>
      <c r="H4" s="44" t="s">
        <v>128</v>
      </c>
      <c r="I4" s="93" t="s">
        <v>129</v>
      </c>
      <c r="J4" s="44" t="s">
        <v>151</v>
      </c>
      <c r="K4" s="44" t="s">
        <v>152</v>
      </c>
      <c r="L4" s="93" t="s">
        <v>153</v>
      </c>
      <c r="M4" s="124">
        <v>10000</v>
      </c>
      <c r="N4" s="44" t="s">
        <v>133</v>
      </c>
      <c r="O4" s="92" t="s">
        <v>102</v>
      </c>
      <c r="P4" s="110">
        <v>115.99</v>
      </c>
      <c r="Q4" s="44" t="s">
        <v>134</v>
      </c>
      <c r="R4" s="92" t="s">
        <v>135</v>
      </c>
      <c r="S4" s="125">
        <v>1.4856788054541865E-2</v>
      </c>
      <c r="T4" s="44" t="s">
        <v>136</v>
      </c>
      <c r="U4" s="92" t="s">
        <v>137</v>
      </c>
      <c r="V4" s="44" t="s">
        <v>138</v>
      </c>
      <c r="W4" s="44" t="s">
        <v>139</v>
      </c>
      <c r="X4" s="92" t="s">
        <v>140</v>
      </c>
      <c r="Y4" s="44" t="s">
        <v>141</v>
      </c>
      <c r="Z4" s="44" t="s">
        <v>97</v>
      </c>
      <c r="AA4" s="91" t="s">
        <v>142</v>
      </c>
      <c r="AB4" s="12"/>
      <c r="AC4" s="12"/>
      <c r="AD4" s="12"/>
      <c r="AF4" s="12"/>
      <c r="AG4" s="12"/>
      <c r="AJ4" s="12"/>
      <c r="AL4" s="12"/>
      <c r="AM4" s="12"/>
      <c r="AO4" s="1"/>
      <c r="BA4" s="1"/>
      <c r="BB4" s="1"/>
      <c r="BC4" s="1"/>
      <c r="BE4" s="1"/>
      <c r="BF4" s="12"/>
      <c r="BG4" s="12"/>
      <c r="BH4" s="12"/>
      <c r="BI4" s="12"/>
      <c r="BJ4" s="12"/>
      <c r="BN4" s="12"/>
      <c r="BO4" s="12"/>
      <c r="BP4" s="12"/>
      <c r="BR4" s="1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J4" s="12"/>
      <c r="CL4" s="1"/>
      <c r="CN4" s="1"/>
    </row>
    <row r="5" spans="1:92" x14ac:dyDescent="0.2">
      <c r="A5" s="41" t="s">
        <v>154</v>
      </c>
      <c r="B5" s="41" t="s">
        <v>155</v>
      </c>
      <c r="C5" s="94">
        <v>119629565</v>
      </c>
      <c r="D5" s="140">
        <v>0.01</v>
      </c>
      <c r="E5" s="41" t="s">
        <v>99</v>
      </c>
      <c r="F5" s="126">
        <v>6.58</v>
      </c>
      <c r="G5" s="127">
        <v>2.34</v>
      </c>
      <c r="H5" s="41" t="s">
        <v>156</v>
      </c>
      <c r="I5" s="95" t="s">
        <v>129</v>
      </c>
      <c r="J5" s="41" t="s">
        <v>157</v>
      </c>
      <c r="K5" s="41" t="s">
        <v>158</v>
      </c>
      <c r="L5" s="95" t="s">
        <v>159</v>
      </c>
      <c r="M5" s="128">
        <v>4000</v>
      </c>
      <c r="N5" s="41" t="s">
        <v>133</v>
      </c>
      <c r="O5" s="42" t="s">
        <v>102</v>
      </c>
      <c r="P5" s="52">
        <v>112.71</v>
      </c>
      <c r="Q5" s="41" t="s">
        <v>134</v>
      </c>
      <c r="R5" s="42" t="s">
        <v>135</v>
      </c>
      <c r="S5" s="129">
        <v>5.9509337882373767E-3</v>
      </c>
      <c r="T5" s="41" t="s">
        <v>160</v>
      </c>
      <c r="U5" s="42" t="s">
        <v>161</v>
      </c>
      <c r="V5" s="41" t="s">
        <v>162</v>
      </c>
      <c r="W5" s="41" t="s">
        <v>163</v>
      </c>
      <c r="X5" s="42" t="s">
        <v>140</v>
      </c>
      <c r="Y5" s="41" t="s">
        <v>164</v>
      </c>
      <c r="Z5" s="41" t="s">
        <v>97</v>
      </c>
      <c r="AA5" s="94" t="s">
        <v>165</v>
      </c>
      <c r="AB5" s="12"/>
      <c r="AC5" s="12"/>
      <c r="AD5" s="12"/>
      <c r="AF5" s="12"/>
      <c r="AG5" s="12"/>
      <c r="AJ5" s="12"/>
      <c r="AL5" s="12"/>
      <c r="AM5" s="12"/>
      <c r="AO5" s="1"/>
      <c r="BA5" s="1"/>
      <c r="BB5" s="1"/>
      <c r="BC5" s="1"/>
      <c r="BE5" s="1"/>
      <c r="BF5" s="12"/>
      <c r="BG5" s="12"/>
      <c r="BH5" s="12"/>
      <c r="BI5" s="12"/>
      <c r="BJ5" s="12"/>
      <c r="BN5" s="12"/>
      <c r="BO5" s="12"/>
      <c r="BP5" s="12"/>
      <c r="BR5" s="1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J5" s="12"/>
      <c r="CL5" s="1"/>
      <c r="CN5" s="1"/>
    </row>
    <row r="6" spans="1:92" x14ac:dyDescent="0.2">
      <c r="A6" s="44" t="s">
        <v>166</v>
      </c>
      <c r="B6" s="44" t="s">
        <v>155</v>
      </c>
      <c r="C6" s="91">
        <v>67896211</v>
      </c>
      <c r="D6" s="139">
        <v>0</v>
      </c>
      <c r="E6" s="44" t="s">
        <v>99</v>
      </c>
      <c r="F6" s="122">
        <v>2.41</v>
      </c>
      <c r="G6" s="123">
        <v>2.02</v>
      </c>
      <c r="H6" s="44" t="s">
        <v>156</v>
      </c>
      <c r="I6" s="93" t="s">
        <v>129</v>
      </c>
      <c r="J6" s="44" t="s">
        <v>157</v>
      </c>
      <c r="K6" s="44" t="s">
        <v>158</v>
      </c>
      <c r="L6" s="93" t="s">
        <v>159</v>
      </c>
      <c r="M6" s="124">
        <v>2500</v>
      </c>
      <c r="N6" s="44" t="s">
        <v>133</v>
      </c>
      <c r="O6" s="92" t="s">
        <v>102</v>
      </c>
      <c r="P6" s="110">
        <v>102.32</v>
      </c>
      <c r="Q6" s="44" t="s">
        <v>134</v>
      </c>
      <c r="R6" s="92" t="s">
        <v>135</v>
      </c>
      <c r="S6" s="125">
        <v>3.3774749254767769E-3</v>
      </c>
      <c r="T6" s="44" t="s">
        <v>136</v>
      </c>
      <c r="U6" s="92" t="s">
        <v>137</v>
      </c>
      <c r="V6" s="44" t="s">
        <v>138</v>
      </c>
      <c r="W6" s="44" t="s">
        <v>139</v>
      </c>
      <c r="X6" s="92" t="s">
        <v>140</v>
      </c>
      <c r="Y6" s="44" t="s">
        <v>141</v>
      </c>
      <c r="Z6" s="44" t="s">
        <v>97</v>
      </c>
      <c r="AA6" s="91" t="s">
        <v>142</v>
      </c>
      <c r="AB6" s="12"/>
      <c r="AC6" s="12"/>
      <c r="AD6" s="12"/>
      <c r="AF6" s="12"/>
      <c r="AG6" s="12"/>
      <c r="AJ6" s="12"/>
      <c r="AL6" s="12"/>
      <c r="AM6" s="12"/>
      <c r="AO6" s="1"/>
      <c r="BA6" s="1"/>
      <c r="BB6" s="1"/>
      <c r="BC6" s="1"/>
      <c r="BE6" s="1"/>
      <c r="BF6" s="12"/>
      <c r="BG6" s="12"/>
      <c r="BH6" s="12"/>
      <c r="BI6" s="12"/>
      <c r="BJ6" s="12"/>
      <c r="BN6" s="12"/>
      <c r="BO6" s="12"/>
      <c r="BP6" s="12"/>
      <c r="BR6" s="1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J6" s="12"/>
      <c r="CL6" s="1"/>
      <c r="CN6" s="1"/>
    </row>
    <row r="7" spans="1:92" x14ac:dyDescent="0.2">
      <c r="A7" s="41" t="s">
        <v>167</v>
      </c>
      <c r="B7" s="41" t="s">
        <v>168</v>
      </c>
      <c r="C7" s="94">
        <v>62644397</v>
      </c>
      <c r="D7" s="140">
        <v>0</v>
      </c>
      <c r="E7" s="41" t="s">
        <v>99</v>
      </c>
      <c r="F7" s="126">
        <v>8.24</v>
      </c>
      <c r="G7" s="127">
        <v>2.5</v>
      </c>
      <c r="H7" s="41" t="s">
        <v>156</v>
      </c>
      <c r="I7" s="95" t="s">
        <v>129</v>
      </c>
      <c r="J7" s="41" t="s">
        <v>169</v>
      </c>
      <c r="K7" s="41" t="s">
        <v>170</v>
      </c>
      <c r="L7" s="95" t="s">
        <v>171</v>
      </c>
      <c r="M7" s="128">
        <v>2000</v>
      </c>
      <c r="N7" s="41" t="s">
        <v>133</v>
      </c>
      <c r="O7" s="42" t="s">
        <v>102</v>
      </c>
      <c r="P7" s="52">
        <v>118.64</v>
      </c>
      <c r="Q7" s="41" t="s">
        <v>134</v>
      </c>
      <c r="R7" s="42" t="s">
        <v>135</v>
      </c>
      <c r="S7" s="129">
        <v>3.1162251467775222E-3</v>
      </c>
      <c r="T7" s="41" t="s">
        <v>160</v>
      </c>
      <c r="U7" s="42" t="s">
        <v>161</v>
      </c>
      <c r="V7" s="41" t="s">
        <v>162</v>
      </c>
      <c r="W7" s="41" t="s">
        <v>163</v>
      </c>
      <c r="X7" s="42" t="s">
        <v>140</v>
      </c>
      <c r="Y7" s="41" t="s">
        <v>164</v>
      </c>
      <c r="Z7" s="41" t="s">
        <v>97</v>
      </c>
      <c r="AA7" s="94" t="s">
        <v>165</v>
      </c>
      <c r="AB7" s="12"/>
      <c r="AC7" s="12"/>
      <c r="AD7" s="12"/>
      <c r="AF7" s="12"/>
      <c r="AG7" s="12"/>
      <c r="AJ7" s="12"/>
      <c r="AL7" s="12"/>
      <c r="AM7" s="12"/>
      <c r="AO7" s="1"/>
      <c r="BA7" s="1"/>
      <c r="BB7" s="1"/>
      <c r="BC7" s="1"/>
      <c r="BE7" s="1"/>
      <c r="BF7" s="12"/>
      <c r="BG7" s="12"/>
      <c r="BH7" s="12"/>
      <c r="BI7" s="12"/>
      <c r="BJ7" s="12"/>
      <c r="BN7" s="12"/>
      <c r="BO7" s="12"/>
      <c r="BP7" s="12"/>
      <c r="BR7" s="1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J7" s="12"/>
      <c r="CL7" s="1"/>
      <c r="CN7" s="1"/>
    </row>
    <row r="8" spans="1:92" x14ac:dyDescent="0.2">
      <c r="A8" s="44" t="s">
        <v>172</v>
      </c>
      <c r="B8" s="44" t="s">
        <v>173</v>
      </c>
      <c r="C8" s="91">
        <v>193898527</v>
      </c>
      <c r="D8" s="139">
        <v>0.01</v>
      </c>
      <c r="E8" s="44" t="s">
        <v>100</v>
      </c>
      <c r="F8" s="122">
        <v>1.65</v>
      </c>
      <c r="G8" s="123">
        <v>4.6500000000000004</v>
      </c>
      <c r="H8" s="44" t="s">
        <v>156</v>
      </c>
      <c r="I8" s="93" t="s">
        <v>129</v>
      </c>
      <c r="J8" s="44" t="s">
        <v>174</v>
      </c>
      <c r="K8" s="44" t="s">
        <v>175</v>
      </c>
      <c r="L8" s="93" t="s">
        <v>176</v>
      </c>
      <c r="M8" s="124">
        <v>180000000</v>
      </c>
      <c r="N8" s="44" t="s">
        <v>133</v>
      </c>
      <c r="O8" s="92" t="s">
        <v>102</v>
      </c>
      <c r="P8" s="110">
        <v>102.91</v>
      </c>
      <c r="Q8" s="44" t="s">
        <v>134</v>
      </c>
      <c r="R8" s="92" t="s">
        <v>135</v>
      </c>
      <c r="S8" s="125">
        <v>9.6454191387702302E-3</v>
      </c>
      <c r="T8" s="44" t="s">
        <v>136</v>
      </c>
      <c r="U8" s="92" t="s">
        <v>177</v>
      </c>
      <c r="V8" s="44" t="s">
        <v>138</v>
      </c>
      <c r="W8" s="44" t="s">
        <v>178</v>
      </c>
      <c r="X8" s="92" t="s">
        <v>179</v>
      </c>
      <c r="Y8" s="44" t="s">
        <v>141</v>
      </c>
      <c r="Z8" s="44" t="s">
        <v>97</v>
      </c>
      <c r="AA8" s="91" t="s">
        <v>142</v>
      </c>
      <c r="AB8" s="12"/>
      <c r="AC8" s="12"/>
      <c r="AD8" s="12"/>
      <c r="AF8" s="12"/>
      <c r="AG8" s="12"/>
      <c r="AJ8" s="12"/>
      <c r="AL8" s="12"/>
      <c r="AM8" s="12"/>
      <c r="AO8" s="1"/>
      <c r="BA8" s="1"/>
      <c r="BB8" s="1"/>
      <c r="BC8" s="1"/>
      <c r="BE8" s="1"/>
      <c r="BF8" s="12"/>
      <c r="BG8" s="12"/>
      <c r="BH8" s="12"/>
      <c r="BI8" s="12"/>
      <c r="BJ8" s="12"/>
      <c r="BN8" s="12"/>
      <c r="BO8" s="12"/>
      <c r="BP8" s="12"/>
      <c r="BR8" s="1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J8" s="12"/>
      <c r="CL8" s="1"/>
      <c r="CN8" s="1"/>
    </row>
    <row r="9" spans="1:92" x14ac:dyDescent="0.2">
      <c r="A9" s="41" t="s">
        <v>180</v>
      </c>
      <c r="B9" s="41" t="s">
        <v>181</v>
      </c>
      <c r="C9" s="94">
        <v>238109182</v>
      </c>
      <c r="D9" s="140">
        <v>0.01</v>
      </c>
      <c r="E9" s="41" t="s">
        <v>99</v>
      </c>
      <c r="F9" s="126">
        <v>0.27</v>
      </c>
      <c r="G9" s="127">
        <v>4</v>
      </c>
      <c r="H9" s="41" t="s">
        <v>145</v>
      </c>
      <c r="I9" s="95" t="s">
        <v>129</v>
      </c>
      <c r="J9" s="41" t="s">
        <v>182</v>
      </c>
      <c r="K9" s="41" t="s">
        <v>183</v>
      </c>
      <c r="L9" s="95" t="s">
        <v>184</v>
      </c>
      <c r="M9" s="128">
        <v>9000</v>
      </c>
      <c r="N9" s="41" t="s">
        <v>133</v>
      </c>
      <c r="O9" s="42" t="s">
        <v>102</v>
      </c>
      <c r="P9" s="52">
        <v>99.74</v>
      </c>
      <c r="Q9" s="41" t="s">
        <v>134</v>
      </c>
      <c r="R9" s="42" t="s">
        <v>135</v>
      </c>
      <c r="S9" s="129">
        <v>1.1844663787361953E-2</v>
      </c>
      <c r="T9" s="41" t="s">
        <v>136</v>
      </c>
      <c r="U9" s="42" t="s">
        <v>137</v>
      </c>
      <c r="V9" s="41" t="s">
        <v>138</v>
      </c>
      <c r="W9" s="41" t="s">
        <v>139</v>
      </c>
      <c r="X9" s="42" t="s">
        <v>140</v>
      </c>
      <c r="Y9" s="41" t="s">
        <v>141</v>
      </c>
      <c r="Z9" s="41" t="s">
        <v>97</v>
      </c>
      <c r="AA9" s="94" t="s">
        <v>142</v>
      </c>
      <c r="AB9" s="12"/>
      <c r="AC9" s="12"/>
      <c r="AD9" s="12"/>
      <c r="AF9" s="12"/>
      <c r="AG9" s="12"/>
      <c r="AJ9" s="12"/>
      <c r="AL9" s="12"/>
      <c r="AM9" s="12"/>
      <c r="AO9" s="1"/>
      <c r="BA9" s="1"/>
      <c r="BB9" s="1"/>
      <c r="BC9" s="1"/>
      <c r="BE9" s="1"/>
      <c r="BF9" s="12"/>
      <c r="BG9" s="12"/>
      <c r="BH9" s="12"/>
      <c r="BI9" s="12"/>
      <c r="BJ9" s="12"/>
      <c r="BN9" s="12"/>
      <c r="BO9" s="12"/>
      <c r="BP9" s="12"/>
      <c r="BR9" s="1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J9" s="12"/>
      <c r="CL9" s="1"/>
      <c r="CN9" s="1"/>
    </row>
    <row r="10" spans="1:92" x14ac:dyDescent="0.2">
      <c r="A10" s="44" t="s">
        <v>185</v>
      </c>
      <c r="B10" s="44" t="s">
        <v>181</v>
      </c>
      <c r="C10" s="91">
        <v>712175381</v>
      </c>
      <c r="D10" s="139">
        <v>0.04</v>
      </c>
      <c r="E10" s="44" t="s">
        <v>99</v>
      </c>
      <c r="F10" s="122">
        <v>1.23</v>
      </c>
      <c r="G10" s="123">
        <v>1.97</v>
      </c>
      <c r="H10" s="44" t="s">
        <v>145</v>
      </c>
      <c r="I10" s="93" t="s">
        <v>129</v>
      </c>
      <c r="J10" s="44" t="s">
        <v>182</v>
      </c>
      <c r="K10" s="44" t="s">
        <v>183</v>
      </c>
      <c r="L10" s="93" t="s">
        <v>184</v>
      </c>
      <c r="M10" s="124">
        <v>26500</v>
      </c>
      <c r="N10" s="44" t="s">
        <v>133</v>
      </c>
      <c r="O10" s="92" t="s">
        <v>102</v>
      </c>
      <c r="P10" s="110">
        <v>101.25</v>
      </c>
      <c r="Q10" s="44" t="s">
        <v>134</v>
      </c>
      <c r="R10" s="92" t="s">
        <v>135</v>
      </c>
      <c r="S10" s="125">
        <v>3.5426932614389485E-2</v>
      </c>
      <c r="T10" s="44" t="s">
        <v>136</v>
      </c>
      <c r="U10" s="92" t="s">
        <v>137</v>
      </c>
      <c r="V10" s="44" t="s">
        <v>138</v>
      </c>
      <c r="W10" s="44" t="s">
        <v>139</v>
      </c>
      <c r="X10" s="92" t="s">
        <v>140</v>
      </c>
      <c r="Y10" s="44" t="s">
        <v>141</v>
      </c>
      <c r="Z10" s="44" t="s">
        <v>97</v>
      </c>
      <c r="AA10" s="91" t="s">
        <v>142</v>
      </c>
      <c r="AB10" s="12"/>
      <c r="AC10" s="12"/>
      <c r="AD10" s="12"/>
      <c r="AF10" s="12"/>
      <c r="AG10" s="12"/>
      <c r="AJ10" s="12"/>
      <c r="AL10" s="12"/>
      <c r="AM10" s="12"/>
      <c r="AO10" s="1"/>
      <c r="BA10" s="1"/>
      <c r="BB10" s="1"/>
      <c r="BC10" s="1"/>
      <c r="BE10" s="1"/>
      <c r="BF10" s="12"/>
      <c r="BG10" s="12"/>
      <c r="BH10" s="12"/>
      <c r="BI10" s="12"/>
      <c r="BJ10" s="12"/>
      <c r="BN10" s="12"/>
      <c r="BO10" s="12"/>
      <c r="BP10" s="12"/>
      <c r="BR10" s="1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J10" s="12"/>
      <c r="CL10" s="1"/>
      <c r="CN10" s="1"/>
    </row>
    <row r="11" spans="1:92" x14ac:dyDescent="0.2">
      <c r="A11" s="41" t="s">
        <v>186</v>
      </c>
      <c r="B11" s="41" t="s">
        <v>181</v>
      </c>
      <c r="C11" s="94">
        <v>54212965</v>
      </c>
      <c r="D11" s="140">
        <v>0</v>
      </c>
      <c r="E11" s="41" t="s">
        <v>99</v>
      </c>
      <c r="F11" s="126">
        <v>2.2599999999999998</v>
      </c>
      <c r="G11" s="127">
        <v>1.94</v>
      </c>
      <c r="H11" s="41" t="s">
        <v>145</v>
      </c>
      <c r="I11" s="95" t="s">
        <v>129</v>
      </c>
      <c r="J11" s="41" t="s">
        <v>182</v>
      </c>
      <c r="K11" s="41" t="s">
        <v>183</v>
      </c>
      <c r="L11" s="95" t="s">
        <v>184</v>
      </c>
      <c r="M11" s="128">
        <v>2000</v>
      </c>
      <c r="N11" s="41" t="s">
        <v>133</v>
      </c>
      <c r="O11" s="42" t="s">
        <v>102</v>
      </c>
      <c r="P11" s="52">
        <v>102.38</v>
      </c>
      <c r="Q11" s="41" t="s">
        <v>134</v>
      </c>
      <c r="R11" s="42" t="s">
        <v>135</v>
      </c>
      <c r="S11" s="129">
        <v>2.6968063051891087E-3</v>
      </c>
      <c r="T11" s="41" t="s">
        <v>136</v>
      </c>
      <c r="U11" s="42" t="s">
        <v>137</v>
      </c>
      <c r="V11" s="41" t="s">
        <v>138</v>
      </c>
      <c r="W11" s="41" t="s">
        <v>139</v>
      </c>
      <c r="X11" s="42" t="s">
        <v>140</v>
      </c>
      <c r="Y11" s="41" t="s">
        <v>141</v>
      </c>
      <c r="Z11" s="41" t="s">
        <v>97</v>
      </c>
      <c r="AA11" s="94" t="s">
        <v>142</v>
      </c>
      <c r="AB11" s="12"/>
      <c r="AC11" s="12"/>
      <c r="AD11" s="12"/>
      <c r="AF11" s="12"/>
      <c r="AG11" s="12"/>
      <c r="AJ11" s="12"/>
      <c r="AL11" s="12"/>
      <c r="AM11" s="12"/>
      <c r="AO11" s="1"/>
      <c r="BA11" s="1"/>
      <c r="BB11" s="1"/>
      <c r="BC11" s="1"/>
      <c r="BE11" s="1"/>
      <c r="BF11" s="12"/>
      <c r="BG11" s="12"/>
      <c r="BH11" s="12"/>
      <c r="BI11" s="12"/>
      <c r="BJ11" s="12"/>
      <c r="BN11" s="12"/>
      <c r="BO11" s="12"/>
      <c r="BP11" s="12"/>
      <c r="BR11" s="1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J11" s="12"/>
      <c r="CL11" s="1"/>
      <c r="CN11" s="1"/>
    </row>
    <row r="12" spans="1:92" x14ac:dyDescent="0.2">
      <c r="A12" s="44" t="s">
        <v>187</v>
      </c>
      <c r="B12" s="44" t="s">
        <v>181</v>
      </c>
      <c r="C12" s="91">
        <v>70292914</v>
      </c>
      <c r="D12" s="139">
        <v>0</v>
      </c>
      <c r="E12" s="44" t="s">
        <v>99</v>
      </c>
      <c r="F12" s="122">
        <v>6.39</v>
      </c>
      <c r="G12" s="123">
        <v>2.15</v>
      </c>
      <c r="H12" s="44" t="s">
        <v>145</v>
      </c>
      <c r="I12" s="93" t="s">
        <v>129</v>
      </c>
      <c r="J12" s="44" t="s">
        <v>182</v>
      </c>
      <c r="K12" s="44" t="s">
        <v>183</v>
      </c>
      <c r="L12" s="93" t="s">
        <v>184</v>
      </c>
      <c r="M12" s="124">
        <v>2500</v>
      </c>
      <c r="N12" s="44" t="s">
        <v>133</v>
      </c>
      <c r="O12" s="92" t="s">
        <v>102</v>
      </c>
      <c r="P12" s="110">
        <v>105.41</v>
      </c>
      <c r="Q12" s="44" t="s">
        <v>134</v>
      </c>
      <c r="R12" s="92" t="s">
        <v>135</v>
      </c>
      <c r="S12" s="125">
        <v>3.4966981364202413E-3</v>
      </c>
      <c r="T12" s="44" t="s">
        <v>160</v>
      </c>
      <c r="U12" s="92" t="s">
        <v>161</v>
      </c>
      <c r="V12" s="44" t="s">
        <v>162</v>
      </c>
      <c r="W12" s="44" t="s">
        <v>163</v>
      </c>
      <c r="X12" s="92" t="s">
        <v>140</v>
      </c>
      <c r="Y12" s="44" t="s">
        <v>164</v>
      </c>
      <c r="Z12" s="44" t="s">
        <v>97</v>
      </c>
      <c r="AA12" s="91" t="s">
        <v>165</v>
      </c>
      <c r="AB12" s="12"/>
      <c r="AC12" s="12"/>
      <c r="AD12" s="12"/>
      <c r="AF12" s="12"/>
      <c r="AG12" s="12"/>
      <c r="AJ12" s="12"/>
      <c r="AL12" s="12"/>
      <c r="AM12" s="12"/>
      <c r="AO12" s="1"/>
      <c r="BA12" s="1"/>
      <c r="BB12" s="1"/>
      <c r="BC12" s="1"/>
      <c r="BE12" s="1"/>
      <c r="BF12" s="12"/>
      <c r="BG12" s="12"/>
      <c r="BH12" s="12"/>
      <c r="BI12" s="12"/>
      <c r="BJ12" s="12"/>
      <c r="BN12" s="12"/>
      <c r="BO12" s="12"/>
      <c r="BP12" s="12"/>
      <c r="BR12" s="1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J12" s="12"/>
      <c r="CL12" s="1"/>
      <c r="CN12" s="1"/>
    </row>
    <row r="13" spans="1:92" x14ac:dyDescent="0.2">
      <c r="A13" s="41" t="s">
        <v>188</v>
      </c>
      <c r="B13" s="41" t="s">
        <v>181</v>
      </c>
      <c r="C13" s="94">
        <v>120236171</v>
      </c>
      <c r="D13" s="140">
        <v>0.01</v>
      </c>
      <c r="E13" s="41" t="s">
        <v>99</v>
      </c>
      <c r="F13" s="126">
        <v>0.77</v>
      </c>
      <c r="G13" s="127">
        <v>2.02</v>
      </c>
      <c r="H13" s="41" t="s">
        <v>145</v>
      </c>
      <c r="I13" s="95" t="s">
        <v>129</v>
      </c>
      <c r="J13" s="41" t="s">
        <v>182</v>
      </c>
      <c r="K13" s="41" t="s">
        <v>183</v>
      </c>
      <c r="L13" s="95" t="s">
        <v>184</v>
      </c>
      <c r="M13" s="128">
        <v>4500</v>
      </c>
      <c r="N13" s="41" t="s">
        <v>133</v>
      </c>
      <c r="O13" s="42" t="s">
        <v>102</v>
      </c>
      <c r="P13" s="52">
        <v>100.73</v>
      </c>
      <c r="Q13" s="41" t="s">
        <v>134</v>
      </c>
      <c r="R13" s="42" t="s">
        <v>135</v>
      </c>
      <c r="S13" s="129">
        <v>5.9811092063419861E-3</v>
      </c>
      <c r="T13" s="41" t="s">
        <v>136</v>
      </c>
      <c r="U13" s="42" t="s">
        <v>137</v>
      </c>
      <c r="V13" s="41" t="s">
        <v>138</v>
      </c>
      <c r="W13" s="41" t="s">
        <v>139</v>
      </c>
      <c r="X13" s="42" t="s">
        <v>140</v>
      </c>
      <c r="Y13" s="41" t="s">
        <v>141</v>
      </c>
      <c r="Z13" s="41" t="s">
        <v>97</v>
      </c>
      <c r="AA13" s="94" t="s">
        <v>142</v>
      </c>
      <c r="AB13" s="12"/>
      <c r="AC13" s="12"/>
      <c r="AD13" s="12"/>
      <c r="AF13" s="12"/>
      <c r="AG13" s="12"/>
      <c r="AJ13" s="12"/>
      <c r="AL13" s="12"/>
      <c r="AM13" s="12"/>
      <c r="AO13" s="1"/>
      <c r="BA13" s="1"/>
      <c r="BB13" s="1"/>
      <c r="BC13" s="1"/>
      <c r="BE13" s="1"/>
      <c r="BF13" s="12"/>
      <c r="BG13" s="12"/>
      <c r="BH13" s="12"/>
      <c r="BI13" s="12"/>
      <c r="BJ13" s="12"/>
      <c r="BN13" s="12"/>
      <c r="BO13" s="12"/>
      <c r="BP13" s="12"/>
      <c r="BR13" s="1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J13" s="12"/>
      <c r="CL13" s="1"/>
      <c r="CN13" s="1"/>
    </row>
    <row r="14" spans="1:92" x14ac:dyDescent="0.2">
      <c r="A14" s="44" t="s">
        <v>189</v>
      </c>
      <c r="B14" s="44" t="s">
        <v>181</v>
      </c>
      <c r="C14" s="91">
        <v>40309567</v>
      </c>
      <c r="D14" s="139">
        <v>0</v>
      </c>
      <c r="E14" s="44" t="s">
        <v>99</v>
      </c>
      <c r="F14" s="122">
        <v>1.25</v>
      </c>
      <c r="G14" s="123">
        <v>1.94</v>
      </c>
      <c r="H14" s="44" t="s">
        <v>145</v>
      </c>
      <c r="I14" s="93" t="s">
        <v>129</v>
      </c>
      <c r="J14" s="44" t="s">
        <v>182</v>
      </c>
      <c r="K14" s="44" t="s">
        <v>183</v>
      </c>
      <c r="L14" s="93" t="s">
        <v>184</v>
      </c>
      <c r="M14" s="124">
        <v>1500</v>
      </c>
      <c r="N14" s="44" t="s">
        <v>133</v>
      </c>
      <c r="O14" s="92" t="s">
        <v>102</v>
      </c>
      <c r="P14" s="110">
        <v>101.31</v>
      </c>
      <c r="Q14" s="44" t="s">
        <v>134</v>
      </c>
      <c r="R14" s="92" t="s">
        <v>135</v>
      </c>
      <c r="S14" s="125">
        <v>2.0051862952901178E-3</v>
      </c>
      <c r="T14" s="44" t="s">
        <v>136</v>
      </c>
      <c r="U14" s="92" t="s">
        <v>137</v>
      </c>
      <c r="V14" s="44" t="s">
        <v>138</v>
      </c>
      <c r="W14" s="44" t="s">
        <v>139</v>
      </c>
      <c r="X14" s="92" t="s">
        <v>140</v>
      </c>
      <c r="Y14" s="44" t="s">
        <v>141</v>
      </c>
      <c r="Z14" s="44" t="s">
        <v>97</v>
      </c>
      <c r="AA14" s="91" t="s">
        <v>142</v>
      </c>
      <c r="AB14" s="12"/>
      <c r="AC14" s="12"/>
      <c r="AD14" s="12"/>
      <c r="AF14" s="12"/>
      <c r="AG14" s="12"/>
      <c r="AJ14" s="12"/>
      <c r="AL14" s="12"/>
      <c r="AM14" s="12"/>
      <c r="AO14" s="1"/>
      <c r="BA14" s="1"/>
      <c r="BB14" s="1"/>
      <c r="BC14" s="1"/>
      <c r="BE14" s="1"/>
      <c r="BF14" s="12"/>
      <c r="BG14" s="12"/>
      <c r="BH14" s="12"/>
      <c r="BI14" s="12"/>
      <c r="BJ14" s="12"/>
      <c r="BN14" s="12"/>
      <c r="BO14" s="12"/>
      <c r="BP14" s="12"/>
      <c r="BR14" s="1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J14" s="12"/>
      <c r="CL14" s="1"/>
      <c r="CN14" s="1"/>
    </row>
    <row r="15" spans="1:92" x14ac:dyDescent="0.2">
      <c r="A15" s="41" t="s">
        <v>190</v>
      </c>
      <c r="B15" s="41" t="s">
        <v>181</v>
      </c>
      <c r="C15" s="94">
        <v>217825495</v>
      </c>
      <c r="D15" s="140">
        <v>0.01</v>
      </c>
      <c r="E15" s="41" t="s">
        <v>99</v>
      </c>
      <c r="F15" s="126">
        <v>2.73</v>
      </c>
      <c r="G15" s="127">
        <v>1.95</v>
      </c>
      <c r="H15" s="41" t="s">
        <v>145</v>
      </c>
      <c r="I15" s="95" t="s">
        <v>129</v>
      </c>
      <c r="J15" s="41" t="s">
        <v>182</v>
      </c>
      <c r="K15" s="41" t="s">
        <v>183</v>
      </c>
      <c r="L15" s="95" t="s">
        <v>184</v>
      </c>
      <c r="M15" s="128">
        <v>8000</v>
      </c>
      <c r="N15" s="41" t="s">
        <v>133</v>
      </c>
      <c r="O15" s="42" t="s">
        <v>102</v>
      </c>
      <c r="P15" s="52">
        <v>102.84</v>
      </c>
      <c r="Q15" s="41" t="s">
        <v>134</v>
      </c>
      <c r="R15" s="42" t="s">
        <v>135</v>
      </c>
      <c r="S15" s="129">
        <v>1.083565837704945E-2</v>
      </c>
      <c r="T15" s="41" t="s">
        <v>136</v>
      </c>
      <c r="U15" s="42" t="s">
        <v>137</v>
      </c>
      <c r="V15" s="41" t="s">
        <v>138</v>
      </c>
      <c r="W15" s="41" t="s">
        <v>139</v>
      </c>
      <c r="X15" s="42" t="s">
        <v>140</v>
      </c>
      <c r="Y15" s="41" t="s">
        <v>141</v>
      </c>
      <c r="Z15" s="41" t="s">
        <v>97</v>
      </c>
      <c r="AA15" s="94" t="s">
        <v>142</v>
      </c>
      <c r="AB15" s="12"/>
      <c r="AC15" s="12"/>
      <c r="AD15" s="12"/>
      <c r="AF15" s="12"/>
      <c r="AG15" s="12"/>
      <c r="AJ15" s="12"/>
      <c r="AL15" s="12"/>
      <c r="AM15" s="12"/>
      <c r="AO15" s="1"/>
      <c r="BA15" s="1"/>
      <c r="BB15" s="1"/>
      <c r="BC15" s="1"/>
      <c r="BE15" s="1"/>
      <c r="BF15" s="12"/>
      <c r="BG15" s="12"/>
      <c r="BH15" s="12"/>
      <c r="BI15" s="12"/>
      <c r="BJ15" s="12"/>
      <c r="BN15" s="12"/>
      <c r="BO15" s="12"/>
      <c r="BP15" s="12"/>
      <c r="BR15" s="1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J15" s="12"/>
      <c r="CL15" s="1"/>
      <c r="CN15" s="1"/>
    </row>
    <row r="16" spans="1:92" x14ac:dyDescent="0.2">
      <c r="A16" s="44" t="s">
        <v>191</v>
      </c>
      <c r="B16" s="44" t="s">
        <v>181</v>
      </c>
      <c r="C16" s="91">
        <v>13690890</v>
      </c>
      <c r="D16" s="139">
        <v>0</v>
      </c>
      <c r="E16" s="44" t="s">
        <v>99</v>
      </c>
      <c r="F16" s="122">
        <v>3.19</v>
      </c>
      <c r="G16" s="123">
        <v>1.92</v>
      </c>
      <c r="H16" s="44" t="s">
        <v>145</v>
      </c>
      <c r="I16" s="93" t="s">
        <v>129</v>
      </c>
      <c r="J16" s="44" t="s">
        <v>182</v>
      </c>
      <c r="K16" s="44" t="s">
        <v>183</v>
      </c>
      <c r="L16" s="93" t="s">
        <v>184</v>
      </c>
      <c r="M16" s="124">
        <v>500</v>
      </c>
      <c r="N16" s="44" t="s">
        <v>133</v>
      </c>
      <c r="O16" s="92" t="s">
        <v>102</v>
      </c>
      <c r="P16" s="110">
        <v>103.42</v>
      </c>
      <c r="Q16" s="44" t="s">
        <v>134</v>
      </c>
      <c r="R16" s="92" t="s">
        <v>135</v>
      </c>
      <c r="S16" s="125">
        <v>6.810488685806156E-4</v>
      </c>
      <c r="T16" s="44" t="s">
        <v>136</v>
      </c>
      <c r="U16" s="92" t="s">
        <v>137</v>
      </c>
      <c r="V16" s="44" t="s">
        <v>138</v>
      </c>
      <c r="W16" s="44" t="s">
        <v>139</v>
      </c>
      <c r="X16" s="92" t="s">
        <v>140</v>
      </c>
      <c r="Y16" s="44" t="s">
        <v>141</v>
      </c>
      <c r="Z16" s="44" t="s">
        <v>97</v>
      </c>
      <c r="AA16" s="91" t="s">
        <v>142</v>
      </c>
      <c r="AB16" s="12"/>
      <c r="AC16" s="12"/>
      <c r="AD16" s="12"/>
      <c r="AF16" s="12"/>
      <c r="AG16" s="12"/>
      <c r="AJ16" s="12"/>
      <c r="AL16" s="12"/>
      <c r="AM16" s="12"/>
      <c r="AO16" s="1"/>
      <c r="BA16" s="1"/>
      <c r="BB16" s="1"/>
      <c r="BC16" s="1"/>
      <c r="BE16" s="1"/>
      <c r="BF16" s="12"/>
      <c r="BG16" s="12"/>
      <c r="BH16" s="12"/>
      <c r="BI16" s="12"/>
      <c r="BJ16" s="12"/>
      <c r="BN16" s="12"/>
      <c r="BO16" s="12"/>
      <c r="BP16" s="12"/>
      <c r="BR16" s="1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J16" s="12"/>
      <c r="CL16" s="1"/>
      <c r="CN16" s="1"/>
    </row>
    <row r="17" spans="1:92" x14ac:dyDescent="0.2">
      <c r="A17" s="41" t="s">
        <v>192</v>
      </c>
      <c r="B17" s="41" t="s">
        <v>181</v>
      </c>
      <c r="C17" s="94">
        <v>116081084</v>
      </c>
      <c r="D17" s="140">
        <v>0.01</v>
      </c>
      <c r="E17" s="41" t="s">
        <v>100</v>
      </c>
      <c r="F17" s="126">
        <v>1.87</v>
      </c>
      <c r="G17" s="127">
        <v>4.5999999999999996</v>
      </c>
      <c r="H17" s="41" t="s">
        <v>145</v>
      </c>
      <c r="I17" s="95" t="s">
        <v>129</v>
      </c>
      <c r="J17" s="41" t="s">
        <v>182</v>
      </c>
      <c r="K17" s="41" t="s">
        <v>183</v>
      </c>
      <c r="L17" s="95" t="s">
        <v>184</v>
      </c>
      <c r="M17" s="128">
        <v>110000000</v>
      </c>
      <c r="N17" s="41" t="s">
        <v>133</v>
      </c>
      <c r="O17" s="42" t="s">
        <v>102</v>
      </c>
      <c r="P17" s="52">
        <v>102.51</v>
      </c>
      <c r="Q17" s="41" t="s">
        <v>134</v>
      </c>
      <c r="R17" s="42" t="s">
        <v>135</v>
      </c>
      <c r="S17" s="129">
        <v>5.7744157554265214E-3</v>
      </c>
      <c r="T17" s="41" t="s">
        <v>136</v>
      </c>
      <c r="U17" s="42" t="s">
        <v>177</v>
      </c>
      <c r="V17" s="41" t="s">
        <v>138</v>
      </c>
      <c r="W17" s="41" t="s">
        <v>178</v>
      </c>
      <c r="X17" s="42" t="s">
        <v>179</v>
      </c>
      <c r="Y17" s="41" t="s">
        <v>141</v>
      </c>
      <c r="Z17" s="41" t="s">
        <v>97</v>
      </c>
      <c r="AA17" s="94" t="s">
        <v>142</v>
      </c>
      <c r="AB17" s="12"/>
      <c r="AC17" s="12"/>
      <c r="AD17" s="12"/>
      <c r="AF17" s="12"/>
      <c r="AG17" s="12"/>
      <c r="AJ17" s="12"/>
      <c r="AL17" s="12"/>
      <c r="AM17" s="12"/>
      <c r="AO17" s="1"/>
      <c r="BA17" s="1"/>
      <c r="BB17" s="1"/>
      <c r="BC17" s="1"/>
      <c r="BE17" s="1"/>
      <c r="BF17" s="12"/>
      <c r="BG17" s="12"/>
      <c r="BH17" s="12"/>
      <c r="BI17" s="12"/>
      <c r="BJ17" s="12"/>
      <c r="BN17" s="12"/>
      <c r="BO17" s="12"/>
      <c r="BP17" s="12"/>
      <c r="BR17" s="1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J17" s="12"/>
      <c r="CL17" s="1"/>
      <c r="CN17" s="1"/>
    </row>
    <row r="18" spans="1:92" x14ac:dyDescent="0.2">
      <c r="A18" s="44" t="s">
        <v>193</v>
      </c>
      <c r="B18" s="44" t="s">
        <v>194</v>
      </c>
      <c r="C18" s="91">
        <v>892024037</v>
      </c>
      <c r="D18" s="139">
        <v>0.04</v>
      </c>
      <c r="E18" s="44" t="s">
        <v>99</v>
      </c>
      <c r="F18" s="122">
        <v>1.5</v>
      </c>
      <c r="G18" s="123">
        <v>2.2400000000000002</v>
      </c>
      <c r="H18" s="44" t="s">
        <v>128</v>
      </c>
      <c r="I18" s="93" t="s">
        <v>129</v>
      </c>
      <c r="J18" s="44" t="s">
        <v>182</v>
      </c>
      <c r="K18" s="44" t="s">
        <v>195</v>
      </c>
      <c r="L18" s="93" t="s">
        <v>196</v>
      </c>
      <c r="M18" s="124">
        <v>35000</v>
      </c>
      <c r="N18" s="44" t="s">
        <v>133</v>
      </c>
      <c r="O18" s="92" t="s">
        <v>102</v>
      </c>
      <c r="P18" s="110">
        <v>96.73</v>
      </c>
      <c r="Q18" s="44" t="s">
        <v>134</v>
      </c>
      <c r="R18" s="92" t="s">
        <v>135</v>
      </c>
      <c r="S18" s="125">
        <v>4.4373445491532194E-2</v>
      </c>
      <c r="T18" s="44" t="s">
        <v>136</v>
      </c>
      <c r="U18" s="92" t="s">
        <v>137</v>
      </c>
      <c r="V18" s="44" t="s">
        <v>138</v>
      </c>
      <c r="W18" s="44" t="s">
        <v>139</v>
      </c>
      <c r="X18" s="92" t="s">
        <v>140</v>
      </c>
      <c r="Y18" s="44" t="s">
        <v>141</v>
      </c>
      <c r="Z18" s="44" t="s">
        <v>97</v>
      </c>
      <c r="AA18" s="91" t="s">
        <v>142</v>
      </c>
      <c r="AB18" s="12"/>
      <c r="AC18" s="12"/>
      <c r="AD18" s="12"/>
      <c r="AF18" s="12"/>
      <c r="AG18" s="12"/>
      <c r="AJ18" s="12"/>
      <c r="AL18" s="12"/>
      <c r="AM18" s="12"/>
      <c r="AO18" s="1"/>
      <c r="BA18" s="1"/>
      <c r="BB18" s="1"/>
      <c r="BC18" s="1"/>
      <c r="BE18" s="1"/>
      <c r="BF18" s="12"/>
      <c r="BG18" s="12"/>
      <c r="BH18" s="12"/>
      <c r="BI18" s="12"/>
      <c r="BJ18" s="12"/>
      <c r="BN18" s="12"/>
      <c r="BO18" s="12"/>
      <c r="BP18" s="12"/>
      <c r="BR18" s="1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J18" s="12"/>
      <c r="CL18" s="1"/>
      <c r="CN18" s="1"/>
    </row>
    <row r="19" spans="1:92" x14ac:dyDescent="0.2">
      <c r="A19" s="41" t="s">
        <v>197</v>
      </c>
      <c r="B19" s="41" t="s">
        <v>194</v>
      </c>
      <c r="C19" s="94">
        <v>663165555</v>
      </c>
      <c r="D19" s="140">
        <v>0.03</v>
      </c>
      <c r="E19" s="41" t="s">
        <v>99</v>
      </c>
      <c r="F19" s="127">
        <v>2.68</v>
      </c>
      <c r="G19" s="127">
        <v>1.94</v>
      </c>
      <c r="H19" s="41" t="s">
        <v>128</v>
      </c>
      <c r="I19" s="95" t="s">
        <v>129</v>
      </c>
      <c r="J19" s="41" t="s">
        <v>182</v>
      </c>
      <c r="K19" s="41" t="s">
        <v>195</v>
      </c>
      <c r="L19" s="95" t="s">
        <v>196</v>
      </c>
      <c r="M19" s="128">
        <v>25000</v>
      </c>
      <c r="N19" s="41" t="s">
        <v>133</v>
      </c>
      <c r="O19" s="42" t="s">
        <v>102</v>
      </c>
      <c r="P19" s="52">
        <v>100.18</v>
      </c>
      <c r="Q19" s="41" t="s">
        <v>134</v>
      </c>
      <c r="R19" s="42" t="s">
        <v>135</v>
      </c>
      <c r="S19" s="129">
        <v>3.2988954765861535E-2</v>
      </c>
      <c r="T19" s="41" t="s">
        <v>136</v>
      </c>
      <c r="U19" s="42" t="s">
        <v>137</v>
      </c>
      <c r="V19" s="41" t="s">
        <v>138</v>
      </c>
      <c r="W19" s="41" t="s">
        <v>139</v>
      </c>
      <c r="X19" s="42" t="s">
        <v>140</v>
      </c>
      <c r="Y19" s="41" t="s">
        <v>141</v>
      </c>
      <c r="Z19" s="41" t="s">
        <v>97</v>
      </c>
      <c r="AA19" s="94" t="s">
        <v>142</v>
      </c>
      <c r="AB19" s="12"/>
      <c r="AC19" s="12"/>
      <c r="AD19" s="12"/>
      <c r="AF19" s="12"/>
      <c r="AG19" s="12"/>
      <c r="AJ19" s="12"/>
      <c r="AL19" s="12"/>
      <c r="AM19" s="12"/>
      <c r="AO19" s="1"/>
      <c r="BA19" s="1"/>
      <c r="BB19" s="1"/>
      <c r="BC19" s="1"/>
      <c r="BE19" s="1"/>
      <c r="BF19" s="12"/>
      <c r="BG19" s="12"/>
      <c r="BH19" s="12"/>
      <c r="BI19" s="12"/>
      <c r="BJ19" s="12"/>
      <c r="BN19" s="12"/>
      <c r="BO19" s="12"/>
      <c r="BP19" s="12"/>
      <c r="BR19" s="1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J19" s="12"/>
      <c r="CL19" s="1"/>
      <c r="CN19" s="1"/>
    </row>
    <row r="20" spans="1:92" x14ac:dyDescent="0.2">
      <c r="A20" s="44" t="s">
        <v>198</v>
      </c>
      <c r="B20" s="44" t="s">
        <v>199</v>
      </c>
      <c r="C20" s="91">
        <v>121430835</v>
      </c>
      <c r="D20" s="139">
        <v>0.01</v>
      </c>
      <c r="E20" s="44" t="s">
        <v>100</v>
      </c>
      <c r="F20" s="122">
        <v>2.14</v>
      </c>
      <c r="G20" s="123">
        <v>5.91</v>
      </c>
      <c r="H20" s="44" t="s">
        <v>145</v>
      </c>
      <c r="I20" s="93" t="s">
        <v>129</v>
      </c>
      <c r="J20" s="44" t="s">
        <v>182</v>
      </c>
      <c r="K20" s="44" t="s">
        <v>195</v>
      </c>
      <c r="L20" s="93" t="s">
        <v>200</v>
      </c>
      <c r="M20" s="124">
        <v>120000000</v>
      </c>
      <c r="N20" s="44" t="s">
        <v>133</v>
      </c>
      <c r="O20" s="92" t="s">
        <v>102</v>
      </c>
      <c r="P20" s="110">
        <v>99.78</v>
      </c>
      <c r="Q20" s="44" t="s">
        <v>134</v>
      </c>
      <c r="R20" s="92" t="s">
        <v>135</v>
      </c>
      <c r="S20" s="125">
        <v>6.0405373783259837E-3</v>
      </c>
      <c r="T20" s="44" t="s">
        <v>136</v>
      </c>
      <c r="U20" s="92" t="s">
        <v>177</v>
      </c>
      <c r="V20" s="44" t="s">
        <v>138</v>
      </c>
      <c r="W20" s="44" t="s">
        <v>178</v>
      </c>
      <c r="X20" s="92" t="s">
        <v>179</v>
      </c>
      <c r="Y20" s="44" t="s">
        <v>141</v>
      </c>
      <c r="Z20" s="44" t="s">
        <v>97</v>
      </c>
      <c r="AA20" s="91" t="s">
        <v>142</v>
      </c>
      <c r="AB20" s="12"/>
      <c r="AC20" s="12"/>
      <c r="AD20" s="12"/>
      <c r="AF20" s="12"/>
      <c r="AG20" s="12"/>
      <c r="AJ20" s="12"/>
      <c r="AL20" s="12"/>
      <c r="AM20" s="12"/>
      <c r="AO20" s="1"/>
      <c r="BA20" s="1"/>
      <c r="BB20" s="1"/>
      <c r="BC20" s="1"/>
      <c r="BE20" s="1"/>
      <c r="BF20" s="12"/>
      <c r="BG20" s="12"/>
      <c r="BH20" s="12"/>
      <c r="BI20" s="12"/>
      <c r="BJ20" s="12"/>
      <c r="BN20" s="12"/>
      <c r="BO20" s="12"/>
      <c r="BP20" s="12"/>
      <c r="BR20" s="1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J20" s="12"/>
      <c r="CL20" s="1"/>
      <c r="CN20" s="1"/>
    </row>
    <row r="21" spans="1:92" x14ac:dyDescent="0.2">
      <c r="A21" s="41" t="s">
        <v>201</v>
      </c>
      <c r="B21" s="41" t="s">
        <v>202</v>
      </c>
      <c r="C21" s="94">
        <v>27855284</v>
      </c>
      <c r="D21" s="140">
        <v>0</v>
      </c>
      <c r="E21" s="41" t="s">
        <v>99</v>
      </c>
      <c r="F21" s="126">
        <v>3.16</v>
      </c>
      <c r="G21" s="127">
        <v>1.91</v>
      </c>
      <c r="H21" s="41" t="s">
        <v>145</v>
      </c>
      <c r="I21" s="95" t="s">
        <v>129</v>
      </c>
      <c r="J21" s="41" t="s">
        <v>182</v>
      </c>
      <c r="K21" s="41" t="s">
        <v>203</v>
      </c>
      <c r="L21" s="95" t="s">
        <v>204</v>
      </c>
      <c r="M21" s="128">
        <v>1000</v>
      </c>
      <c r="N21" s="41" t="s">
        <v>133</v>
      </c>
      <c r="O21" s="42" t="s">
        <v>102</v>
      </c>
      <c r="P21" s="52">
        <v>105.12</v>
      </c>
      <c r="Q21" s="41" t="s">
        <v>134</v>
      </c>
      <c r="R21" s="42" t="s">
        <v>135</v>
      </c>
      <c r="S21" s="129">
        <v>1.3856520395819209E-3</v>
      </c>
      <c r="T21" s="41" t="s">
        <v>136</v>
      </c>
      <c r="U21" s="42" t="s">
        <v>137</v>
      </c>
      <c r="V21" s="41" t="s">
        <v>138</v>
      </c>
      <c r="W21" s="41" t="s">
        <v>139</v>
      </c>
      <c r="X21" s="42" t="s">
        <v>140</v>
      </c>
      <c r="Y21" s="41" t="s">
        <v>141</v>
      </c>
      <c r="Z21" s="41" t="s">
        <v>97</v>
      </c>
      <c r="AA21" s="94" t="s">
        <v>142</v>
      </c>
      <c r="AB21" s="12"/>
      <c r="AC21" s="12"/>
      <c r="AD21" s="12"/>
      <c r="AF21" s="12"/>
      <c r="AG21" s="12"/>
      <c r="AJ21" s="12"/>
      <c r="AL21" s="12"/>
      <c r="AM21" s="12"/>
      <c r="AO21" s="1"/>
      <c r="BA21" s="1"/>
      <c r="BB21" s="1"/>
      <c r="BC21" s="1"/>
      <c r="BE21" s="1"/>
      <c r="BF21" s="12"/>
      <c r="BG21" s="12"/>
      <c r="BH21" s="12"/>
      <c r="BI21" s="12"/>
      <c r="BJ21" s="12"/>
      <c r="BN21" s="12"/>
      <c r="BO21" s="12"/>
      <c r="BP21" s="12"/>
      <c r="BR21" s="1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J21" s="12"/>
      <c r="CL21" s="1"/>
      <c r="CN21" s="1"/>
    </row>
    <row r="22" spans="1:92" x14ac:dyDescent="0.2">
      <c r="A22" s="44" t="s">
        <v>205</v>
      </c>
      <c r="B22" s="44" t="s">
        <v>202</v>
      </c>
      <c r="C22" s="91">
        <v>545169198</v>
      </c>
      <c r="D22" s="139">
        <v>0.03</v>
      </c>
      <c r="E22" s="44" t="s">
        <v>99</v>
      </c>
      <c r="F22" s="122">
        <v>2.09</v>
      </c>
      <c r="G22" s="123">
        <v>1.85</v>
      </c>
      <c r="H22" s="44" t="s">
        <v>145</v>
      </c>
      <c r="I22" s="93" t="s">
        <v>129</v>
      </c>
      <c r="J22" s="44" t="s">
        <v>182</v>
      </c>
      <c r="K22" s="44" t="s">
        <v>206</v>
      </c>
      <c r="L22" s="93" t="s">
        <v>204</v>
      </c>
      <c r="M22" s="124">
        <v>20000</v>
      </c>
      <c r="N22" s="44" t="s">
        <v>133</v>
      </c>
      <c r="O22" s="92" t="s">
        <v>102</v>
      </c>
      <c r="P22" s="110">
        <v>102.44</v>
      </c>
      <c r="Q22" s="44" t="s">
        <v>134</v>
      </c>
      <c r="R22" s="92" t="s">
        <v>135</v>
      </c>
      <c r="S22" s="125">
        <v>2.7119264378203434E-2</v>
      </c>
      <c r="T22" s="44" t="s">
        <v>136</v>
      </c>
      <c r="U22" s="92" t="s">
        <v>137</v>
      </c>
      <c r="V22" s="44" t="s">
        <v>138</v>
      </c>
      <c r="W22" s="44" t="s">
        <v>139</v>
      </c>
      <c r="X22" s="92" t="s">
        <v>140</v>
      </c>
      <c r="Y22" s="44" t="s">
        <v>141</v>
      </c>
      <c r="Z22" s="44" t="s">
        <v>97</v>
      </c>
      <c r="AA22" s="91" t="s">
        <v>142</v>
      </c>
      <c r="AB22" s="12"/>
      <c r="AC22" s="12"/>
      <c r="AD22" s="12"/>
      <c r="AF22" s="12"/>
      <c r="AG22" s="12"/>
      <c r="AJ22" s="12"/>
      <c r="AL22" s="12"/>
      <c r="AM22" s="12"/>
      <c r="AO22" s="1"/>
      <c r="BA22" s="1"/>
      <c r="BB22" s="1"/>
      <c r="BC22" s="1"/>
      <c r="BE22" s="1"/>
      <c r="BF22" s="12"/>
      <c r="BG22" s="12"/>
      <c r="BH22" s="12"/>
      <c r="BI22" s="12"/>
      <c r="BJ22" s="12"/>
      <c r="BN22" s="12"/>
      <c r="BO22" s="12"/>
      <c r="BP22" s="12"/>
      <c r="BR22" s="1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J22" s="12"/>
      <c r="CL22" s="1"/>
      <c r="CN22" s="1"/>
    </row>
    <row r="23" spans="1:92" x14ac:dyDescent="0.2">
      <c r="A23" s="41" t="s">
        <v>207</v>
      </c>
      <c r="B23" s="41" t="s">
        <v>208</v>
      </c>
      <c r="C23" s="94">
        <v>1867093</v>
      </c>
      <c r="D23" s="140">
        <v>0</v>
      </c>
      <c r="E23" s="41" t="s">
        <v>99</v>
      </c>
      <c r="F23" s="126">
        <v>0.33</v>
      </c>
      <c r="G23" s="127">
        <v>2.04</v>
      </c>
      <c r="H23" s="41" t="s">
        <v>209</v>
      </c>
      <c r="I23" s="95" t="s">
        <v>129</v>
      </c>
      <c r="J23" s="41" t="s">
        <v>182</v>
      </c>
      <c r="K23" s="41" t="s">
        <v>210</v>
      </c>
      <c r="L23" s="95" t="s">
        <v>211</v>
      </c>
      <c r="M23" s="128">
        <v>1000</v>
      </c>
      <c r="N23" s="41" t="s">
        <v>133</v>
      </c>
      <c r="O23" s="42" t="s">
        <v>102</v>
      </c>
      <c r="P23" s="52">
        <v>100.4</v>
      </c>
      <c r="Q23" s="41" t="s">
        <v>134</v>
      </c>
      <c r="R23" s="42" t="s">
        <v>135</v>
      </c>
      <c r="S23" s="129">
        <v>9.2877933807428693E-5</v>
      </c>
      <c r="T23" s="41" t="s">
        <v>136</v>
      </c>
      <c r="U23" s="42" t="s">
        <v>137</v>
      </c>
      <c r="V23" s="41" t="s">
        <v>138</v>
      </c>
      <c r="W23" s="41" t="s">
        <v>139</v>
      </c>
      <c r="X23" s="42" t="s">
        <v>140</v>
      </c>
      <c r="Y23" s="41" t="s">
        <v>141</v>
      </c>
      <c r="Z23" s="41" t="s">
        <v>97</v>
      </c>
      <c r="AA23" s="94" t="s">
        <v>142</v>
      </c>
      <c r="AB23" s="12"/>
      <c r="AC23" s="12"/>
      <c r="AD23" s="12"/>
      <c r="AF23" s="12"/>
      <c r="AG23" s="12"/>
      <c r="AJ23" s="12"/>
      <c r="AL23" s="12"/>
      <c r="AM23" s="12"/>
      <c r="AO23" s="1"/>
      <c r="BA23" s="1"/>
      <c r="BB23" s="1"/>
      <c r="BC23" s="1"/>
      <c r="BE23" s="1"/>
      <c r="BF23" s="12"/>
      <c r="BG23" s="12"/>
      <c r="BH23" s="12"/>
      <c r="BI23" s="12"/>
      <c r="BJ23" s="12"/>
      <c r="BN23" s="12"/>
      <c r="BO23" s="12"/>
      <c r="BP23" s="12"/>
      <c r="BR23" s="1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J23" s="12"/>
      <c r="CL23" s="1"/>
      <c r="CN23" s="1"/>
    </row>
    <row r="24" spans="1:92" x14ac:dyDescent="0.2">
      <c r="A24" s="44" t="s">
        <v>212</v>
      </c>
      <c r="B24" s="44" t="s">
        <v>208</v>
      </c>
      <c r="C24" s="91">
        <v>142989124</v>
      </c>
      <c r="D24" s="139">
        <v>0.01</v>
      </c>
      <c r="E24" s="44" t="s">
        <v>99</v>
      </c>
      <c r="F24" s="122">
        <v>4.03</v>
      </c>
      <c r="G24" s="123">
        <v>1.9</v>
      </c>
      <c r="H24" s="44" t="s">
        <v>209</v>
      </c>
      <c r="I24" s="93" t="s">
        <v>129</v>
      </c>
      <c r="J24" s="44" t="s">
        <v>182</v>
      </c>
      <c r="K24" s="44" t="s">
        <v>210</v>
      </c>
      <c r="L24" s="93" t="s">
        <v>211</v>
      </c>
      <c r="M24" s="124">
        <v>5000</v>
      </c>
      <c r="N24" s="44" t="s">
        <v>133</v>
      </c>
      <c r="O24" s="92" t="s">
        <v>102</v>
      </c>
      <c r="P24" s="110">
        <v>107.87</v>
      </c>
      <c r="Q24" s="44" t="s">
        <v>134</v>
      </c>
      <c r="R24" s="92" t="s">
        <v>135</v>
      </c>
      <c r="S24" s="125">
        <v>7.1129474504238481E-3</v>
      </c>
      <c r="T24" s="44" t="s">
        <v>136</v>
      </c>
      <c r="U24" s="92" t="s">
        <v>137</v>
      </c>
      <c r="V24" s="44" t="s">
        <v>138</v>
      </c>
      <c r="W24" s="44" t="s">
        <v>139</v>
      </c>
      <c r="X24" s="92" t="s">
        <v>140</v>
      </c>
      <c r="Y24" s="44" t="s">
        <v>141</v>
      </c>
      <c r="Z24" s="44" t="s">
        <v>97</v>
      </c>
      <c r="AA24" s="91" t="s">
        <v>142</v>
      </c>
      <c r="AB24" s="12"/>
      <c r="AC24" s="12"/>
      <c r="AD24" s="12"/>
      <c r="AF24" s="12"/>
      <c r="AG24" s="12"/>
      <c r="AJ24" s="12"/>
      <c r="AL24" s="12"/>
      <c r="AM24" s="12"/>
      <c r="AO24" s="1"/>
      <c r="BA24" s="1"/>
      <c r="BB24" s="1"/>
      <c r="BC24" s="1"/>
      <c r="BE24" s="1"/>
      <c r="BF24" s="12"/>
      <c r="BG24" s="12"/>
      <c r="BH24" s="12"/>
      <c r="BI24" s="12"/>
      <c r="BJ24" s="12"/>
      <c r="BN24" s="12"/>
      <c r="BO24" s="12"/>
      <c r="BP24" s="12"/>
      <c r="BR24" s="1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J24" s="12"/>
      <c r="CL24" s="1"/>
      <c r="CN24" s="1"/>
    </row>
    <row r="25" spans="1:92" x14ac:dyDescent="0.2">
      <c r="A25" s="41" t="s">
        <v>213</v>
      </c>
      <c r="B25" s="41" t="s">
        <v>208</v>
      </c>
      <c r="C25" s="94">
        <v>87722278</v>
      </c>
      <c r="D25" s="140">
        <v>0</v>
      </c>
      <c r="E25" s="41" t="s">
        <v>99</v>
      </c>
      <c r="F25" s="126">
        <v>4.97</v>
      </c>
      <c r="G25" s="127">
        <v>1.95</v>
      </c>
      <c r="H25" s="41" t="s">
        <v>209</v>
      </c>
      <c r="I25" s="95" t="s">
        <v>129</v>
      </c>
      <c r="J25" s="41" t="s">
        <v>182</v>
      </c>
      <c r="K25" s="41" t="s">
        <v>210</v>
      </c>
      <c r="L25" s="95" t="s">
        <v>211</v>
      </c>
      <c r="M25" s="128">
        <v>3000</v>
      </c>
      <c r="N25" s="41" t="s">
        <v>133</v>
      </c>
      <c r="O25" s="42" t="s">
        <v>102</v>
      </c>
      <c r="P25" s="52">
        <v>108.97</v>
      </c>
      <c r="Q25" s="41" t="s">
        <v>134</v>
      </c>
      <c r="R25" s="42" t="s">
        <v>135</v>
      </c>
      <c r="S25" s="129">
        <v>4.3637161777805699E-3</v>
      </c>
      <c r="T25" s="41" t="s">
        <v>136</v>
      </c>
      <c r="U25" s="42" t="s">
        <v>137</v>
      </c>
      <c r="V25" s="41" t="s">
        <v>138</v>
      </c>
      <c r="W25" s="41" t="s">
        <v>139</v>
      </c>
      <c r="X25" s="42" t="s">
        <v>140</v>
      </c>
      <c r="Y25" s="41" t="s">
        <v>141</v>
      </c>
      <c r="Z25" s="41" t="s">
        <v>97</v>
      </c>
      <c r="AA25" s="94" t="s">
        <v>142</v>
      </c>
      <c r="AB25" s="12"/>
      <c r="AC25" s="12"/>
      <c r="AD25" s="12"/>
      <c r="AF25" s="12"/>
      <c r="AG25" s="12"/>
      <c r="AJ25" s="12"/>
      <c r="AL25" s="12"/>
      <c r="AM25" s="12"/>
      <c r="AO25" s="1"/>
      <c r="BA25" s="1"/>
      <c r="BB25" s="1"/>
      <c r="BC25" s="1"/>
      <c r="BE25" s="1"/>
      <c r="BF25" s="12"/>
      <c r="BG25" s="12"/>
      <c r="BH25" s="12"/>
      <c r="BI25" s="12"/>
      <c r="BJ25" s="12"/>
      <c r="BN25" s="12"/>
      <c r="BO25" s="12"/>
      <c r="BP25" s="12"/>
      <c r="BR25" s="1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J25" s="12"/>
      <c r="CL25" s="1"/>
      <c r="CN25" s="1"/>
    </row>
    <row r="26" spans="1:92" x14ac:dyDescent="0.2">
      <c r="A26" s="44" t="s">
        <v>214</v>
      </c>
      <c r="B26" s="44" t="s">
        <v>208</v>
      </c>
      <c r="C26" s="91">
        <v>54051267</v>
      </c>
      <c r="D26" s="139">
        <v>0</v>
      </c>
      <c r="E26" s="44" t="s">
        <v>99</v>
      </c>
      <c r="F26" s="122">
        <v>1.39</v>
      </c>
      <c r="G26" s="123">
        <v>1.87</v>
      </c>
      <c r="H26" s="44" t="s">
        <v>209</v>
      </c>
      <c r="I26" s="93" t="s">
        <v>129</v>
      </c>
      <c r="J26" s="44" t="s">
        <v>182</v>
      </c>
      <c r="K26" s="44" t="s">
        <v>210</v>
      </c>
      <c r="L26" s="93" t="s">
        <v>211</v>
      </c>
      <c r="M26" s="124">
        <v>2000</v>
      </c>
      <c r="N26" s="44" t="s">
        <v>133</v>
      </c>
      <c r="O26" s="92" t="s">
        <v>102</v>
      </c>
      <c r="P26" s="110">
        <v>102.28</v>
      </c>
      <c r="Q26" s="44" t="s">
        <v>134</v>
      </c>
      <c r="R26" s="92" t="s">
        <v>135</v>
      </c>
      <c r="S26" s="125">
        <v>2.6887626907891866E-3</v>
      </c>
      <c r="T26" s="44" t="s">
        <v>136</v>
      </c>
      <c r="U26" s="92" t="s">
        <v>137</v>
      </c>
      <c r="V26" s="44" t="s">
        <v>138</v>
      </c>
      <c r="W26" s="44" t="s">
        <v>139</v>
      </c>
      <c r="X26" s="92" t="s">
        <v>140</v>
      </c>
      <c r="Y26" s="44" t="s">
        <v>141</v>
      </c>
      <c r="Z26" s="44" t="s">
        <v>97</v>
      </c>
      <c r="AA26" s="91" t="s">
        <v>142</v>
      </c>
      <c r="AB26" s="12"/>
      <c r="AC26" s="12"/>
      <c r="AD26" s="12"/>
      <c r="AF26" s="12"/>
      <c r="AG26" s="12"/>
      <c r="AJ26" s="12"/>
      <c r="AL26" s="12"/>
      <c r="AM26" s="12"/>
      <c r="AO26" s="1"/>
      <c r="BA26" s="1"/>
      <c r="BB26" s="1"/>
      <c r="BC26" s="1"/>
      <c r="BE26" s="1"/>
      <c r="BF26" s="12"/>
      <c r="BG26" s="12"/>
      <c r="BH26" s="12"/>
      <c r="BI26" s="12"/>
      <c r="BJ26" s="12"/>
      <c r="BN26" s="12"/>
      <c r="BO26" s="12"/>
      <c r="BP26" s="12"/>
      <c r="BR26" s="1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J26" s="12"/>
      <c r="CL26" s="1"/>
      <c r="CN26" s="1"/>
    </row>
    <row r="27" spans="1:92" x14ac:dyDescent="0.2">
      <c r="A27" s="96" t="s">
        <v>215</v>
      </c>
      <c r="B27" s="44" t="s">
        <v>208</v>
      </c>
      <c r="C27" s="91">
        <v>10236524</v>
      </c>
      <c r="D27" s="139">
        <v>0</v>
      </c>
      <c r="E27" s="44" t="s">
        <v>100</v>
      </c>
      <c r="F27" s="122">
        <v>0.09</v>
      </c>
      <c r="G27" s="123">
        <v>4.3499999999999996</v>
      </c>
      <c r="H27" s="44" t="s">
        <v>209</v>
      </c>
      <c r="I27" s="93" t="s">
        <v>129</v>
      </c>
      <c r="J27" s="44" t="s">
        <v>182</v>
      </c>
      <c r="K27" s="44" t="s">
        <v>210</v>
      </c>
      <c r="L27" s="93" t="s">
        <v>211</v>
      </c>
      <c r="M27" s="124">
        <v>10000000</v>
      </c>
      <c r="N27" s="44" t="s">
        <v>133</v>
      </c>
      <c r="O27" s="92" t="s">
        <v>102</v>
      </c>
      <c r="P27" s="110">
        <v>100.08</v>
      </c>
      <c r="Q27" s="44" t="s">
        <v>134</v>
      </c>
      <c r="R27" s="92" t="s">
        <v>135</v>
      </c>
      <c r="S27" s="125">
        <v>5.0921255582349421E-4</v>
      </c>
      <c r="T27" s="44" t="s">
        <v>136</v>
      </c>
      <c r="U27" s="92" t="s">
        <v>177</v>
      </c>
      <c r="V27" s="44" t="s">
        <v>138</v>
      </c>
      <c r="W27" s="44" t="s">
        <v>178</v>
      </c>
      <c r="X27" s="92" t="s">
        <v>179</v>
      </c>
      <c r="Y27" s="96" t="s">
        <v>141</v>
      </c>
      <c r="Z27" s="44" t="s">
        <v>97</v>
      </c>
      <c r="AA27" s="91" t="s">
        <v>142</v>
      </c>
      <c r="AB27" s="12"/>
      <c r="AC27" s="12"/>
      <c r="AD27" s="12"/>
      <c r="AF27" s="12"/>
      <c r="AG27" s="12"/>
      <c r="AJ27" s="12"/>
      <c r="AL27" s="12"/>
      <c r="AM27" s="12"/>
      <c r="AO27" s="1"/>
      <c r="BA27" s="1"/>
      <c r="BB27" s="1"/>
      <c r="BC27" s="1"/>
      <c r="BE27" s="1"/>
      <c r="BF27" s="12"/>
      <c r="BG27" s="12"/>
      <c r="BH27" s="12"/>
      <c r="BI27" s="12"/>
      <c r="BJ27" s="12"/>
      <c r="BN27" s="12"/>
      <c r="BO27" s="12"/>
      <c r="BP27" s="12"/>
      <c r="BR27" s="1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J27" s="12"/>
      <c r="CL27" s="1"/>
      <c r="CN27" s="1"/>
    </row>
    <row r="28" spans="1:92" x14ac:dyDescent="0.2">
      <c r="A28" s="97" t="s">
        <v>216</v>
      </c>
      <c r="B28" s="41" t="s">
        <v>208</v>
      </c>
      <c r="C28" s="94">
        <v>761223873</v>
      </c>
      <c r="D28" s="140">
        <v>0.04</v>
      </c>
      <c r="E28" s="41" t="s">
        <v>99</v>
      </c>
      <c r="F28" s="126">
        <v>2.1800000000000002</v>
      </c>
      <c r="G28" s="127">
        <v>1.9</v>
      </c>
      <c r="H28" s="41" t="s">
        <v>209</v>
      </c>
      <c r="I28" s="95" t="s">
        <v>129</v>
      </c>
      <c r="J28" s="41" t="s">
        <v>182</v>
      </c>
      <c r="K28" s="41" t="s">
        <v>210</v>
      </c>
      <c r="L28" s="95" t="s">
        <v>211</v>
      </c>
      <c r="M28" s="128">
        <v>28000</v>
      </c>
      <c r="N28" s="41" t="s">
        <v>133</v>
      </c>
      <c r="O28" s="42" t="s">
        <v>102</v>
      </c>
      <c r="P28" s="52">
        <v>102.42</v>
      </c>
      <c r="Q28" s="41" t="s">
        <v>134</v>
      </c>
      <c r="R28" s="42" t="s">
        <v>135</v>
      </c>
      <c r="S28" s="129">
        <v>3.7866833890507066E-2</v>
      </c>
      <c r="T28" s="41" t="s">
        <v>136</v>
      </c>
      <c r="U28" s="42" t="s">
        <v>137</v>
      </c>
      <c r="V28" s="41" t="s">
        <v>138</v>
      </c>
      <c r="W28" s="41" t="s">
        <v>139</v>
      </c>
      <c r="X28" s="42" t="s">
        <v>140</v>
      </c>
      <c r="Y28" s="97" t="s">
        <v>141</v>
      </c>
      <c r="Z28" s="41" t="s">
        <v>97</v>
      </c>
      <c r="AA28" s="94" t="s">
        <v>142</v>
      </c>
      <c r="AB28" s="12"/>
      <c r="AC28" s="12"/>
      <c r="AD28" s="12"/>
      <c r="AF28" s="12"/>
      <c r="AG28" s="12"/>
      <c r="AJ28" s="12"/>
      <c r="AL28" s="12"/>
      <c r="AM28" s="12"/>
      <c r="AO28" s="1"/>
      <c r="BA28" s="1"/>
      <c r="BB28" s="1"/>
      <c r="BC28" s="1"/>
      <c r="BE28" s="1"/>
      <c r="BF28" s="12"/>
      <c r="BG28" s="12"/>
      <c r="BH28" s="12"/>
      <c r="BI28" s="12"/>
      <c r="BJ28" s="12"/>
      <c r="BN28" s="12"/>
      <c r="BO28" s="12"/>
      <c r="BP28" s="12"/>
      <c r="BR28" s="1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J28" s="12"/>
      <c r="CL28" s="1"/>
      <c r="CN28" s="1"/>
    </row>
    <row r="29" spans="1:92" x14ac:dyDescent="0.2">
      <c r="A29" s="96" t="s">
        <v>217</v>
      </c>
      <c r="B29" s="44" t="s">
        <v>208</v>
      </c>
      <c r="C29" s="91">
        <v>136370313</v>
      </c>
      <c r="D29" s="139">
        <v>0.01</v>
      </c>
      <c r="E29" s="44" t="s">
        <v>99</v>
      </c>
      <c r="F29" s="122">
        <v>2.73</v>
      </c>
      <c r="G29" s="123">
        <v>1.91</v>
      </c>
      <c r="H29" s="44" t="s">
        <v>209</v>
      </c>
      <c r="I29" s="93" t="s">
        <v>129</v>
      </c>
      <c r="J29" s="44" t="s">
        <v>182</v>
      </c>
      <c r="K29" s="44" t="s">
        <v>210</v>
      </c>
      <c r="L29" s="93" t="s">
        <v>211</v>
      </c>
      <c r="M29" s="124">
        <v>5000</v>
      </c>
      <c r="N29" s="44" t="s">
        <v>133</v>
      </c>
      <c r="O29" s="92" t="s">
        <v>102</v>
      </c>
      <c r="P29" s="110">
        <v>103.01</v>
      </c>
      <c r="Q29" s="44" t="s">
        <v>134</v>
      </c>
      <c r="R29" s="92" t="s">
        <v>135</v>
      </c>
      <c r="S29" s="125">
        <v>6.7836968507258783E-3</v>
      </c>
      <c r="T29" s="44" t="s">
        <v>136</v>
      </c>
      <c r="U29" s="92" t="s">
        <v>137</v>
      </c>
      <c r="V29" s="44" t="s">
        <v>138</v>
      </c>
      <c r="W29" s="44" t="s">
        <v>139</v>
      </c>
      <c r="X29" s="92" t="s">
        <v>140</v>
      </c>
      <c r="Y29" s="96" t="s">
        <v>141</v>
      </c>
      <c r="Z29" s="44" t="s">
        <v>97</v>
      </c>
      <c r="AA29" s="91" t="s">
        <v>142</v>
      </c>
      <c r="AB29" s="12"/>
      <c r="AC29" s="12"/>
      <c r="AD29" s="12"/>
      <c r="AF29" s="12"/>
      <c r="AG29" s="12"/>
      <c r="AJ29" s="12"/>
      <c r="AL29" s="12"/>
      <c r="AM29" s="12"/>
      <c r="AO29" s="1"/>
      <c r="BA29" s="1"/>
      <c r="BB29" s="1"/>
      <c r="BC29" s="1"/>
      <c r="BE29" s="1"/>
      <c r="BF29" s="12"/>
      <c r="BG29" s="12"/>
      <c r="BH29" s="12"/>
      <c r="BI29" s="12"/>
      <c r="BJ29" s="12"/>
      <c r="BN29" s="12"/>
      <c r="BO29" s="12"/>
      <c r="BP29" s="12"/>
      <c r="BR29" s="1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J29" s="12"/>
      <c r="CL29" s="1"/>
      <c r="CN29" s="1"/>
    </row>
    <row r="30" spans="1:92" x14ac:dyDescent="0.2">
      <c r="A30" s="97" t="s">
        <v>218</v>
      </c>
      <c r="B30" s="41" t="s">
        <v>208</v>
      </c>
      <c r="C30" s="94">
        <v>383741944</v>
      </c>
      <c r="D30" s="140">
        <v>0.02</v>
      </c>
      <c r="E30" s="41" t="s">
        <v>99</v>
      </c>
      <c r="F30" s="126">
        <v>2.48</v>
      </c>
      <c r="G30" s="127">
        <v>1.9</v>
      </c>
      <c r="H30" s="41" t="s">
        <v>209</v>
      </c>
      <c r="I30" s="95" t="s">
        <v>129</v>
      </c>
      <c r="J30" s="41" t="s">
        <v>182</v>
      </c>
      <c r="K30" s="41" t="s">
        <v>210</v>
      </c>
      <c r="L30" s="95" t="s">
        <v>211</v>
      </c>
      <c r="M30" s="128">
        <v>14000</v>
      </c>
      <c r="N30" s="41" t="s">
        <v>133</v>
      </c>
      <c r="O30" s="42" t="s">
        <v>102</v>
      </c>
      <c r="P30" s="52">
        <v>102.75</v>
      </c>
      <c r="Q30" s="41" t="s">
        <v>134</v>
      </c>
      <c r="R30" s="42" t="s">
        <v>135</v>
      </c>
      <c r="S30" s="129">
        <v>1.9089118149961469E-2</v>
      </c>
      <c r="T30" s="41" t="s">
        <v>136</v>
      </c>
      <c r="U30" s="42" t="s">
        <v>137</v>
      </c>
      <c r="V30" s="41" t="s">
        <v>138</v>
      </c>
      <c r="W30" s="41" t="s">
        <v>139</v>
      </c>
      <c r="X30" s="42" t="s">
        <v>140</v>
      </c>
      <c r="Y30" s="97" t="s">
        <v>141</v>
      </c>
      <c r="Z30" s="41" t="s">
        <v>97</v>
      </c>
      <c r="AA30" s="94" t="s">
        <v>142</v>
      </c>
      <c r="AB30" s="12"/>
      <c r="AC30" s="12"/>
      <c r="AD30" s="12"/>
      <c r="AF30" s="12"/>
      <c r="AG30" s="12"/>
      <c r="AJ30" s="12"/>
      <c r="AL30" s="12"/>
      <c r="AM30" s="12"/>
      <c r="AO30" s="1"/>
      <c r="BA30" s="1"/>
      <c r="BB30" s="1"/>
      <c r="BC30" s="1"/>
      <c r="BE30" s="1"/>
      <c r="BF30" s="12"/>
      <c r="BG30" s="12"/>
      <c r="BH30" s="12"/>
      <c r="BI30" s="12"/>
      <c r="BJ30" s="12"/>
      <c r="BN30" s="12"/>
      <c r="BO30" s="12"/>
      <c r="BP30" s="12"/>
      <c r="BR30" s="1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J30" s="12"/>
      <c r="CL30" s="1"/>
      <c r="CN30" s="1"/>
    </row>
    <row r="31" spans="1:92" x14ac:dyDescent="0.2">
      <c r="A31" s="97" t="s">
        <v>219</v>
      </c>
      <c r="B31" s="41" t="s">
        <v>220</v>
      </c>
      <c r="C31" s="94">
        <v>780659582</v>
      </c>
      <c r="D31" s="140">
        <v>0.04</v>
      </c>
      <c r="E31" s="41" t="s">
        <v>99</v>
      </c>
      <c r="F31" s="126">
        <v>1.32</v>
      </c>
      <c r="G31" s="127">
        <v>2.2400000000000002</v>
      </c>
      <c r="H31" s="41" t="s">
        <v>156</v>
      </c>
      <c r="I31" s="95" t="s">
        <v>129</v>
      </c>
      <c r="J31" s="41" t="s">
        <v>221</v>
      </c>
      <c r="K31" s="41" t="s">
        <v>222</v>
      </c>
      <c r="L31" s="95" t="s">
        <v>223</v>
      </c>
      <c r="M31" s="128">
        <v>29000</v>
      </c>
      <c r="N31" s="41" t="s">
        <v>133</v>
      </c>
      <c r="O31" s="42" t="s">
        <v>102</v>
      </c>
      <c r="P31" s="52">
        <v>101.65</v>
      </c>
      <c r="Q31" s="41" t="s">
        <v>134</v>
      </c>
      <c r="R31" s="42" t="s">
        <v>135</v>
      </c>
      <c r="S31" s="129">
        <v>3.8833656911107774E-2</v>
      </c>
      <c r="T31" s="41" t="s">
        <v>136</v>
      </c>
      <c r="U31" s="42" t="s">
        <v>137</v>
      </c>
      <c r="V31" s="41" t="s">
        <v>138</v>
      </c>
      <c r="W31" s="41" t="s">
        <v>139</v>
      </c>
      <c r="X31" s="42" t="s">
        <v>140</v>
      </c>
      <c r="Y31" s="97" t="s">
        <v>141</v>
      </c>
      <c r="Z31" s="41" t="s">
        <v>97</v>
      </c>
      <c r="AA31" s="94" t="s">
        <v>142</v>
      </c>
      <c r="AB31" s="12"/>
      <c r="AC31" s="12"/>
      <c r="AD31" s="12"/>
      <c r="AF31" s="12"/>
      <c r="AG31" s="12"/>
      <c r="AJ31" s="12"/>
      <c r="AL31" s="12"/>
      <c r="AM31" s="12"/>
      <c r="AO31" s="1"/>
      <c r="BA31" s="1"/>
      <c r="BB31" s="1"/>
      <c r="BC31" s="1"/>
      <c r="BE31" s="1"/>
      <c r="BF31" s="12"/>
      <c r="BG31" s="12"/>
      <c r="BH31" s="12"/>
      <c r="BI31" s="12"/>
      <c r="BJ31" s="12"/>
      <c r="BN31" s="12"/>
      <c r="BO31" s="12"/>
      <c r="BP31" s="12"/>
      <c r="BR31" s="1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J31" s="12"/>
      <c r="CL31" s="1"/>
      <c r="CN31" s="1"/>
    </row>
    <row r="32" spans="1:92" x14ac:dyDescent="0.2">
      <c r="A32" s="97" t="s">
        <v>224</v>
      </c>
      <c r="B32" s="41" t="s">
        <v>225</v>
      </c>
      <c r="C32" s="94">
        <v>175619026</v>
      </c>
      <c r="D32" s="140">
        <v>0.01</v>
      </c>
      <c r="E32" s="41" t="s">
        <v>99</v>
      </c>
      <c r="F32" s="126">
        <v>1.22</v>
      </c>
      <c r="G32" s="127">
        <v>2.35</v>
      </c>
      <c r="H32" s="41" t="s">
        <v>156</v>
      </c>
      <c r="I32" s="95" t="s">
        <v>129</v>
      </c>
      <c r="J32" s="41" t="s">
        <v>182</v>
      </c>
      <c r="K32" s="41" t="s">
        <v>226</v>
      </c>
      <c r="L32" s="95" t="s">
        <v>227</v>
      </c>
      <c r="M32" s="128">
        <v>6500</v>
      </c>
      <c r="N32" s="41" t="s">
        <v>133</v>
      </c>
      <c r="O32" s="42" t="s">
        <v>102</v>
      </c>
      <c r="P32" s="52">
        <v>101.62</v>
      </c>
      <c r="Q32" s="41" t="s">
        <v>134</v>
      </c>
      <c r="R32" s="42" t="s">
        <v>135</v>
      </c>
      <c r="S32" s="129">
        <v>8.7361113089455631E-3</v>
      </c>
      <c r="T32" s="41" t="s">
        <v>136</v>
      </c>
      <c r="U32" s="42" t="s">
        <v>137</v>
      </c>
      <c r="V32" s="41" t="s">
        <v>138</v>
      </c>
      <c r="W32" s="41" t="s">
        <v>139</v>
      </c>
      <c r="X32" s="42" t="s">
        <v>140</v>
      </c>
      <c r="Y32" s="97" t="s">
        <v>141</v>
      </c>
      <c r="Z32" s="41" t="s">
        <v>97</v>
      </c>
      <c r="AA32" s="94" t="s">
        <v>142</v>
      </c>
      <c r="AB32" s="12"/>
      <c r="AC32" s="12"/>
      <c r="AD32" s="12"/>
      <c r="AF32" s="12"/>
      <c r="AG32" s="12"/>
      <c r="AJ32" s="12"/>
      <c r="AL32" s="12"/>
      <c r="AM32" s="12"/>
      <c r="AO32" s="1"/>
      <c r="BA32" s="1"/>
      <c r="BB32" s="1"/>
      <c r="BC32" s="1"/>
      <c r="BE32" s="1"/>
      <c r="BF32" s="12"/>
      <c r="BG32" s="12"/>
      <c r="BH32" s="12"/>
      <c r="BI32" s="12"/>
      <c r="BJ32" s="12"/>
      <c r="BN32" s="12"/>
      <c r="BO32" s="12"/>
      <c r="BP32" s="12"/>
      <c r="BR32" s="1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J32" s="12"/>
      <c r="CL32" s="1"/>
      <c r="CN32" s="1"/>
    </row>
    <row r="33" spans="1:92" x14ac:dyDescent="0.2">
      <c r="A33" s="97" t="s">
        <v>228</v>
      </c>
      <c r="B33" s="41" t="s">
        <v>229</v>
      </c>
      <c r="C33" s="94">
        <v>26972790</v>
      </c>
      <c r="D33" s="140">
        <v>0</v>
      </c>
      <c r="E33" s="41" t="s">
        <v>99</v>
      </c>
      <c r="F33" s="126">
        <v>0.2</v>
      </c>
      <c r="G33" s="127">
        <v>4.07</v>
      </c>
      <c r="H33" s="41" t="s">
        <v>156</v>
      </c>
      <c r="I33" s="95" t="s">
        <v>129</v>
      </c>
      <c r="J33" s="41" t="s">
        <v>182</v>
      </c>
      <c r="K33" s="41" t="s">
        <v>230</v>
      </c>
      <c r="L33" s="95" t="s">
        <v>231</v>
      </c>
      <c r="M33" s="128">
        <v>7000</v>
      </c>
      <c r="N33" s="41" t="s">
        <v>133</v>
      </c>
      <c r="O33" s="42" t="s">
        <v>102</v>
      </c>
      <c r="P33" s="52">
        <v>99.83</v>
      </c>
      <c r="Q33" s="41" t="s">
        <v>134</v>
      </c>
      <c r="R33" s="42" t="s">
        <v>135</v>
      </c>
      <c r="S33" s="129">
        <v>1.3417526626802599E-3</v>
      </c>
      <c r="T33" s="41" t="s">
        <v>136</v>
      </c>
      <c r="U33" s="42" t="s">
        <v>137</v>
      </c>
      <c r="V33" s="41" t="s">
        <v>138</v>
      </c>
      <c r="W33" s="41" t="s">
        <v>139</v>
      </c>
      <c r="X33" s="42" t="s">
        <v>140</v>
      </c>
      <c r="Y33" s="97" t="s">
        <v>141</v>
      </c>
      <c r="Z33" s="41" t="s">
        <v>97</v>
      </c>
      <c r="AA33" s="94" t="s">
        <v>142</v>
      </c>
      <c r="AB33" s="12"/>
      <c r="AC33" s="12"/>
      <c r="AD33" s="12"/>
      <c r="AF33" s="12"/>
      <c r="AG33" s="12"/>
      <c r="AJ33" s="12"/>
      <c r="AL33" s="12"/>
      <c r="AM33" s="12"/>
      <c r="AO33" s="1"/>
      <c r="BA33" s="1"/>
      <c r="BB33" s="1"/>
      <c r="BC33" s="1"/>
      <c r="BE33" s="1"/>
      <c r="BF33" s="12"/>
      <c r="BG33" s="12"/>
      <c r="BH33" s="12"/>
      <c r="BI33" s="12"/>
      <c r="BJ33" s="12"/>
      <c r="BN33" s="12"/>
      <c r="BO33" s="12"/>
      <c r="BP33" s="12"/>
      <c r="BR33" s="1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J33" s="12"/>
      <c r="CL33" s="1"/>
      <c r="CN33" s="1"/>
    </row>
    <row r="34" spans="1:92" x14ac:dyDescent="0.2">
      <c r="A34" s="96" t="s">
        <v>232</v>
      </c>
      <c r="B34" s="44" t="s">
        <v>233</v>
      </c>
      <c r="C34" s="91">
        <v>147791754</v>
      </c>
      <c r="D34" s="139">
        <v>0.01</v>
      </c>
      <c r="E34" s="44" t="s">
        <v>99</v>
      </c>
      <c r="F34" s="122">
        <v>7.85</v>
      </c>
      <c r="G34" s="123">
        <v>2.17</v>
      </c>
      <c r="H34" s="44" t="s">
        <v>209</v>
      </c>
      <c r="I34" s="93" t="s">
        <v>129</v>
      </c>
      <c r="J34" s="44" t="s">
        <v>182</v>
      </c>
      <c r="K34" s="44" t="s">
        <v>234</v>
      </c>
      <c r="L34" s="93" t="s">
        <v>235</v>
      </c>
      <c r="M34" s="124">
        <v>5000</v>
      </c>
      <c r="N34" s="44" t="s">
        <v>133</v>
      </c>
      <c r="O34" s="92" t="s">
        <v>102</v>
      </c>
      <c r="P34" s="110">
        <v>110.59</v>
      </c>
      <c r="Q34" s="44" t="s">
        <v>134</v>
      </c>
      <c r="R34" s="92" t="s">
        <v>135</v>
      </c>
      <c r="S34" s="125">
        <v>7.3518527171896548E-3</v>
      </c>
      <c r="T34" s="44" t="s">
        <v>160</v>
      </c>
      <c r="U34" s="92" t="s">
        <v>161</v>
      </c>
      <c r="V34" s="44" t="s">
        <v>162</v>
      </c>
      <c r="W34" s="44" t="s">
        <v>163</v>
      </c>
      <c r="X34" s="92" t="s">
        <v>140</v>
      </c>
      <c r="Y34" s="96" t="s">
        <v>164</v>
      </c>
      <c r="Z34" s="44" t="s">
        <v>97</v>
      </c>
      <c r="AA34" s="91" t="s">
        <v>165</v>
      </c>
      <c r="AB34" s="12"/>
      <c r="AC34" s="12"/>
      <c r="AD34" s="12"/>
      <c r="AF34" s="12"/>
      <c r="AG34" s="12"/>
      <c r="AJ34" s="12"/>
      <c r="AL34" s="12"/>
      <c r="AM34" s="12"/>
      <c r="AO34" s="1"/>
      <c r="BA34" s="1"/>
      <c r="BB34" s="1"/>
      <c r="BC34" s="1"/>
      <c r="BE34" s="1"/>
      <c r="BF34" s="12"/>
      <c r="BG34" s="12"/>
      <c r="BH34" s="12"/>
      <c r="BI34" s="12"/>
      <c r="BJ34" s="12"/>
      <c r="BN34" s="12"/>
      <c r="BO34" s="12"/>
      <c r="BP34" s="12"/>
      <c r="BR34" s="1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J34" s="12"/>
      <c r="CL34" s="1"/>
      <c r="CN34" s="1"/>
    </row>
    <row r="35" spans="1:92" x14ac:dyDescent="0.2">
      <c r="A35" s="96" t="s">
        <v>236</v>
      </c>
      <c r="B35" s="44" t="s">
        <v>233</v>
      </c>
      <c r="C35" s="91">
        <v>546212558</v>
      </c>
      <c r="D35" s="139">
        <v>0.03</v>
      </c>
      <c r="E35" s="44" t="s">
        <v>99</v>
      </c>
      <c r="F35" s="122">
        <v>1.54</v>
      </c>
      <c r="G35" s="123">
        <v>1.93</v>
      </c>
      <c r="H35" s="44" t="s">
        <v>209</v>
      </c>
      <c r="I35" s="93" t="s">
        <v>129</v>
      </c>
      <c r="J35" s="44" t="s">
        <v>182</v>
      </c>
      <c r="K35" s="44" t="s">
        <v>234</v>
      </c>
      <c r="L35" s="93" t="s">
        <v>235</v>
      </c>
      <c r="M35" s="124">
        <v>20000</v>
      </c>
      <c r="N35" s="44" t="s">
        <v>133</v>
      </c>
      <c r="O35" s="92" t="s">
        <v>102</v>
      </c>
      <c r="P35" s="110">
        <v>102.22</v>
      </c>
      <c r="Q35" s="44" t="s">
        <v>134</v>
      </c>
      <c r="R35" s="92" t="s">
        <v>135</v>
      </c>
      <c r="S35" s="125">
        <v>2.7171165981935717E-2</v>
      </c>
      <c r="T35" s="44" t="s">
        <v>136</v>
      </c>
      <c r="U35" s="92" t="s">
        <v>137</v>
      </c>
      <c r="V35" s="44" t="s">
        <v>138</v>
      </c>
      <c r="W35" s="44" t="s">
        <v>139</v>
      </c>
      <c r="X35" s="92" t="s">
        <v>140</v>
      </c>
      <c r="Y35" s="96" t="s">
        <v>141</v>
      </c>
      <c r="Z35" s="44" t="s">
        <v>97</v>
      </c>
      <c r="AA35" s="91" t="s">
        <v>142</v>
      </c>
      <c r="AB35" s="12"/>
      <c r="AC35" s="12"/>
      <c r="AD35" s="12"/>
      <c r="AF35" s="12"/>
      <c r="AG35" s="12"/>
      <c r="AJ35" s="12"/>
      <c r="AL35" s="12"/>
      <c r="AM35" s="12"/>
      <c r="AO35" s="1"/>
      <c r="BA35" s="1"/>
      <c r="BB35" s="1"/>
      <c r="BC35" s="1"/>
      <c r="BE35" s="1"/>
      <c r="BF35" s="12"/>
      <c r="BG35" s="12"/>
      <c r="BH35" s="12"/>
      <c r="BI35" s="12"/>
      <c r="BJ35" s="12"/>
      <c r="BN35" s="12"/>
      <c r="BO35" s="12"/>
      <c r="BP35" s="12"/>
      <c r="BR35" s="1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J35" s="12"/>
      <c r="CL35" s="1"/>
      <c r="CN35" s="1"/>
    </row>
    <row r="36" spans="1:92" x14ac:dyDescent="0.2">
      <c r="A36" s="96" t="s">
        <v>237</v>
      </c>
      <c r="B36" s="44" t="s">
        <v>233</v>
      </c>
      <c r="C36" s="91">
        <v>344523526</v>
      </c>
      <c r="D36" s="139">
        <v>0.02</v>
      </c>
      <c r="E36" s="44" t="s">
        <v>99</v>
      </c>
      <c r="F36" s="122">
        <v>0.42</v>
      </c>
      <c r="G36" s="123">
        <v>2.17</v>
      </c>
      <c r="H36" s="44" t="s">
        <v>209</v>
      </c>
      <c r="I36" s="93" t="s">
        <v>129</v>
      </c>
      <c r="J36" s="44" t="s">
        <v>182</v>
      </c>
      <c r="K36" s="44" t="s">
        <v>234</v>
      </c>
      <c r="L36" s="93" t="s">
        <v>235</v>
      </c>
      <c r="M36" s="124">
        <v>13000</v>
      </c>
      <c r="N36" s="44" t="s">
        <v>133</v>
      </c>
      <c r="O36" s="92" t="s">
        <v>102</v>
      </c>
      <c r="P36" s="110">
        <v>100.34</v>
      </c>
      <c r="Q36" s="44" t="s">
        <v>134</v>
      </c>
      <c r="R36" s="92" t="s">
        <v>135</v>
      </c>
      <c r="S36" s="125">
        <v>1.7138210706659999E-2</v>
      </c>
      <c r="T36" s="44" t="s">
        <v>136</v>
      </c>
      <c r="U36" s="92" t="s">
        <v>137</v>
      </c>
      <c r="V36" s="44" t="s">
        <v>138</v>
      </c>
      <c r="W36" s="44" t="s">
        <v>139</v>
      </c>
      <c r="X36" s="92" t="s">
        <v>140</v>
      </c>
      <c r="Y36" s="96" t="s">
        <v>141</v>
      </c>
      <c r="Z36" s="44" t="s">
        <v>97</v>
      </c>
      <c r="AA36" s="91" t="s">
        <v>142</v>
      </c>
      <c r="AB36" s="12"/>
      <c r="AC36" s="12"/>
      <c r="AD36" s="12"/>
      <c r="AF36" s="12"/>
      <c r="AG36" s="12"/>
      <c r="AJ36" s="12"/>
      <c r="AL36" s="12"/>
      <c r="AM36" s="12"/>
      <c r="AO36" s="1"/>
      <c r="BA36" s="1"/>
      <c r="BB36" s="1"/>
      <c r="BC36" s="1"/>
      <c r="BE36" s="1"/>
      <c r="BF36" s="12"/>
      <c r="BG36" s="12"/>
      <c r="BH36" s="12"/>
      <c r="BI36" s="12"/>
      <c r="BJ36" s="12"/>
      <c r="BN36" s="12"/>
      <c r="BO36" s="12"/>
      <c r="BP36" s="12"/>
      <c r="BR36" s="1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J36" s="12"/>
      <c r="CL36" s="1"/>
      <c r="CN36" s="1"/>
    </row>
    <row r="37" spans="1:92" x14ac:dyDescent="0.2">
      <c r="A37" s="96" t="s">
        <v>238</v>
      </c>
      <c r="B37" s="44" t="s">
        <v>233</v>
      </c>
      <c r="C37" s="91">
        <v>134405751</v>
      </c>
      <c r="D37" s="139">
        <v>0.01</v>
      </c>
      <c r="E37" s="44" t="s">
        <v>99</v>
      </c>
      <c r="F37" s="122">
        <v>1.39</v>
      </c>
      <c r="G37" s="123">
        <v>1.92</v>
      </c>
      <c r="H37" s="44" t="s">
        <v>209</v>
      </c>
      <c r="I37" s="93" t="s">
        <v>129</v>
      </c>
      <c r="J37" s="44" t="s">
        <v>182</v>
      </c>
      <c r="K37" s="44" t="s">
        <v>234</v>
      </c>
      <c r="L37" s="93" t="s">
        <v>235</v>
      </c>
      <c r="M37" s="124">
        <v>5000</v>
      </c>
      <c r="N37" s="44" t="s">
        <v>133</v>
      </c>
      <c r="O37" s="92" t="s">
        <v>102</v>
      </c>
      <c r="P37" s="110">
        <v>101.76</v>
      </c>
      <c r="Q37" s="44" t="s">
        <v>134</v>
      </c>
      <c r="R37" s="92" t="s">
        <v>135</v>
      </c>
      <c r="S37" s="125">
        <v>6.6859703532259739E-3</v>
      </c>
      <c r="T37" s="44" t="s">
        <v>136</v>
      </c>
      <c r="U37" s="92" t="s">
        <v>137</v>
      </c>
      <c r="V37" s="44" t="s">
        <v>138</v>
      </c>
      <c r="W37" s="44" t="s">
        <v>139</v>
      </c>
      <c r="X37" s="92" t="s">
        <v>140</v>
      </c>
      <c r="Y37" s="96" t="s">
        <v>141</v>
      </c>
      <c r="Z37" s="44" t="s">
        <v>97</v>
      </c>
      <c r="AA37" s="91" t="s">
        <v>142</v>
      </c>
      <c r="AB37" s="12"/>
      <c r="AC37" s="12"/>
      <c r="AD37" s="12"/>
      <c r="AF37" s="12"/>
      <c r="AG37" s="12"/>
      <c r="AJ37" s="12"/>
      <c r="AL37" s="12"/>
      <c r="AM37" s="12"/>
      <c r="AO37" s="1"/>
      <c r="BA37" s="1"/>
      <c r="BB37" s="1"/>
      <c r="BC37" s="1"/>
      <c r="BE37" s="1"/>
      <c r="BF37" s="12"/>
      <c r="BG37" s="12"/>
      <c r="BH37" s="12"/>
      <c r="BI37" s="12"/>
      <c r="BJ37" s="12"/>
      <c r="BN37" s="12"/>
      <c r="BO37" s="12"/>
      <c r="BP37" s="12"/>
      <c r="BR37" s="1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J37" s="12"/>
      <c r="CL37" s="1"/>
      <c r="CN37" s="1"/>
    </row>
    <row r="38" spans="1:92" x14ac:dyDescent="0.2">
      <c r="A38" s="96" t="s">
        <v>239</v>
      </c>
      <c r="B38" s="44" t="s">
        <v>233</v>
      </c>
      <c r="C38" s="91">
        <v>253049563</v>
      </c>
      <c r="D38" s="139">
        <v>0.01</v>
      </c>
      <c r="E38" s="44" t="s">
        <v>99</v>
      </c>
      <c r="F38" s="122">
        <v>4.58</v>
      </c>
      <c r="G38" s="123">
        <v>2</v>
      </c>
      <c r="H38" s="44" t="s">
        <v>209</v>
      </c>
      <c r="I38" s="93" t="s">
        <v>129</v>
      </c>
      <c r="J38" s="44" t="s">
        <v>182</v>
      </c>
      <c r="K38" s="44" t="s">
        <v>234</v>
      </c>
      <c r="L38" s="93" t="s">
        <v>235</v>
      </c>
      <c r="M38" s="124">
        <v>9000</v>
      </c>
      <c r="N38" s="44" t="s">
        <v>133</v>
      </c>
      <c r="O38" s="92" t="s">
        <v>102</v>
      </c>
      <c r="P38" s="110">
        <v>106.42</v>
      </c>
      <c r="Q38" s="44" t="s">
        <v>134</v>
      </c>
      <c r="R38" s="92" t="s">
        <v>135</v>
      </c>
      <c r="S38" s="125">
        <v>1.2587868179203049E-2</v>
      </c>
      <c r="T38" s="44" t="s">
        <v>136</v>
      </c>
      <c r="U38" s="92" t="s">
        <v>137</v>
      </c>
      <c r="V38" s="44" t="s">
        <v>138</v>
      </c>
      <c r="W38" s="44" t="s">
        <v>139</v>
      </c>
      <c r="X38" s="92" t="s">
        <v>140</v>
      </c>
      <c r="Y38" s="96" t="s">
        <v>141</v>
      </c>
      <c r="Z38" s="44" t="s">
        <v>97</v>
      </c>
      <c r="AA38" s="91" t="s">
        <v>142</v>
      </c>
      <c r="AB38" s="12"/>
      <c r="AC38" s="12"/>
      <c r="AD38" s="12"/>
      <c r="AF38" s="12"/>
      <c r="AG38" s="12"/>
      <c r="AJ38" s="12"/>
      <c r="AL38" s="12"/>
      <c r="AM38" s="12"/>
      <c r="AO38" s="1"/>
      <c r="BA38" s="1"/>
      <c r="BB38" s="1"/>
      <c r="BC38" s="1"/>
      <c r="BE38" s="1"/>
      <c r="BF38" s="12"/>
      <c r="BG38" s="12"/>
      <c r="BH38" s="12"/>
      <c r="BI38" s="12"/>
      <c r="BJ38" s="12"/>
      <c r="BN38" s="12"/>
      <c r="BO38" s="12"/>
      <c r="BP38" s="12"/>
      <c r="BR38" s="1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J38" s="12"/>
      <c r="CL38" s="1"/>
      <c r="CN38" s="1"/>
    </row>
    <row r="39" spans="1:92" x14ac:dyDescent="0.2">
      <c r="A39" s="97" t="s">
        <v>240</v>
      </c>
      <c r="B39" s="41" t="s">
        <v>233</v>
      </c>
      <c r="C39" s="94">
        <v>57329648</v>
      </c>
      <c r="D39" s="140">
        <v>0</v>
      </c>
      <c r="E39" s="41" t="s">
        <v>99</v>
      </c>
      <c r="F39" s="126">
        <v>5.51</v>
      </c>
      <c r="G39" s="127">
        <v>2.08</v>
      </c>
      <c r="H39" s="41" t="s">
        <v>209</v>
      </c>
      <c r="I39" s="95" t="s">
        <v>129</v>
      </c>
      <c r="J39" s="41" t="s">
        <v>182</v>
      </c>
      <c r="K39" s="41" t="s">
        <v>234</v>
      </c>
      <c r="L39" s="95" t="s">
        <v>235</v>
      </c>
      <c r="M39" s="128">
        <v>2000</v>
      </c>
      <c r="N39" s="41" t="s">
        <v>133</v>
      </c>
      <c r="O39" s="42" t="s">
        <v>102</v>
      </c>
      <c r="P39" s="52">
        <v>107.29</v>
      </c>
      <c r="Q39" s="41" t="s">
        <v>134</v>
      </c>
      <c r="R39" s="42" t="s">
        <v>135</v>
      </c>
      <c r="S39" s="129">
        <v>2.851844686979806E-3</v>
      </c>
      <c r="T39" s="41" t="s">
        <v>160</v>
      </c>
      <c r="U39" s="42" t="s">
        <v>161</v>
      </c>
      <c r="V39" s="41" t="s">
        <v>162</v>
      </c>
      <c r="W39" s="41" t="s">
        <v>163</v>
      </c>
      <c r="X39" s="42" t="s">
        <v>140</v>
      </c>
      <c r="Y39" s="97" t="s">
        <v>164</v>
      </c>
      <c r="Z39" s="41" t="s">
        <v>97</v>
      </c>
      <c r="AA39" s="94" t="s">
        <v>165</v>
      </c>
      <c r="AB39" s="12"/>
      <c r="AC39" s="12"/>
      <c r="AD39" s="12"/>
      <c r="AF39" s="12"/>
      <c r="AG39" s="12"/>
      <c r="AJ39" s="12"/>
      <c r="AL39" s="12"/>
      <c r="AM39" s="12"/>
      <c r="AO39" s="1"/>
      <c r="BA39" s="1"/>
      <c r="BB39" s="1"/>
      <c r="BC39" s="1"/>
      <c r="BE39" s="1"/>
      <c r="BF39" s="12"/>
      <c r="BG39" s="12"/>
      <c r="BH39" s="12"/>
      <c r="BI39" s="12"/>
      <c r="BJ39" s="12"/>
      <c r="BN39" s="12"/>
      <c r="BO39" s="12"/>
      <c r="BP39" s="12"/>
      <c r="BR39" s="1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J39" s="12"/>
      <c r="CL39" s="1"/>
      <c r="CN39" s="1"/>
    </row>
    <row r="40" spans="1:92" x14ac:dyDescent="0.2">
      <c r="A40" s="96" t="s">
        <v>241</v>
      </c>
      <c r="B40" s="44" t="s">
        <v>242</v>
      </c>
      <c r="C40" s="91">
        <v>53803835</v>
      </c>
      <c r="D40" s="139">
        <v>0</v>
      </c>
      <c r="E40" s="44" t="s">
        <v>99</v>
      </c>
      <c r="F40" s="122">
        <v>1.43</v>
      </c>
      <c r="G40" s="123">
        <v>2.3199999999999998</v>
      </c>
      <c r="H40" s="44" t="s">
        <v>156</v>
      </c>
      <c r="I40" s="93" t="s">
        <v>129</v>
      </c>
      <c r="J40" s="44" t="s">
        <v>182</v>
      </c>
      <c r="K40" s="44" t="s">
        <v>243</v>
      </c>
      <c r="L40" s="93" t="s">
        <v>244</v>
      </c>
      <c r="M40" s="124">
        <v>2000</v>
      </c>
      <c r="N40" s="44" t="s">
        <v>133</v>
      </c>
      <c r="O40" s="92" t="s">
        <v>102</v>
      </c>
      <c r="P40" s="110">
        <v>101.94</v>
      </c>
      <c r="Q40" s="44" t="s">
        <v>134</v>
      </c>
      <c r="R40" s="92" t="s">
        <v>135</v>
      </c>
      <c r="S40" s="125">
        <v>2.6764542664536877E-3</v>
      </c>
      <c r="T40" s="44" t="s">
        <v>136</v>
      </c>
      <c r="U40" s="92" t="s">
        <v>137</v>
      </c>
      <c r="V40" s="44" t="s">
        <v>138</v>
      </c>
      <c r="W40" s="44" t="s">
        <v>139</v>
      </c>
      <c r="X40" s="92" t="s">
        <v>140</v>
      </c>
      <c r="Y40" s="96" t="s">
        <v>141</v>
      </c>
      <c r="Z40" s="44" t="s">
        <v>97</v>
      </c>
      <c r="AA40" s="91" t="s">
        <v>142</v>
      </c>
      <c r="AB40" s="12"/>
      <c r="AC40" s="12"/>
      <c r="AD40" s="12"/>
      <c r="AF40" s="12"/>
      <c r="AG40" s="12"/>
      <c r="AJ40" s="12"/>
      <c r="AL40" s="12"/>
      <c r="AM40" s="12"/>
      <c r="AO40" s="1"/>
      <c r="BA40" s="1"/>
      <c r="BB40" s="1"/>
      <c r="BC40" s="1"/>
      <c r="BE40" s="1"/>
      <c r="BF40" s="12"/>
      <c r="BG40" s="12"/>
      <c r="BH40" s="12"/>
      <c r="BI40" s="12"/>
      <c r="BJ40" s="12"/>
      <c r="BN40" s="12"/>
      <c r="BO40" s="12"/>
      <c r="BP40" s="12"/>
      <c r="BR40" s="1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J40" s="12"/>
      <c r="CL40" s="1"/>
      <c r="CN40" s="1"/>
    </row>
    <row r="41" spans="1:92" x14ac:dyDescent="0.2">
      <c r="A41" s="97" t="s">
        <v>245</v>
      </c>
      <c r="B41" s="41" t="s">
        <v>242</v>
      </c>
      <c r="C41" s="94">
        <v>343820413</v>
      </c>
      <c r="D41" s="140">
        <v>0.02</v>
      </c>
      <c r="E41" s="41" t="s">
        <v>99</v>
      </c>
      <c r="F41" s="126">
        <v>1.32</v>
      </c>
      <c r="G41" s="127">
        <v>2.19</v>
      </c>
      <c r="H41" s="41" t="s">
        <v>156</v>
      </c>
      <c r="I41" s="95" t="s">
        <v>129</v>
      </c>
      <c r="J41" s="41" t="s">
        <v>182</v>
      </c>
      <c r="K41" s="41" t="s">
        <v>243</v>
      </c>
      <c r="L41" s="95" t="s">
        <v>244</v>
      </c>
      <c r="M41" s="128">
        <v>13000</v>
      </c>
      <c r="N41" s="41" t="s">
        <v>133</v>
      </c>
      <c r="O41" s="42" t="s">
        <v>102</v>
      </c>
      <c r="P41" s="52">
        <v>100.02</v>
      </c>
      <c r="Q41" s="41" t="s">
        <v>134</v>
      </c>
      <c r="R41" s="42" t="s">
        <v>135</v>
      </c>
      <c r="S41" s="129">
        <v>1.7103234579239918E-2</v>
      </c>
      <c r="T41" s="41" t="s">
        <v>136</v>
      </c>
      <c r="U41" s="42" t="s">
        <v>137</v>
      </c>
      <c r="V41" s="41" t="s">
        <v>138</v>
      </c>
      <c r="W41" s="41" t="s">
        <v>139</v>
      </c>
      <c r="X41" s="42" t="s">
        <v>140</v>
      </c>
      <c r="Y41" s="97" t="s">
        <v>141</v>
      </c>
      <c r="Z41" s="41" t="s">
        <v>97</v>
      </c>
      <c r="AA41" s="94" t="s">
        <v>142</v>
      </c>
      <c r="AB41" s="12"/>
      <c r="AC41" s="12"/>
      <c r="AD41" s="12"/>
      <c r="AF41" s="12"/>
      <c r="AG41" s="12"/>
      <c r="AJ41" s="12"/>
      <c r="AL41" s="12"/>
      <c r="AM41" s="12"/>
      <c r="AO41" s="1"/>
      <c r="BA41" s="1"/>
      <c r="BB41" s="1"/>
      <c r="BC41" s="1"/>
      <c r="BE41" s="1"/>
      <c r="BF41" s="12"/>
      <c r="BG41" s="12"/>
      <c r="BH41" s="12"/>
      <c r="BI41" s="12"/>
      <c r="BJ41" s="12"/>
      <c r="BN41" s="12"/>
      <c r="BO41" s="12"/>
      <c r="BP41" s="12"/>
      <c r="BR41" s="1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J41" s="12"/>
      <c r="CL41" s="1"/>
      <c r="CN41" s="1"/>
    </row>
    <row r="42" spans="1:92" x14ac:dyDescent="0.2">
      <c r="A42" s="96" t="s">
        <v>246</v>
      </c>
      <c r="B42" s="44" t="s">
        <v>247</v>
      </c>
      <c r="C42" s="91">
        <v>50747732</v>
      </c>
      <c r="D42" s="139">
        <v>0</v>
      </c>
      <c r="E42" s="44" t="s">
        <v>99</v>
      </c>
      <c r="F42" s="122">
        <v>7.39</v>
      </c>
      <c r="G42" s="123">
        <v>2.44</v>
      </c>
      <c r="H42" s="44" t="s">
        <v>156</v>
      </c>
      <c r="I42" s="93" t="s">
        <v>129</v>
      </c>
      <c r="J42" s="44" t="s">
        <v>182</v>
      </c>
      <c r="K42" s="44" t="s">
        <v>248</v>
      </c>
      <c r="L42" s="93" t="s">
        <v>247</v>
      </c>
      <c r="M42" s="124">
        <v>2000</v>
      </c>
      <c r="N42" s="44" t="s">
        <v>133</v>
      </c>
      <c r="O42" s="92" t="s">
        <v>102</v>
      </c>
      <c r="P42" s="110">
        <v>110.35</v>
      </c>
      <c r="Q42" s="44" t="s">
        <v>134</v>
      </c>
      <c r="R42" s="92" t="s">
        <v>135</v>
      </c>
      <c r="S42" s="125">
        <v>2.5244294170526753E-3</v>
      </c>
      <c r="T42" s="44" t="s">
        <v>160</v>
      </c>
      <c r="U42" s="92" t="s">
        <v>161</v>
      </c>
      <c r="V42" s="44" t="s">
        <v>162</v>
      </c>
      <c r="W42" s="44" t="s">
        <v>163</v>
      </c>
      <c r="X42" s="92" t="s">
        <v>140</v>
      </c>
      <c r="Y42" s="96" t="s">
        <v>164</v>
      </c>
      <c r="Z42" s="44" t="s">
        <v>97</v>
      </c>
      <c r="AA42" s="91" t="s">
        <v>165</v>
      </c>
      <c r="AB42" s="12"/>
      <c r="AC42" s="12"/>
      <c r="AD42" s="12"/>
      <c r="AF42" s="12"/>
      <c r="AG42" s="12"/>
      <c r="AJ42" s="12"/>
      <c r="AL42" s="12"/>
      <c r="AM42" s="12"/>
      <c r="AO42" s="1"/>
      <c r="BA42" s="1"/>
      <c r="BB42" s="1"/>
      <c r="BC42" s="1"/>
      <c r="BE42" s="1"/>
      <c r="BF42" s="12"/>
      <c r="BG42" s="12"/>
      <c r="BH42" s="12"/>
      <c r="BI42" s="12"/>
      <c r="BJ42" s="12"/>
      <c r="BN42" s="12"/>
      <c r="BO42" s="12"/>
      <c r="BP42" s="12"/>
      <c r="BR42" s="1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J42" s="12"/>
      <c r="CL42" s="1"/>
      <c r="CN42" s="1"/>
    </row>
    <row r="43" spans="1:92" x14ac:dyDescent="0.2">
      <c r="A43" s="96" t="s">
        <v>249</v>
      </c>
      <c r="B43" s="44" t="s">
        <v>247</v>
      </c>
      <c r="C43" s="91">
        <v>216991909</v>
      </c>
      <c r="D43" s="139">
        <v>0.01</v>
      </c>
      <c r="E43" s="44" t="s">
        <v>99</v>
      </c>
      <c r="F43" s="122">
        <v>6.11</v>
      </c>
      <c r="G43" s="123">
        <v>2.4500000000000002</v>
      </c>
      <c r="H43" s="44" t="s">
        <v>156</v>
      </c>
      <c r="I43" s="93" t="s">
        <v>129</v>
      </c>
      <c r="J43" s="44" t="s">
        <v>182</v>
      </c>
      <c r="K43" s="44" t="s">
        <v>248</v>
      </c>
      <c r="L43" s="93" t="s">
        <v>247</v>
      </c>
      <c r="M43" s="124">
        <v>10000</v>
      </c>
      <c r="N43" s="44" t="s">
        <v>133</v>
      </c>
      <c r="O43" s="92" t="s">
        <v>102</v>
      </c>
      <c r="P43" s="110">
        <v>113.19</v>
      </c>
      <c r="Q43" s="44" t="s">
        <v>134</v>
      </c>
      <c r="R43" s="92" t="s">
        <v>135</v>
      </c>
      <c r="S43" s="125">
        <v>1.0794191912695077E-2</v>
      </c>
      <c r="T43" s="44" t="s">
        <v>160</v>
      </c>
      <c r="U43" s="92" t="s">
        <v>161</v>
      </c>
      <c r="V43" s="44" t="s">
        <v>162</v>
      </c>
      <c r="W43" s="44" t="s">
        <v>163</v>
      </c>
      <c r="X43" s="92" t="s">
        <v>140</v>
      </c>
      <c r="Y43" s="96" t="s">
        <v>164</v>
      </c>
      <c r="Z43" s="44" t="s">
        <v>97</v>
      </c>
      <c r="AA43" s="91" t="s">
        <v>165</v>
      </c>
      <c r="AB43" s="12"/>
      <c r="AC43" s="12"/>
      <c r="AD43" s="12"/>
      <c r="AF43" s="12"/>
      <c r="AG43" s="12"/>
      <c r="AJ43" s="12"/>
      <c r="AL43" s="12"/>
      <c r="AM43" s="12"/>
      <c r="AO43" s="1"/>
      <c r="BA43" s="1"/>
      <c r="BB43" s="1"/>
      <c r="BC43" s="1"/>
      <c r="BE43" s="1"/>
      <c r="BF43" s="12"/>
      <c r="BG43" s="12"/>
      <c r="BH43" s="12"/>
      <c r="BI43" s="12"/>
      <c r="BJ43" s="12"/>
      <c r="BN43" s="12"/>
      <c r="BO43" s="12"/>
      <c r="BP43" s="12"/>
      <c r="BR43" s="1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J43" s="12"/>
      <c r="CL43" s="1"/>
      <c r="CN43" s="1"/>
    </row>
    <row r="44" spans="1:92" x14ac:dyDescent="0.2">
      <c r="A44" s="97" t="s">
        <v>250</v>
      </c>
      <c r="B44" s="41" t="s">
        <v>247</v>
      </c>
      <c r="C44" s="94">
        <v>170552305</v>
      </c>
      <c r="D44" s="140">
        <v>0.01</v>
      </c>
      <c r="E44" s="41" t="s">
        <v>99</v>
      </c>
      <c r="F44" s="126">
        <v>9.18</v>
      </c>
      <c r="G44" s="127">
        <v>2.7</v>
      </c>
      <c r="H44" s="41" t="s">
        <v>156</v>
      </c>
      <c r="I44" s="95" t="s">
        <v>129</v>
      </c>
      <c r="J44" s="41" t="s">
        <v>182</v>
      </c>
      <c r="K44" s="41" t="s">
        <v>248</v>
      </c>
      <c r="L44" s="95" t="s">
        <v>247</v>
      </c>
      <c r="M44" s="128">
        <v>6500</v>
      </c>
      <c r="N44" s="41" t="s">
        <v>133</v>
      </c>
      <c r="O44" s="42" t="s">
        <v>102</v>
      </c>
      <c r="P44" s="52">
        <v>110.02</v>
      </c>
      <c r="Q44" s="41" t="s">
        <v>134</v>
      </c>
      <c r="R44" s="42" t="s">
        <v>135</v>
      </c>
      <c r="S44" s="129">
        <v>8.4840689213094306E-3</v>
      </c>
      <c r="T44" s="41" t="s">
        <v>160</v>
      </c>
      <c r="U44" s="42" t="s">
        <v>161</v>
      </c>
      <c r="V44" s="41" t="s">
        <v>162</v>
      </c>
      <c r="W44" s="41" t="s">
        <v>163</v>
      </c>
      <c r="X44" s="42" t="s">
        <v>140</v>
      </c>
      <c r="Y44" s="97" t="s">
        <v>164</v>
      </c>
      <c r="Z44" s="41" t="s">
        <v>97</v>
      </c>
      <c r="AA44" s="94" t="s">
        <v>165</v>
      </c>
      <c r="AB44" s="12"/>
      <c r="AC44" s="12"/>
      <c r="AD44" s="12"/>
      <c r="AF44" s="12"/>
      <c r="AG44" s="12"/>
      <c r="AJ44" s="12"/>
      <c r="AL44" s="12"/>
      <c r="AM44" s="12"/>
      <c r="AO44" s="1"/>
      <c r="BA44" s="1"/>
      <c r="BB44" s="1"/>
      <c r="BC44" s="1"/>
      <c r="BE44" s="1"/>
      <c r="BF44" s="12"/>
      <c r="BG44" s="12"/>
      <c r="BH44" s="12"/>
      <c r="BI44" s="12"/>
      <c r="BJ44" s="12"/>
      <c r="BN44" s="12"/>
      <c r="BO44" s="12"/>
      <c r="BP44" s="12"/>
      <c r="BR44" s="1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J44" s="12"/>
      <c r="CL44" s="1"/>
      <c r="CN44" s="1"/>
    </row>
    <row r="45" spans="1:92" x14ac:dyDescent="0.2">
      <c r="A45" s="96" t="s">
        <v>251</v>
      </c>
      <c r="B45" s="44" t="s">
        <v>252</v>
      </c>
      <c r="C45" s="91">
        <v>13420358</v>
      </c>
      <c r="D45" s="139">
        <v>0</v>
      </c>
      <c r="E45" s="44" t="s">
        <v>99</v>
      </c>
      <c r="F45" s="122">
        <v>0.49</v>
      </c>
      <c r="G45" s="123">
        <v>2.27</v>
      </c>
      <c r="H45" s="44" t="s">
        <v>145</v>
      </c>
      <c r="I45" s="93" t="s">
        <v>129</v>
      </c>
      <c r="J45" s="44" t="s">
        <v>182</v>
      </c>
      <c r="K45" s="44" t="s">
        <v>253</v>
      </c>
      <c r="L45" s="93" t="s">
        <v>254</v>
      </c>
      <c r="M45" s="124">
        <v>500</v>
      </c>
      <c r="N45" s="44" t="s">
        <v>133</v>
      </c>
      <c r="O45" s="92" t="s">
        <v>102</v>
      </c>
      <c r="P45" s="110">
        <v>100.37</v>
      </c>
      <c r="Q45" s="44" t="s">
        <v>134</v>
      </c>
      <c r="R45" s="92" t="s">
        <v>135</v>
      </c>
      <c r="S45" s="125">
        <v>6.6759134226093513E-4</v>
      </c>
      <c r="T45" s="44" t="s">
        <v>136</v>
      </c>
      <c r="U45" s="92" t="s">
        <v>137</v>
      </c>
      <c r="V45" s="44" t="s">
        <v>138</v>
      </c>
      <c r="W45" s="44" t="s">
        <v>139</v>
      </c>
      <c r="X45" s="92" t="s">
        <v>140</v>
      </c>
      <c r="Y45" s="96" t="s">
        <v>141</v>
      </c>
      <c r="Z45" s="44" t="s">
        <v>97</v>
      </c>
      <c r="AA45" s="91" t="s">
        <v>142</v>
      </c>
      <c r="AB45" s="12"/>
      <c r="AC45" s="12"/>
      <c r="AD45" s="12"/>
      <c r="AF45" s="12"/>
      <c r="AG45" s="12"/>
      <c r="AJ45" s="12"/>
      <c r="AL45" s="12"/>
      <c r="AM45" s="12"/>
      <c r="AO45" s="1"/>
      <c r="BA45" s="1"/>
      <c r="BB45" s="1"/>
      <c r="BC45" s="1"/>
      <c r="BE45" s="1"/>
      <c r="BF45" s="12"/>
      <c r="BG45" s="12"/>
      <c r="BH45" s="12"/>
      <c r="BI45" s="12"/>
      <c r="BJ45" s="12"/>
      <c r="BN45" s="12"/>
      <c r="BO45" s="12"/>
      <c r="BP45" s="12"/>
      <c r="BR45" s="1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J45" s="12"/>
      <c r="CL45" s="1"/>
      <c r="CN45" s="1"/>
    </row>
    <row r="46" spans="1:92" x14ac:dyDescent="0.2">
      <c r="A46" s="96" t="s">
        <v>255</v>
      </c>
      <c r="B46" s="44" t="s">
        <v>252</v>
      </c>
      <c r="C46" s="91">
        <v>221165047</v>
      </c>
      <c r="D46" s="139">
        <v>0.01</v>
      </c>
      <c r="E46" s="44" t="s">
        <v>99</v>
      </c>
      <c r="F46" s="122">
        <v>3.31</v>
      </c>
      <c r="G46" s="123">
        <v>1.99</v>
      </c>
      <c r="H46" s="44" t="s">
        <v>145</v>
      </c>
      <c r="I46" s="93" t="s">
        <v>129</v>
      </c>
      <c r="J46" s="44" t="s">
        <v>182</v>
      </c>
      <c r="K46" s="44" t="s">
        <v>253</v>
      </c>
      <c r="L46" s="93" t="s">
        <v>254</v>
      </c>
      <c r="M46" s="124">
        <v>8000</v>
      </c>
      <c r="N46" s="44" t="s">
        <v>133</v>
      </c>
      <c r="O46" s="92" t="s">
        <v>102</v>
      </c>
      <c r="P46" s="110">
        <v>103.38</v>
      </c>
      <c r="Q46" s="44" t="s">
        <v>134</v>
      </c>
      <c r="R46" s="92" t="s">
        <v>135</v>
      </c>
      <c r="S46" s="125">
        <v>1.1001783304732466E-2</v>
      </c>
      <c r="T46" s="44" t="s">
        <v>136</v>
      </c>
      <c r="U46" s="92" t="s">
        <v>137</v>
      </c>
      <c r="V46" s="44" t="s">
        <v>138</v>
      </c>
      <c r="W46" s="44" t="s">
        <v>139</v>
      </c>
      <c r="X46" s="92" t="s">
        <v>140</v>
      </c>
      <c r="Y46" s="96" t="s">
        <v>141</v>
      </c>
      <c r="Z46" s="44" t="s">
        <v>97</v>
      </c>
      <c r="AA46" s="91" t="s">
        <v>142</v>
      </c>
      <c r="AB46" s="12"/>
      <c r="AC46" s="12"/>
      <c r="AD46" s="12"/>
      <c r="AF46" s="12"/>
      <c r="AG46" s="12"/>
      <c r="AJ46" s="12"/>
      <c r="AL46" s="12"/>
      <c r="AM46" s="12"/>
      <c r="AO46" s="1"/>
      <c r="BA46" s="1"/>
      <c r="BB46" s="1"/>
      <c r="BC46" s="1"/>
      <c r="BE46" s="1"/>
      <c r="BF46" s="12"/>
      <c r="BG46" s="12"/>
      <c r="BH46" s="12"/>
      <c r="BI46" s="12"/>
      <c r="BJ46" s="12"/>
      <c r="BN46" s="12"/>
      <c r="BO46" s="12"/>
      <c r="BP46" s="12"/>
      <c r="BR46" s="1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J46" s="12"/>
      <c r="CL46" s="1"/>
      <c r="CN46" s="1"/>
    </row>
    <row r="47" spans="1:92" x14ac:dyDescent="0.2">
      <c r="A47" s="97" t="s">
        <v>256</v>
      </c>
      <c r="B47" s="41" t="s">
        <v>257</v>
      </c>
      <c r="C47" s="94">
        <v>1118897764</v>
      </c>
      <c r="D47" s="140">
        <v>0.06</v>
      </c>
      <c r="E47" s="41" t="s">
        <v>99</v>
      </c>
      <c r="F47" s="126">
        <v>2.4500000000000002</v>
      </c>
      <c r="G47" s="127">
        <v>2.2400000000000002</v>
      </c>
      <c r="H47" s="41" t="s">
        <v>209</v>
      </c>
      <c r="I47" s="95" t="s">
        <v>129</v>
      </c>
      <c r="J47" s="41" t="s">
        <v>258</v>
      </c>
      <c r="K47" s="41" t="s">
        <v>259</v>
      </c>
      <c r="L47" s="95" t="s">
        <v>260</v>
      </c>
      <c r="M47" s="128">
        <v>56000</v>
      </c>
      <c r="N47" s="41" t="s">
        <v>133</v>
      </c>
      <c r="O47" s="42" t="s">
        <v>102</v>
      </c>
      <c r="P47" s="52">
        <v>101.71</v>
      </c>
      <c r="Q47" s="41" t="s">
        <v>134</v>
      </c>
      <c r="R47" s="42" t="s">
        <v>135</v>
      </c>
      <c r="S47" s="129">
        <v>5.5659205225487951E-2</v>
      </c>
      <c r="T47" s="41" t="s">
        <v>136</v>
      </c>
      <c r="U47" s="42" t="s">
        <v>137</v>
      </c>
      <c r="V47" s="41" t="s">
        <v>138</v>
      </c>
      <c r="W47" s="41" t="s">
        <v>139</v>
      </c>
      <c r="X47" s="42" t="s">
        <v>140</v>
      </c>
      <c r="Y47" s="97" t="s">
        <v>141</v>
      </c>
      <c r="Z47" s="41" t="s">
        <v>97</v>
      </c>
      <c r="AA47" s="94" t="s">
        <v>142</v>
      </c>
      <c r="AB47" s="12"/>
      <c r="AC47" s="12"/>
      <c r="AD47" s="12"/>
      <c r="AF47" s="12"/>
      <c r="AG47" s="12"/>
      <c r="AJ47" s="12"/>
      <c r="AL47" s="12"/>
      <c r="AM47" s="12"/>
      <c r="AO47" s="1"/>
      <c r="BA47" s="1"/>
      <c r="BB47" s="1"/>
      <c r="BC47" s="1"/>
      <c r="BE47" s="1"/>
      <c r="BF47" s="12"/>
      <c r="BG47" s="12"/>
      <c r="BH47" s="12"/>
      <c r="BI47" s="12"/>
      <c r="BJ47" s="12"/>
      <c r="BN47" s="12"/>
      <c r="BO47" s="12"/>
      <c r="BP47" s="12"/>
      <c r="BR47" s="1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J47" s="12"/>
      <c r="CL47" s="1"/>
      <c r="CN47" s="1"/>
    </row>
    <row r="48" spans="1:92" x14ac:dyDescent="0.2">
      <c r="A48" s="97" t="s">
        <v>261</v>
      </c>
      <c r="B48" s="41" t="s">
        <v>262</v>
      </c>
      <c r="C48" s="94">
        <v>187520430</v>
      </c>
      <c r="D48" s="140">
        <v>0.01</v>
      </c>
      <c r="E48" s="41" t="s">
        <v>100</v>
      </c>
      <c r="F48" s="126">
        <v>2.0699999999999998</v>
      </c>
      <c r="G48" s="127">
        <v>4.5199999999999996</v>
      </c>
      <c r="H48" s="41" t="s">
        <v>145</v>
      </c>
      <c r="I48" s="95" t="s">
        <v>129</v>
      </c>
      <c r="J48" s="41" t="s">
        <v>263</v>
      </c>
      <c r="K48" s="41" t="s">
        <v>264</v>
      </c>
      <c r="L48" s="95" t="s">
        <v>265</v>
      </c>
      <c r="M48" s="128">
        <v>180000000</v>
      </c>
      <c r="N48" s="41" t="s">
        <v>133</v>
      </c>
      <c r="O48" s="42" t="s">
        <v>102</v>
      </c>
      <c r="P48" s="52">
        <v>102.47</v>
      </c>
      <c r="Q48" s="41" t="s">
        <v>134</v>
      </c>
      <c r="R48" s="42" t="s">
        <v>135</v>
      </c>
      <c r="S48" s="129">
        <v>9.3281427786835285E-3</v>
      </c>
      <c r="T48" s="41" t="s">
        <v>136</v>
      </c>
      <c r="U48" s="42" t="s">
        <v>177</v>
      </c>
      <c r="V48" s="41" t="s">
        <v>138</v>
      </c>
      <c r="W48" s="41" t="s">
        <v>178</v>
      </c>
      <c r="X48" s="42" t="s">
        <v>179</v>
      </c>
      <c r="Y48" s="97" t="s">
        <v>141</v>
      </c>
      <c r="Z48" s="41" t="s">
        <v>97</v>
      </c>
      <c r="AA48" s="94" t="s">
        <v>142</v>
      </c>
      <c r="AB48" s="12"/>
      <c r="AC48" s="12"/>
      <c r="AD48" s="12"/>
      <c r="AF48" s="12"/>
      <c r="AG48" s="12"/>
      <c r="AJ48" s="12"/>
      <c r="AL48" s="12"/>
      <c r="AM48" s="12"/>
      <c r="AO48" s="1"/>
      <c r="BA48" s="1"/>
      <c r="BB48" s="1"/>
      <c r="BC48" s="1"/>
      <c r="BE48" s="1"/>
      <c r="BF48" s="12"/>
      <c r="BG48" s="12"/>
      <c r="BH48" s="12"/>
      <c r="BI48" s="12"/>
      <c r="BJ48" s="12"/>
      <c r="BN48" s="12"/>
      <c r="BO48" s="12"/>
      <c r="BP48" s="12"/>
      <c r="BR48" s="1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J48" s="12"/>
      <c r="CL48" s="1"/>
      <c r="CN48" s="1"/>
    </row>
    <row r="49" spans="1:92" x14ac:dyDescent="0.2">
      <c r="A49" s="96" t="s">
        <v>266</v>
      </c>
      <c r="B49" s="44" t="s">
        <v>267</v>
      </c>
      <c r="C49" s="91">
        <v>17917845</v>
      </c>
      <c r="D49" s="139">
        <v>0</v>
      </c>
      <c r="E49" s="44" t="s">
        <v>99</v>
      </c>
      <c r="F49" s="122">
        <v>1.08</v>
      </c>
      <c r="G49" s="123">
        <v>2.11</v>
      </c>
      <c r="H49" s="44" t="s">
        <v>156</v>
      </c>
      <c r="I49" s="93" t="s">
        <v>129</v>
      </c>
      <c r="J49" s="44" t="s">
        <v>221</v>
      </c>
      <c r="K49" s="44" t="s">
        <v>268</v>
      </c>
      <c r="L49" s="93" t="s">
        <v>269</v>
      </c>
      <c r="M49" s="124">
        <v>1000</v>
      </c>
      <c r="N49" s="44" t="s">
        <v>133</v>
      </c>
      <c r="O49" s="92" t="s">
        <v>102</v>
      </c>
      <c r="P49" s="110">
        <v>101.47</v>
      </c>
      <c r="Q49" s="44" t="s">
        <v>134</v>
      </c>
      <c r="R49" s="92" t="s">
        <v>135</v>
      </c>
      <c r="S49" s="125">
        <v>8.9131736977310035E-4</v>
      </c>
      <c r="T49" s="44" t="s">
        <v>136</v>
      </c>
      <c r="U49" s="92" t="s">
        <v>137</v>
      </c>
      <c r="V49" s="44" t="s">
        <v>138</v>
      </c>
      <c r="W49" s="44" t="s">
        <v>139</v>
      </c>
      <c r="X49" s="92" t="s">
        <v>140</v>
      </c>
      <c r="Y49" s="96" t="s">
        <v>141</v>
      </c>
      <c r="Z49" s="44" t="s">
        <v>97</v>
      </c>
      <c r="AA49" s="91" t="s">
        <v>142</v>
      </c>
      <c r="AB49" s="12"/>
      <c r="AC49" s="12"/>
      <c r="AD49" s="12"/>
      <c r="AF49" s="12"/>
      <c r="AG49" s="12"/>
      <c r="AJ49" s="12"/>
      <c r="AL49" s="12"/>
      <c r="AM49" s="12"/>
      <c r="AO49" s="1"/>
      <c r="BA49" s="1"/>
      <c r="BB49" s="1"/>
      <c r="BC49" s="1"/>
      <c r="BE49" s="1"/>
      <c r="BF49" s="12"/>
      <c r="BG49" s="12"/>
      <c r="BH49" s="12"/>
      <c r="BI49" s="12"/>
      <c r="BJ49" s="12"/>
      <c r="BN49" s="12"/>
      <c r="BO49" s="12"/>
      <c r="BP49" s="12"/>
      <c r="BR49" s="1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J49" s="12"/>
      <c r="CL49" s="1"/>
      <c r="CN49" s="1"/>
    </row>
    <row r="50" spans="1:92" x14ac:dyDescent="0.2">
      <c r="A50" s="96" t="s">
        <v>270</v>
      </c>
      <c r="B50" s="44" t="s">
        <v>271</v>
      </c>
      <c r="C50" s="91">
        <v>42197842</v>
      </c>
      <c r="D50" s="139">
        <v>0</v>
      </c>
      <c r="E50" s="44" t="s">
        <v>99</v>
      </c>
      <c r="F50" s="122">
        <v>4.25</v>
      </c>
      <c r="G50" s="123">
        <v>1.99</v>
      </c>
      <c r="H50" s="44" t="s">
        <v>156</v>
      </c>
      <c r="I50" s="93" t="s">
        <v>129</v>
      </c>
      <c r="J50" s="44" t="s">
        <v>157</v>
      </c>
      <c r="K50" s="44" t="s">
        <v>272</v>
      </c>
      <c r="L50" s="93" t="s">
        <v>273</v>
      </c>
      <c r="M50" s="124">
        <v>1500</v>
      </c>
      <c r="N50" s="44" t="s">
        <v>133</v>
      </c>
      <c r="O50" s="92" t="s">
        <v>102</v>
      </c>
      <c r="P50" s="110">
        <v>105.35</v>
      </c>
      <c r="Q50" s="44" t="s">
        <v>134</v>
      </c>
      <c r="R50" s="92" t="s">
        <v>135</v>
      </c>
      <c r="S50" s="125">
        <v>2.0991179207957688E-3</v>
      </c>
      <c r="T50" s="44" t="s">
        <v>136</v>
      </c>
      <c r="U50" s="92" t="s">
        <v>137</v>
      </c>
      <c r="V50" s="44" t="s">
        <v>138</v>
      </c>
      <c r="W50" s="44" t="s">
        <v>139</v>
      </c>
      <c r="X50" s="92" t="s">
        <v>140</v>
      </c>
      <c r="Y50" s="96" t="s">
        <v>141</v>
      </c>
      <c r="Z50" s="44" t="s">
        <v>97</v>
      </c>
      <c r="AA50" s="91" t="s">
        <v>142</v>
      </c>
      <c r="AB50" s="12"/>
      <c r="AC50" s="12"/>
      <c r="AD50" s="12"/>
      <c r="AF50" s="12"/>
      <c r="AG50" s="12"/>
      <c r="AJ50" s="12"/>
      <c r="AL50" s="12"/>
      <c r="AM50" s="12"/>
      <c r="AO50" s="1"/>
      <c r="BA50" s="1"/>
      <c r="BB50" s="1"/>
      <c r="BC50" s="1"/>
      <c r="BE50" s="1"/>
      <c r="BF50" s="12"/>
      <c r="BG50" s="12"/>
      <c r="BH50" s="12"/>
      <c r="BI50" s="12"/>
      <c r="BJ50" s="12"/>
      <c r="BN50" s="12"/>
      <c r="BO50" s="12"/>
      <c r="BP50" s="12"/>
      <c r="BR50" s="1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J50" s="12"/>
      <c r="CL50" s="1"/>
      <c r="CN50" s="1"/>
    </row>
    <row r="51" spans="1:92" x14ac:dyDescent="0.2">
      <c r="A51" s="97" t="s">
        <v>274</v>
      </c>
      <c r="B51" s="41" t="s">
        <v>275</v>
      </c>
      <c r="C51" s="94">
        <v>13742197</v>
      </c>
      <c r="D51" s="140">
        <v>0</v>
      </c>
      <c r="E51" s="41" t="s">
        <v>99</v>
      </c>
      <c r="F51" s="126">
        <v>7.69</v>
      </c>
      <c r="G51" s="127">
        <v>2.46</v>
      </c>
      <c r="H51" s="41" t="s">
        <v>156</v>
      </c>
      <c r="I51" s="95" t="s">
        <v>129</v>
      </c>
      <c r="J51" s="41" t="s">
        <v>276</v>
      </c>
      <c r="K51" s="41" t="s">
        <v>277</v>
      </c>
      <c r="L51" s="95" t="s">
        <v>275</v>
      </c>
      <c r="M51" s="128">
        <v>500</v>
      </c>
      <c r="N51" s="41" t="s">
        <v>133</v>
      </c>
      <c r="O51" s="42" t="s">
        <v>102</v>
      </c>
      <c r="P51" s="52">
        <v>103.33</v>
      </c>
      <c r="Q51" s="41" t="s">
        <v>134</v>
      </c>
      <c r="R51" s="42" t="s">
        <v>135</v>
      </c>
      <c r="S51" s="129">
        <v>6.8360111860236484E-4</v>
      </c>
      <c r="T51" s="41" t="s">
        <v>160</v>
      </c>
      <c r="U51" s="42" t="s">
        <v>161</v>
      </c>
      <c r="V51" s="41" t="s">
        <v>162</v>
      </c>
      <c r="W51" s="41" t="s">
        <v>163</v>
      </c>
      <c r="X51" s="42" t="s">
        <v>140</v>
      </c>
      <c r="Y51" s="97" t="s">
        <v>164</v>
      </c>
      <c r="Z51" s="41" t="s">
        <v>97</v>
      </c>
      <c r="AA51" s="94" t="s">
        <v>165</v>
      </c>
      <c r="AB51" s="12"/>
      <c r="AC51" s="12"/>
      <c r="AD51" s="12"/>
      <c r="AF51" s="12"/>
      <c r="AG51" s="12"/>
      <c r="AJ51" s="12"/>
      <c r="AL51" s="12"/>
      <c r="AM51" s="12"/>
      <c r="AO51" s="1"/>
      <c r="BA51" s="1"/>
      <c r="BB51" s="1"/>
      <c r="BC51" s="1"/>
      <c r="BE51" s="1"/>
      <c r="BF51" s="12"/>
      <c r="BG51" s="12"/>
      <c r="BH51" s="12"/>
      <c r="BI51" s="12"/>
      <c r="BJ51" s="12"/>
      <c r="BN51" s="12"/>
      <c r="BO51" s="12"/>
      <c r="BP51" s="12"/>
      <c r="BR51" s="1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J51" s="12"/>
      <c r="CL51" s="1"/>
      <c r="CN51" s="1"/>
    </row>
    <row r="52" spans="1:92" x14ac:dyDescent="0.2">
      <c r="A52" s="87" t="s">
        <v>278</v>
      </c>
      <c r="B52" s="87" t="s">
        <v>279</v>
      </c>
      <c r="C52" s="88">
        <v>1016466093</v>
      </c>
      <c r="D52" s="138">
        <v>0.05</v>
      </c>
      <c r="E52" s="87" t="s">
        <v>99</v>
      </c>
      <c r="F52" s="118">
        <v>1.93</v>
      </c>
      <c r="G52" s="119">
        <v>1.96</v>
      </c>
      <c r="H52" s="87" t="s">
        <v>128</v>
      </c>
      <c r="I52" s="90" t="s">
        <v>129</v>
      </c>
      <c r="J52" s="87" t="s">
        <v>276</v>
      </c>
      <c r="K52" s="87" t="s">
        <v>280</v>
      </c>
      <c r="L52" s="90" t="s">
        <v>279</v>
      </c>
      <c r="M52" s="120">
        <v>36000</v>
      </c>
      <c r="N52" s="87" t="s">
        <v>133</v>
      </c>
      <c r="O52" s="89" t="s">
        <v>102</v>
      </c>
      <c r="P52" s="130">
        <v>104.94</v>
      </c>
      <c r="Q52" s="87" t="s">
        <v>134</v>
      </c>
      <c r="R52" s="89" t="s">
        <v>135</v>
      </c>
      <c r="S52" s="121">
        <v>5.0563775078772001E-2</v>
      </c>
      <c r="T52" s="87" t="s">
        <v>136</v>
      </c>
      <c r="U52" s="89" t="s">
        <v>137</v>
      </c>
      <c r="V52" s="87" t="s">
        <v>138</v>
      </c>
      <c r="W52" s="87" t="s">
        <v>139</v>
      </c>
      <c r="X52" s="89" t="s">
        <v>140</v>
      </c>
      <c r="Y52" s="87" t="s">
        <v>141</v>
      </c>
      <c r="Z52" s="87" t="s">
        <v>97</v>
      </c>
      <c r="AA52" s="88" t="s">
        <v>142</v>
      </c>
      <c r="AB52" s="12"/>
      <c r="AC52" s="12"/>
      <c r="AD52" s="12"/>
      <c r="AF52" s="12"/>
      <c r="AG52" s="12"/>
      <c r="AJ52" s="12"/>
      <c r="AL52" s="12"/>
      <c r="AM52" s="12"/>
      <c r="AO52" s="1"/>
      <c r="BA52" s="1"/>
      <c r="BB52" s="1"/>
      <c r="BC52" s="1"/>
      <c r="BE52" s="1"/>
      <c r="BF52" s="12"/>
      <c r="BG52" s="12"/>
      <c r="BH52" s="12"/>
      <c r="BI52" s="12"/>
      <c r="BJ52" s="12"/>
      <c r="BN52" s="12"/>
      <c r="BO52" s="12"/>
      <c r="BP52" s="12"/>
      <c r="BR52" s="1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J52" s="12"/>
      <c r="CL52" s="1"/>
      <c r="CN52" s="1"/>
    </row>
    <row r="53" spans="1:92" x14ac:dyDescent="0.2">
      <c r="A53" s="44" t="s">
        <v>281</v>
      </c>
      <c r="B53" s="44" t="s">
        <v>279</v>
      </c>
      <c r="C53" s="91">
        <v>160574218</v>
      </c>
      <c r="D53" s="139">
        <v>0.01</v>
      </c>
      <c r="E53" s="44" t="s">
        <v>99</v>
      </c>
      <c r="F53" s="122">
        <v>0.74</v>
      </c>
      <c r="G53" s="123">
        <v>2.39</v>
      </c>
      <c r="H53" s="44" t="s">
        <v>128</v>
      </c>
      <c r="I53" s="93" t="s">
        <v>129</v>
      </c>
      <c r="J53" s="44" t="s">
        <v>276</v>
      </c>
      <c r="K53" s="44" t="s">
        <v>280</v>
      </c>
      <c r="L53" s="93" t="s">
        <v>279</v>
      </c>
      <c r="M53" s="124">
        <v>6000</v>
      </c>
      <c r="N53" s="44" t="s">
        <v>133</v>
      </c>
      <c r="O53" s="92" t="s">
        <v>102</v>
      </c>
      <c r="P53" s="110">
        <v>100.73</v>
      </c>
      <c r="Q53" s="44" t="s">
        <v>134</v>
      </c>
      <c r="R53" s="92" t="s">
        <v>135</v>
      </c>
      <c r="S53" s="125">
        <v>7.9877122299658477E-3</v>
      </c>
      <c r="T53" s="44" t="s">
        <v>136</v>
      </c>
      <c r="U53" s="92" t="s">
        <v>137</v>
      </c>
      <c r="V53" s="44" t="s">
        <v>138</v>
      </c>
      <c r="W53" s="44" t="s">
        <v>139</v>
      </c>
      <c r="X53" s="92" t="s">
        <v>140</v>
      </c>
      <c r="Y53" s="44" t="s">
        <v>141</v>
      </c>
      <c r="Z53" s="44" t="s">
        <v>97</v>
      </c>
      <c r="AA53" s="91" t="s">
        <v>142</v>
      </c>
      <c r="AB53" s="12"/>
      <c r="AC53" s="12"/>
      <c r="AD53" s="12"/>
      <c r="AF53" s="12"/>
      <c r="AG53" s="12"/>
      <c r="AJ53" s="12"/>
      <c r="AL53" s="12"/>
      <c r="AM53" s="12"/>
      <c r="AO53" s="1"/>
      <c r="BA53" s="1"/>
      <c r="BB53" s="1"/>
      <c r="BC53" s="1"/>
      <c r="BE53" s="1"/>
      <c r="BF53" s="12"/>
      <c r="BG53" s="12"/>
      <c r="BH53" s="12"/>
      <c r="BI53" s="12"/>
      <c r="BJ53" s="12"/>
      <c r="BN53" s="12"/>
      <c r="BO53" s="12"/>
      <c r="BP53" s="12"/>
      <c r="BR53" s="1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J53" s="12"/>
      <c r="CL53" s="1"/>
      <c r="CN53" s="1"/>
    </row>
    <row r="54" spans="1:92" x14ac:dyDescent="0.2">
      <c r="A54" s="41" t="s">
        <v>282</v>
      </c>
      <c r="B54" s="41" t="s">
        <v>283</v>
      </c>
      <c r="C54" s="94">
        <v>30897795</v>
      </c>
      <c r="D54" s="140">
        <v>0</v>
      </c>
      <c r="E54" s="41" t="s">
        <v>99</v>
      </c>
      <c r="F54" s="126">
        <v>6.66</v>
      </c>
      <c r="G54" s="127">
        <v>2.25</v>
      </c>
      <c r="H54" s="41" t="s">
        <v>145</v>
      </c>
      <c r="I54" s="95" t="s">
        <v>129</v>
      </c>
      <c r="J54" s="41" t="s">
        <v>276</v>
      </c>
      <c r="K54" s="41" t="s">
        <v>284</v>
      </c>
      <c r="L54" s="95" t="s">
        <v>285</v>
      </c>
      <c r="M54" s="128">
        <v>1000</v>
      </c>
      <c r="N54" s="41" t="s">
        <v>133</v>
      </c>
      <c r="O54" s="42" t="s">
        <v>102</v>
      </c>
      <c r="P54" s="52">
        <v>117.03</v>
      </c>
      <c r="Q54" s="41" t="s">
        <v>134</v>
      </c>
      <c r="R54" s="42" t="s">
        <v>135</v>
      </c>
      <c r="S54" s="129">
        <v>1.5370007593652278E-3</v>
      </c>
      <c r="T54" s="41" t="s">
        <v>160</v>
      </c>
      <c r="U54" s="42" t="s">
        <v>161</v>
      </c>
      <c r="V54" s="41" t="s">
        <v>162</v>
      </c>
      <c r="W54" s="41" t="s">
        <v>163</v>
      </c>
      <c r="X54" s="42" t="s">
        <v>140</v>
      </c>
      <c r="Y54" s="41" t="s">
        <v>164</v>
      </c>
      <c r="Z54" s="41" t="s">
        <v>97</v>
      </c>
      <c r="AA54" s="94" t="s">
        <v>165</v>
      </c>
      <c r="AB54" s="12"/>
      <c r="AC54" s="12"/>
      <c r="AD54" s="12"/>
      <c r="AF54" s="12"/>
      <c r="AG54" s="12"/>
      <c r="AJ54" s="12"/>
      <c r="AL54" s="12"/>
      <c r="AM54" s="12"/>
      <c r="AO54" s="1"/>
      <c r="BA54" s="1"/>
      <c r="BB54" s="1"/>
      <c r="BC54" s="1"/>
      <c r="BE54" s="1"/>
      <c r="BF54" s="12"/>
      <c r="BG54" s="12"/>
      <c r="BH54" s="12"/>
      <c r="BI54" s="12"/>
      <c r="BJ54" s="12"/>
      <c r="BN54" s="12"/>
      <c r="BO54" s="12"/>
      <c r="BP54" s="12"/>
      <c r="BR54" s="1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J54" s="12"/>
      <c r="CL54" s="1"/>
      <c r="CN54" s="1"/>
    </row>
    <row r="55" spans="1:92" x14ac:dyDescent="0.2">
      <c r="A55" s="44" t="s">
        <v>286</v>
      </c>
      <c r="B55" s="44" t="s">
        <v>287</v>
      </c>
      <c r="C55" s="91">
        <v>500688251</v>
      </c>
      <c r="D55" s="139">
        <v>0.02</v>
      </c>
      <c r="E55" s="44" t="s">
        <v>99</v>
      </c>
      <c r="F55" s="122">
        <v>3.41</v>
      </c>
      <c r="G55" s="123">
        <v>2.3199999999999998</v>
      </c>
      <c r="H55" s="44" t="s">
        <v>145</v>
      </c>
      <c r="I55" s="93" t="s">
        <v>129</v>
      </c>
      <c r="J55" s="44" t="s">
        <v>130</v>
      </c>
      <c r="K55" s="44" t="s">
        <v>288</v>
      </c>
      <c r="L55" s="93" t="s">
        <v>289</v>
      </c>
      <c r="M55" s="124">
        <v>26000</v>
      </c>
      <c r="N55" s="44" t="s">
        <v>133</v>
      </c>
      <c r="O55" s="92" t="s">
        <v>102</v>
      </c>
      <c r="P55" s="110">
        <v>103.96</v>
      </c>
      <c r="Q55" s="44" t="s">
        <v>134</v>
      </c>
      <c r="R55" s="92" t="s">
        <v>135</v>
      </c>
      <c r="S55" s="125">
        <v>2.4906574142013947E-2</v>
      </c>
      <c r="T55" s="44" t="s">
        <v>136</v>
      </c>
      <c r="U55" s="92" t="s">
        <v>137</v>
      </c>
      <c r="V55" s="44" t="s">
        <v>138</v>
      </c>
      <c r="W55" s="44" t="s">
        <v>139</v>
      </c>
      <c r="X55" s="92" t="s">
        <v>140</v>
      </c>
      <c r="Y55" s="44" t="s">
        <v>141</v>
      </c>
      <c r="Z55" s="44" t="s">
        <v>97</v>
      </c>
      <c r="AA55" s="91" t="s">
        <v>142</v>
      </c>
      <c r="AB55" s="12"/>
      <c r="AC55" s="12"/>
      <c r="AD55" s="12"/>
      <c r="AF55" s="12"/>
      <c r="AG55" s="12"/>
      <c r="AJ55" s="12"/>
      <c r="AL55" s="12"/>
      <c r="AM55" s="12"/>
      <c r="AO55" s="1"/>
      <c r="BA55" s="1"/>
      <c r="BB55" s="1"/>
      <c r="BC55" s="1"/>
      <c r="BE55" s="1"/>
      <c r="BF55" s="12"/>
      <c r="BG55" s="12"/>
      <c r="BH55" s="12"/>
      <c r="BI55" s="12"/>
      <c r="BJ55" s="12"/>
      <c r="BN55" s="12"/>
      <c r="BO55" s="12"/>
      <c r="BP55" s="12"/>
      <c r="BR55" s="1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J55" s="12"/>
      <c r="CL55" s="1"/>
      <c r="CN55" s="1"/>
    </row>
    <row r="56" spans="1:92" x14ac:dyDescent="0.2">
      <c r="A56" s="87" t="s">
        <v>290</v>
      </c>
      <c r="B56" s="87" t="s">
        <v>291</v>
      </c>
      <c r="C56" s="88">
        <v>108250656</v>
      </c>
      <c r="D56" s="138">
        <v>0.01</v>
      </c>
      <c r="E56" s="87" t="s">
        <v>99</v>
      </c>
      <c r="F56" s="118">
        <v>0.56999999999999995</v>
      </c>
      <c r="G56" s="119">
        <v>2.13</v>
      </c>
      <c r="H56" s="87" t="s">
        <v>209</v>
      </c>
      <c r="I56" s="90" t="s">
        <v>129</v>
      </c>
      <c r="J56" s="87" t="s">
        <v>182</v>
      </c>
      <c r="K56" s="87" t="s">
        <v>292</v>
      </c>
      <c r="L56" s="90" t="s">
        <v>293</v>
      </c>
      <c r="M56" s="120">
        <v>4000</v>
      </c>
      <c r="N56" s="87" t="s">
        <v>133</v>
      </c>
      <c r="O56" s="89" t="s">
        <v>102</v>
      </c>
      <c r="P56" s="180">
        <v>101.05</v>
      </c>
      <c r="Q56" s="87" t="s">
        <v>134</v>
      </c>
      <c r="R56" s="89" t="s">
        <v>135</v>
      </c>
      <c r="S56" s="121">
        <v>5.3848936622753838E-3</v>
      </c>
      <c r="T56" s="87" t="s">
        <v>136</v>
      </c>
      <c r="U56" s="89" t="s">
        <v>137</v>
      </c>
      <c r="V56" s="87" t="s">
        <v>138</v>
      </c>
      <c r="W56" s="87" t="s">
        <v>139</v>
      </c>
      <c r="X56" s="89" t="s">
        <v>140</v>
      </c>
      <c r="Y56" s="87" t="s">
        <v>141</v>
      </c>
      <c r="Z56" s="87" t="s">
        <v>97</v>
      </c>
      <c r="AA56" s="88" t="s">
        <v>142</v>
      </c>
      <c r="AB56" s="12"/>
      <c r="AC56" s="12"/>
      <c r="AD56" s="12"/>
      <c r="AF56" s="12"/>
      <c r="AG56" s="12"/>
      <c r="AJ56" s="12"/>
      <c r="AL56" s="12"/>
      <c r="AM56" s="12"/>
      <c r="AO56" s="1"/>
      <c r="BA56" s="1"/>
      <c r="BB56" s="1"/>
      <c r="BC56" s="1"/>
      <c r="BE56" s="1"/>
      <c r="BF56" s="12"/>
      <c r="BG56" s="12"/>
      <c r="BH56" s="12"/>
      <c r="BI56" s="12"/>
      <c r="BJ56" s="12"/>
      <c r="BN56" s="12"/>
      <c r="BO56" s="12"/>
      <c r="BP56" s="12"/>
      <c r="BR56" s="1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J56" s="12"/>
      <c r="CL56" s="1"/>
      <c r="CN56" s="1"/>
    </row>
    <row r="57" spans="1:92" x14ac:dyDescent="0.2">
      <c r="A57" s="44" t="s">
        <v>294</v>
      </c>
      <c r="B57" s="44" t="s">
        <v>291</v>
      </c>
      <c r="C57" s="91">
        <v>82847274</v>
      </c>
      <c r="D57" s="139">
        <v>0</v>
      </c>
      <c r="E57" s="44" t="s">
        <v>99</v>
      </c>
      <c r="F57" s="122">
        <v>1.92</v>
      </c>
      <c r="G57" s="123">
        <v>1.9</v>
      </c>
      <c r="H57" s="44" t="s">
        <v>209</v>
      </c>
      <c r="I57" s="93" t="s">
        <v>129</v>
      </c>
      <c r="J57" s="44" t="s">
        <v>182</v>
      </c>
      <c r="K57" s="44" t="s">
        <v>292</v>
      </c>
      <c r="L57" s="93" t="s">
        <v>293</v>
      </c>
      <c r="M57" s="124">
        <v>3000</v>
      </c>
      <c r="N57" s="44" t="s">
        <v>133</v>
      </c>
      <c r="O57" s="92" t="s">
        <v>102</v>
      </c>
      <c r="P57" s="110">
        <v>103.03</v>
      </c>
      <c r="Q57" s="44" t="s">
        <v>134</v>
      </c>
      <c r="R57" s="92" t="s">
        <v>135</v>
      </c>
      <c r="S57" s="125">
        <v>4.1212106899323753E-3</v>
      </c>
      <c r="T57" s="44" t="s">
        <v>136</v>
      </c>
      <c r="U57" s="92" t="s">
        <v>137</v>
      </c>
      <c r="V57" s="44" t="s">
        <v>138</v>
      </c>
      <c r="W57" s="44" t="s">
        <v>139</v>
      </c>
      <c r="X57" s="92" t="s">
        <v>140</v>
      </c>
      <c r="Y57" s="44" t="s">
        <v>141</v>
      </c>
      <c r="Z57" s="44" t="s">
        <v>97</v>
      </c>
      <c r="AA57" s="91" t="s">
        <v>142</v>
      </c>
      <c r="AB57" s="12"/>
      <c r="AC57" s="12"/>
      <c r="AD57" s="12"/>
      <c r="AF57" s="12"/>
      <c r="AG57" s="12"/>
      <c r="AJ57" s="12"/>
      <c r="AL57" s="12"/>
      <c r="AM57" s="12"/>
      <c r="AO57" s="1"/>
      <c r="BA57" s="1"/>
      <c r="BB57" s="1"/>
      <c r="BC57" s="1"/>
      <c r="BE57" s="1"/>
      <c r="BF57" s="12"/>
      <c r="BG57" s="12"/>
      <c r="BH57" s="12"/>
      <c r="BI57" s="12"/>
      <c r="BJ57" s="12"/>
      <c r="BN57" s="12"/>
      <c r="BO57" s="12"/>
      <c r="BP57" s="12"/>
      <c r="BR57" s="1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J57" s="12"/>
      <c r="CL57" s="1"/>
      <c r="CN57" s="1"/>
    </row>
    <row r="58" spans="1:92" x14ac:dyDescent="0.2">
      <c r="A58" s="41" t="s">
        <v>295</v>
      </c>
      <c r="B58" s="41" t="s">
        <v>291</v>
      </c>
      <c r="C58" s="94">
        <v>107213401</v>
      </c>
      <c r="D58" s="140">
        <v>0.01</v>
      </c>
      <c r="E58" s="41" t="s">
        <v>99</v>
      </c>
      <c r="F58" s="126">
        <v>0</v>
      </c>
      <c r="G58" s="127">
        <v>3.5</v>
      </c>
      <c r="H58" s="41" t="s">
        <v>209</v>
      </c>
      <c r="I58" s="95" t="s">
        <v>129</v>
      </c>
      <c r="J58" s="41" t="s">
        <v>182</v>
      </c>
      <c r="K58" s="41" t="s">
        <v>292</v>
      </c>
      <c r="L58" s="95" t="s">
        <v>293</v>
      </c>
      <c r="M58" s="128">
        <v>4000</v>
      </c>
      <c r="N58" s="41" t="s">
        <v>133</v>
      </c>
      <c r="O58" s="42" t="s">
        <v>102</v>
      </c>
      <c r="P58" s="52">
        <v>100</v>
      </c>
      <c r="Q58" s="41" t="s">
        <v>134</v>
      </c>
      <c r="R58" s="42" t="s">
        <v>135</v>
      </c>
      <c r="S58" s="129">
        <v>5.3332957497817784E-3</v>
      </c>
      <c r="T58" s="41" t="s">
        <v>136</v>
      </c>
      <c r="U58" s="42" t="s">
        <v>137</v>
      </c>
      <c r="V58" s="41" t="s">
        <v>138</v>
      </c>
      <c r="W58" s="41" t="s">
        <v>139</v>
      </c>
      <c r="X58" s="42" t="s">
        <v>140</v>
      </c>
      <c r="Y58" s="41" t="s">
        <v>141</v>
      </c>
      <c r="Z58" s="41" t="s">
        <v>97</v>
      </c>
      <c r="AA58" s="94" t="s">
        <v>142</v>
      </c>
      <c r="AB58" s="12"/>
      <c r="AC58" s="12"/>
      <c r="AD58" s="12"/>
      <c r="AF58" s="12"/>
      <c r="AG58" s="12"/>
      <c r="AJ58" s="12"/>
      <c r="AL58" s="12"/>
      <c r="AM58" s="12"/>
      <c r="AO58" s="1"/>
      <c r="BA58" s="1"/>
      <c r="BB58" s="1"/>
      <c r="BC58" s="1"/>
      <c r="BE58" s="1"/>
      <c r="BF58" s="12"/>
      <c r="BG58" s="12"/>
      <c r="BH58" s="12"/>
      <c r="BI58" s="12"/>
      <c r="BJ58" s="12"/>
      <c r="BN58" s="12"/>
      <c r="BO58" s="12"/>
      <c r="BP58" s="12"/>
      <c r="BR58" s="1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J58" s="12"/>
      <c r="CL58" s="1"/>
      <c r="CN58" s="1"/>
    </row>
    <row r="59" spans="1:92" x14ac:dyDescent="0.2">
      <c r="A59" s="44" t="s">
        <v>296</v>
      </c>
      <c r="B59" s="44" t="s">
        <v>291</v>
      </c>
      <c r="C59" s="91">
        <v>1002997132</v>
      </c>
      <c r="D59" s="139">
        <v>0.05</v>
      </c>
      <c r="E59" s="44" t="s">
        <v>99</v>
      </c>
      <c r="F59" s="122">
        <v>1.92</v>
      </c>
      <c r="G59" s="123">
        <v>1.92</v>
      </c>
      <c r="H59" s="44" t="s">
        <v>209</v>
      </c>
      <c r="I59" s="93" t="s">
        <v>129</v>
      </c>
      <c r="J59" s="44" t="s">
        <v>182</v>
      </c>
      <c r="K59" s="44" t="s">
        <v>292</v>
      </c>
      <c r="L59" s="93" t="s">
        <v>293</v>
      </c>
      <c r="M59" s="124">
        <v>36500</v>
      </c>
      <c r="N59" s="44" t="s">
        <v>133</v>
      </c>
      <c r="O59" s="92" t="s">
        <v>102</v>
      </c>
      <c r="P59" s="110">
        <v>102.62</v>
      </c>
      <c r="Q59" s="44" t="s">
        <v>134</v>
      </c>
      <c r="R59" s="92" t="s">
        <v>135</v>
      </c>
      <c r="S59" s="125">
        <v>4.9893765996089544E-2</v>
      </c>
      <c r="T59" s="44" t="s">
        <v>136</v>
      </c>
      <c r="U59" s="92" t="s">
        <v>137</v>
      </c>
      <c r="V59" s="44" t="s">
        <v>138</v>
      </c>
      <c r="W59" s="44" t="s">
        <v>139</v>
      </c>
      <c r="X59" s="92" t="s">
        <v>140</v>
      </c>
      <c r="Y59" s="44" t="s">
        <v>141</v>
      </c>
      <c r="Z59" s="44" t="s">
        <v>97</v>
      </c>
      <c r="AA59" s="91" t="s">
        <v>142</v>
      </c>
      <c r="AB59" s="12"/>
      <c r="AC59" s="12"/>
      <c r="AD59" s="12"/>
      <c r="AF59" s="12"/>
      <c r="AG59" s="12"/>
      <c r="AJ59" s="12"/>
      <c r="AL59" s="12"/>
      <c r="AM59" s="12"/>
      <c r="AO59" s="1"/>
      <c r="BA59" s="1"/>
      <c r="BB59" s="1"/>
      <c r="BC59" s="1"/>
      <c r="BE59" s="1"/>
      <c r="BF59" s="12"/>
      <c r="BG59" s="12"/>
      <c r="BH59" s="12"/>
      <c r="BI59" s="12"/>
      <c r="BJ59" s="12"/>
      <c r="BN59" s="12"/>
      <c r="BO59" s="12"/>
      <c r="BP59" s="12"/>
      <c r="BR59" s="1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J59" s="12"/>
      <c r="CL59" s="1"/>
      <c r="CN59" s="1"/>
    </row>
    <row r="60" spans="1:92" x14ac:dyDescent="0.2">
      <c r="A60" s="41" t="s">
        <v>297</v>
      </c>
      <c r="B60" s="41" t="s">
        <v>291</v>
      </c>
      <c r="C60" s="94">
        <v>14266600</v>
      </c>
      <c r="D60" s="140">
        <v>0</v>
      </c>
      <c r="E60" s="41" t="s">
        <v>99</v>
      </c>
      <c r="F60" s="126">
        <v>6.8</v>
      </c>
      <c r="G60" s="127">
        <v>1.98</v>
      </c>
      <c r="H60" s="41" t="s">
        <v>209</v>
      </c>
      <c r="I60" s="95" t="s">
        <v>129</v>
      </c>
      <c r="J60" s="41" t="s">
        <v>182</v>
      </c>
      <c r="K60" s="41" t="s">
        <v>292</v>
      </c>
      <c r="L60" s="95" t="s">
        <v>293</v>
      </c>
      <c r="M60" s="128">
        <v>500</v>
      </c>
      <c r="N60" s="41" t="s">
        <v>133</v>
      </c>
      <c r="O60" s="42" t="s">
        <v>102</v>
      </c>
      <c r="P60" s="52">
        <v>106.97</v>
      </c>
      <c r="Q60" s="41" t="s">
        <v>134</v>
      </c>
      <c r="R60" s="42" t="s">
        <v>135</v>
      </c>
      <c r="S60" s="129">
        <v>7.0968737521755058E-4</v>
      </c>
      <c r="T60" s="41" t="s">
        <v>160</v>
      </c>
      <c r="U60" s="42" t="s">
        <v>161</v>
      </c>
      <c r="V60" s="41" t="s">
        <v>162</v>
      </c>
      <c r="W60" s="41" t="s">
        <v>163</v>
      </c>
      <c r="X60" s="42" t="s">
        <v>140</v>
      </c>
      <c r="Y60" s="41" t="s">
        <v>164</v>
      </c>
      <c r="Z60" s="41" t="s">
        <v>97</v>
      </c>
      <c r="AA60" s="94" t="s">
        <v>165</v>
      </c>
    </row>
    <row r="61" spans="1:92" x14ac:dyDescent="0.2">
      <c r="A61" s="44" t="s">
        <v>298</v>
      </c>
      <c r="B61" s="44" t="s">
        <v>291</v>
      </c>
      <c r="C61" s="91">
        <v>14117780</v>
      </c>
      <c r="D61" s="139">
        <v>0</v>
      </c>
      <c r="E61" s="44" t="s">
        <v>99</v>
      </c>
      <c r="F61" s="122">
        <v>7.28</v>
      </c>
      <c r="G61" s="123">
        <v>2.16</v>
      </c>
      <c r="H61" s="44" t="s">
        <v>209</v>
      </c>
      <c r="I61" s="93" t="s">
        <v>129</v>
      </c>
      <c r="J61" s="44" t="s">
        <v>182</v>
      </c>
      <c r="K61" s="44" t="s">
        <v>292</v>
      </c>
      <c r="L61" s="93" t="s">
        <v>293</v>
      </c>
      <c r="M61" s="124">
        <v>500</v>
      </c>
      <c r="N61" s="44" t="s">
        <v>133</v>
      </c>
      <c r="O61" s="92" t="s">
        <v>102</v>
      </c>
      <c r="P61" s="110">
        <v>106.12</v>
      </c>
      <c r="Q61" s="44" t="s">
        <v>134</v>
      </c>
      <c r="R61" s="92" t="s">
        <v>135</v>
      </c>
      <c r="S61" s="125">
        <v>7.0228437273764117E-4</v>
      </c>
      <c r="T61" s="44" t="s">
        <v>160</v>
      </c>
      <c r="U61" s="92" t="s">
        <v>161</v>
      </c>
      <c r="V61" s="44" t="s">
        <v>162</v>
      </c>
      <c r="W61" s="44" t="s">
        <v>163</v>
      </c>
      <c r="X61" s="92" t="s">
        <v>140</v>
      </c>
      <c r="Y61" s="44" t="s">
        <v>164</v>
      </c>
      <c r="Z61" s="44" t="s">
        <v>97</v>
      </c>
      <c r="AA61" s="91" t="s">
        <v>165</v>
      </c>
    </row>
    <row r="62" spans="1:92" x14ac:dyDescent="0.2">
      <c r="A62" s="41" t="s">
        <v>299</v>
      </c>
      <c r="B62" s="41" t="s">
        <v>300</v>
      </c>
      <c r="C62" s="94">
        <v>31642575</v>
      </c>
      <c r="D62" s="140">
        <v>0</v>
      </c>
      <c r="E62" s="41" t="s">
        <v>99</v>
      </c>
      <c r="F62" s="126">
        <v>6.62</v>
      </c>
      <c r="G62" s="127">
        <v>2.29</v>
      </c>
      <c r="H62" s="41" t="s">
        <v>145</v>
      </c>
      <c r="I62" s="95" t="s">
        <v>129</v>
      </c>
      <c r="J62" s="41" t="s">
        <v>130</v>
      </c>
      <c r="K62" s="41" t="s">
        <v>301</v>
      </c>
      <c r="L62" s="95" t="s">
        <v>300</v>
      </c>
      <c r="M62" s="128">
        <v>1000</v>
      </c>
      <c r="N62" s="41" t="s">
        <v>133</v>
      </c>
      <c r="O62" s="42" t="s">
        <v>102</v>
      </c>
      <c r="P62" s="52">
        <v>117.65</v>
      </c>
      <c r="Q62" s="41" t="s">
        <v>134</v>
      </c>
      <c r="R62" s="42" t="s">
        <v>135</v>
      </c>
      <c r="S62" s="129">
        <v>1.57404959814353E-3</v>
      </c>
      <c r="T62" s="41" t="s">
        <v>160</v>
      </c>
      <c r="U62" s="42" t="s">
        <v>161</v>
      </c>
      <c r="V62" s="41" t="s">
        <v>162</v>
      </c>
      <c r="W62" s="41" t="s">
        <v>163</v>
      </c>
      <c r="X62" s="42" t="s">
        <v>140</v>
      </c>
      <c r="Y62" s="41" t="s">
        <v>164</v>
      </c>
      <c r="Z62" s="41" t="s">
        <v>97</v>
      </c>
      <c r="AA62" s="94" t="s">
        <v>165</v>
      </c>
    </row>
    <row r="63" spans="1:92" x14ac:dyDescent="0.2">
      <c r="A63" s="44" t="s">
        <v>302</v>
      </c>
      <c r="B63" s="44" t="s">
        <v>303</v>
      </c>
      <c r="C63" s="91">
        <v>230461449</v>
      </c>
      <c r="D63" s="139">
        <v>0.01</v>
      </c>
      <c r="E63" s="44" t="s">
        <v>99</v>
      </c>
      <c r="F63" s="122">
        <v>1.19</v>
      </c>
      <c r="G63" s="123">
        <v>2.36</v>
      </c>
      <c r="H63" s="44" t="s">
        <v>145</v>
      </c>
      <c r="I63" s="93" t="s">
        <v>129</v>
      </c>
      <c r="J63" s="44" t="s">
        <v>182</v>
      </c>
      <c r="K63" s="44" t="s">
        <v>304</v>
      </c>
      <c r="L63" s="93" t="s">
        <v>305</v>
      </c>
      <c r="M63" s="124">
        <v>8500</v>
      </c>
      <c r="N63" s="44" t="s">
        <v>133</v>
      </c>
      <c r="O63" s="92" t="s">
        <v>102</v>
      </c>
      <c r="P63" s="110">
        <v>101.44</v>
      </c>
      <c r="Q63" s="44" t="s">
        <v>134</v>
      </c>
      <c r="R63" s="92" t="s">
        <v>135</v>
      </c>
      <c r="S63" s="125">
        <v>1.1464229797544152E-2</v>
      </c>
      <c r="T63" s="44" t="s">
        <v>136</v>
      </c>
      <c r="U63" s="92" t="s">
        <v>137</v>
      </c>
      <c r="V63" s="44" t="s">
        <v>138</v>
      </c>
      <c r="W63" s="44" t="s">
        <v>139</v>
      </c>
      <c r="X63" s="92" t="s">
        <v>140</v>
      </c>
      <c r="Y63" s="44" t="s">
        <v>141</v>
      </c>
      <c r="Z63" s="44" t="s">
        <v>97</v>
      </c>
      <c r="AA63" s="91" t="s">
        <v>142</v>
      </c>
    </row>
    <row r="64" spans="1:92" x14ac:dyDescent="0.2">
      <c r="A64" s="41" t="s">
        <v>306</v>
      </c>
      <c r="B64" s="41" t="s">
        <v>303</v>
      </c>
      <c r="C64" s="94">
        <v>412447324</v>
      </c>
      <c r="D64" s="140">
        <v>0.02</v>
      </c>
      <c r="E64" s="41" t="s">
        <v>100</v>
      </c>
      <c r="F64" s="126">
        <v>1.9</v>
      </c>
      <c r="G64" s="127">
        <v>4.8600000000000003</v>
      </c>
      <c r="H64" s="41" t="s">
        <v>145</v>
      </c>
      <c r="I64" s="95" t="s">
        <v>129</v>
      </c>
      <c r="J64" s="41" t="s">
        <v>182</v>
      </c>
      <c r="K64" s="41" t="s">
        <v>304</v>
      </c>
      <c r="L64" s="95" t="s">
        <v>305</v>
      </c>
      <c r="M64" s="128">
        <v>390000000</v>
      </c>
      <c r="N64" s="41" t="s">
        <v>133</v>
      </c>
      <c r="O64" s="42" t="s">
        <v>102</v>
      </c>
      <c r="P64" s="52">
        <v>102.78</v>
      </c>
      <c r="Q64" s="41" t="s">
        <v>134</v>
      </c>
      <c r="R64" s="42" t="s">
        <v>135</v>
      </c>
      <c r="S64" s="129">
        <v>2.0517057938476066E-2</v>
      </c>
      <c r="T64" s="41" t="s">
        <v>136</v>
      </c>
      <c r="U64" s="42" t="s">
        <v>177</v>
      </c>
      <c r="V64" s="41" t="s">
        <v>138</v>
      </c>
      <c r="W64" s="41" t="s">
        <v>178</v>
      </c>
      <c r="X64" s="42" t="s">
        <v>179</v>
      </c>
      <c r="Y64" s="41" t="s">
        <v>141</v>
      </c>
      <c r="Z64" s="41" t="s">
        <v>97</v>
      </c>
      <c r="AA64" s="94" t="s">
        <v>142</v>
      </c>
    </row>
    <row r="65" spans="1:27" x14ac:dyDescent="0.2">
      <c r="A65" s="44" t="s">
        <v>307</v>
      </c>
      <c r="B65" s="44" t="s">
        <v>303</v>
      </c>
      <c r="C65" s="91">
        <v>300390680</v>
      </c>
      <c r="D65" s="139">
        <v>0.01</v>
      </c>
      <c r="E65" s="44" t="s">
        <v>100</v>
      </c>
      <c r="F65" s="122">
        <v>2.36</v>
      </c>
      <c r="G65" s="123">
        <v>4.9800000000000004</v>
      </c>
      <c r="H65" s="44" t="s">
        <v>145</v>
      </c>
      <c r="I65" s="93" t="s">
        <v>129</v>
      </c>
      <c r="J65" s="44" t="s">
        <v>182</v>
      </c>
      <c r="K65" s="44" t="s">
        <v>304</v>
      </c>
      <c r="L65" s="93" t="s">
        <v>305</v>
      </c>
      <c r="M65" s="124">
        <v>300000000</v>
      </c>
      <c r="N65" s="44" t="s">
        <v>133</v>
      </c>
      <c r="O65" s="92" t="s">
        <v>102</v>
      </c>
      <c r="P65" s="110">
        <v>100.05</v>
      </c>
      <c r="Q65" s="44" t="s">
        <v>134</v>
      </c>
      <c r="R65" s="92" t="s">
        <v>135</v>
      </c>
      <c r="S65" s="125">
        <v>1.4942836641457331E-2</v>
      </c>
      <c r="T65" s="44" t="s">
        <v>136</v>
      </c>
      <c r="U65" s="92" t="s">
        <v>177</v>
      </c>
      <c r="V65" s="44" t="s">
        <v>138</v>
      </c>
      <c r="W65" s="44" t="s">
        <v>178</v>
      </c>
      <c r="X65" s="92" t="s">
        <v>179</v>
      </c>
      <c r="Y65" s="44" t="s">
        <v>141</v>
      </c>
      <c r="Z65" s="44" t="s">
        <v>97</v>
      </c>
      <c r="AA65" s="91" t="s">
        <v>142</v>
      </c>
    </row>
    <row r="66" spans="1:27" x14ac:dyDescent="0.2">
      <c r="A66" s="41" t="s">
        <v>308</v>
      </c>
      <c r="B66" s="41" t="s">
        <v>303</v>
      </c>
      <c r="C66" s="94">
        <v>111613267</v>
      </c>
      <c r="D66" s="140">
        <v>0.01</v>
      </c>
      <c r="E66" s="41" t="s">
        <v>100</v>
      </c>
      <c r="F66" s="126">
        <v>3</v>
      </c>
      <c r="G66" s="127">
        <v>5.24</v>
      </c>
      <c r="H66" s="41" t="s">
        <v>145</v>
      </c>
      <c r="I66" s="95" t="s">
        <v>129</v>
      </c>
      <c r="J66" s="41" t="s">
        <v>182</v>
      </c>
      <c r="K66" s="41" t="s">
        <v>304</v>
      </c>
      <c r="L66" s="95" t="s">
        <v>305</v>
      </c>
      <c r="M66" s="128">
        <v>110000000</v>
      </c>
      <c r="N66" s="41" t="s">
        <v>133</v>
      </c>
      <c r="O66" s="42" t="s">
        <v>102</v>
      </c>
      <c r="P66" s="52">
        <v>100.17</v>
      </c>
      <c r="Q66" s="41" t="s">
        <v>134</v>
      </c>
      <c r="R66" s="42" t="s">
        <v>135</v>
      </c>
      <c r="S66" s="129">
        <v>5.5521656524109217E-3</v>
      </c>
      <c r="T66" s="41" t="s">
        <v>136</v>
      </c>
      <c r="U66" s="42" t="s">
        <v>177</v>
      </c>
      <c r="V66" s="41" t="s">
        <v>138</v>
      </c>
      <c r="W66" s="41" t="s">
        <v>178</v>
      </c>
      <c r="X66" s="42" t="s">
        <v>179</v>
      </c>
      <c r="Y66" s="41" t="s">
        <v>141</v>
      </c>
      <c r="Z66" s="41" t="s">
        <v>97</v>
      </c>
      <c r="AA66" s="94" t="s">
        <v>142</v>
      </c>
    </row>
    <row r="67" spans="1:27" x14ac:dyDescent="0.2">
      <c r="A67" s="44" t="s">
        <v>309</v>
      </c>
      <c r="B67" s="44" t="s">
        <v>310</v>
      </c>
      <c r="C67" s="91">
        <v>135050425</v>
      </c>
      <c r="D67" s="139">
        <v>0.01</v>
      </c>
      <c r="E67" s="44" t="s">
        <v>99</v>
      </c>
      <c r="F67" s="122">
        <v>0.49</v>
      </c>
      <c r="G67" s="123">
        <v>2.42</v>
      </c>
      <c r="H67" s="44" t="s">
        <v>145</v>
      </c>
      <c r="I67" s="93" t="s">
        <v>129</v>
      </c>
      <c r="J67" s="44" t="s">
        <v>182</v>
      </c>
      <c r="K67" s="44" t="s">
        <v>311</v>
      </c>
      <c r="L67" s="93" t="s">
        <v>254</v>
      </c>
      <c r="M67" s="124">
        <v>5000</v>
      </c>
      <c r="N67" s="44" t="s">
        <v>133</v>
      </c>
      <c r="O67" s="92" t="s">
        <v>102</v>
      </c>
      <c r="P67" s="110">
        <v>100.65</v>
      </c>
      <c r="Q67" s="44" t="s">
        <v>134</v>
      </c>
      <c r="R67" s="92" t="s">
        <v>135</v>
      </c>
      <c r="S67" s="125">
        <v>6.7180394516047747E-3</v>
      </c>
      <c r="T67" s="44" t="s">
        <v>136</v>
      </c>
      <c r="U67" s="92" t="s">
        <v>137</v>
      </c>
      <c r="V67" s="44" t="s">
        <v>138</v>
      </c>
      <c r="W67" s="44" t="s">
        <v>139</v>
      </c>
      <c r="X67" s="92" t="s">
        <v>140</v>
      </c>
      <c r="Y67" s="44" t="s">
        <v>141</v>
      </c>
      <c r="Z67" s="44" t="s">
        <v>97</v>
      </c>
      <c r="AA67" s="91" t="s">
        <v>142</v>
      </c>
    </row>
    <row r="68" spans="1:27" x14ac:dyDescent="0.2">
      <c r="A68" s="41" t="s">
        <v>312</v>
      </c>
      <c r="B68" s="41" t="s">
        <v>310</v>
      </c>
      <c r="C68" s="94">
        <v>268298650</v>
      </c>
      <c r="D68" s="140">
        <v>0.01</v>
      </c>
      <c r="E68" s="41" t="s">
        <v>99</v>
      </c>
      <c r="F68" s="126">
        <v>0.74</v>
      </c>
      <c r="G68" s="127">
        <v>2.1800000000000002</v>
      </c>
      <c r="H68" s="41" t="s">
        <v>145</v>
      </c>
      <c r="I68" s="95" t="s">
        <v>129</v>
      </c>
      <c r="J68" s="41" t="s">
        <v>182</v>
      </c>
      <c r="K68" s="41" t="s">
        <v>311</v>
      </c>
      <c r="L68" s="95" t="s">
        <v>254</v>
      </c>
      <c r="M68" s="128">
        <v>10000</v>
      </c>
      <c r="N68" s="41" t="s">
        <v>133</v>
      </c>
      <c r="O68" s="42" t="s">
        <v>102</v>
      </c>
      <c r="P68" s="52">
        <v>100.96</v>
      </c>
      <c r="Q68" s="41" t="s">
        <v>134</v>
      </c>
      <c r="R68" s="42" t="s">
        <v>135</v>
      </c>
      <c r="S68" s="129">
        <v>1.3346429050573526E-2</v>
      </c>
      <c r="T68" s="41" t="s">
        <v>136</v>
      </c>
      <c r="U68" s="42" t="s">
        <v>137</v>
      </c>
      <c r="V68" s="41" t="s">
        <v>138</v>
      </c>
      <c r="W68" s="41" t="s">
        <v>139</v>
      </c>
      <c r="X68" s="42" t="s">
        <v>140</v>
      </c>
      <c r="Y68" s="41" t="s">
        <v>141</v>
      </c>
      <c r="Z68" s="41" t="s">
        <v>97</v>
      </c>
      <c r="AA68" s="94" t="s">
        <v>142</v>
      </c>
    </row>
    <row r="69" spans="1:27" x14ac:dyDescent="0.2">
      <c r="A69" s="44" t="s">
        <v>313</v>
      </c>
      <c r="B69" s="44" t="s">
        <v>310</v>
      </c>
      <c r="C69" s="91">
        <v>27408114</v>
      </c>
      <c r="D69" s="139">
        <v>0</v>
      </c>
      <c r="E69" s="44" t="s">
        <v>99</v>
      </c>
      <c r="F69" s="122">
        <v>2.33</v>
      </c>
      <c r="G69" s="123">
        <v>1.89</v>
      </c>
      <c r="H69" s="44" t="s">
        <v>145</v>
      </c>
      <c r="I69" s="93" t="s">
        <v>129</v>
      </c>
      <c r="J69" s="44" t="s">
        <v>182</v>
      </c>
      <c r="K69" s="44" t="s">
        <v>311</v>
      </c>
      <c r="L69" s="93" t="s">
        <v>254</v>
      </c>
      <c r="M69" s="124">
        <v>1000</v>
      </c>
      <c r="N69" s="44" t="s">
        <v>133</v>
      </c>
      <c r="O69" s="92" t="s">
        <v>102</v>
      </c>
      <c r="P69" s="110">
        <v>103.73</v>
      </c>
      <c r="Q69" s="44" t="s">
        <v>134</v>
      </c>
      <c r="R69" s="92" t="s">
        <v>135</v>
      </c>
      <c r="S69" s="125">
        <v>1.3634077134231984E-3</v>
      </c>
      <c r="T69" s="44" t="s">
        <v>136</v>
      </c>
      <c r="U69" s="92" t="s">
        <v>137</v>
      </c>
      <c r="V69" s="44" t="s">
        <v>138</v>
      </c>
      <c r="W69" s="44" t="s">
        <v>139</v>
      </c>
      <c r="X69" s="92" t="s">
        <v>140</v>
      </c>
      <c r="Y69" s="44" t="s">
        <v>141</v>
      </c>
      <c r="Z69" s="44" t="s">
        <v>97</v>
      </c>
      <c r="AA69" s="91" t="s">
        <v>142</v>
      </c>
    </row>
    <row r="70" spans="1:27" x14ac:dyDescent="0.2">
      <c r="A70" s="41" t="s">
        <v>314</v>
      </c>
      <c r="B70" s="41" t="s">
        <v>310</v>
      </c>
      <c r="C70" s="94">
        <v>87401942</v>
      </c>
      <c r="D70" s="140">
        <v>0</v>
      </c>
      <c r="E70" s="41" t="s">
        <v>99</v>
      </c>
      <c r="F70" s="126">
        <v>8.09</v>
      </c>
      <c r="G70" s="127">
        <v>2.5</v>
      </c>
      <c r="H70" s="41" t="s">
        <v>145</v>
      </c>
      <c r="I70" s="95" t="s">
        <v>129</v>
      </c>
      <c r="J70" s="41" t="s">
        <v>182</v>
      </c>
      <c r="K70" s="41" t="s">
        <v>311</v>
      </c>
      <c r="L70" s="95" t="s">
        <v>254</v>
      </c>
      <c r="M70" s="128">
        <v>3000</v>
      </c>
      <c r="N70" s="41" t="s">
        <v>133</v>
      </c>
      <c r="O70" s="42" t="s">
        <v>102</v>
      </c>
      <c r="P70" s="52">
        <v>110.24</v>
      </c>
      <c r="Q70" s="41" t="s">
        <v>134</v>
      </c>
      <c r="R70" s="42" t="s">
        <v>135</v>
      </c>
      <c r="S70" s="129">
        <v>4.3477811676851247E-3</v>
      </c>
      <c r="T70" s="41" t="s">
        <v>160</v>
      </c>
      <c r="U70" s="42" t="s">
        <v>161</v>
      </c>
      <c r="V70" s="41" t="s">
        <v>162</v>
      </c>
      <c r="W70" s="41" t="s">
        <v>163</v>
      </c>
      <c r="X70" s="42" t="s">
        <v>140</v>
      </c>
      <c r="Y70" s="41" t="s">
        <v>164</v>
      </c>
      <c r="Z70" s="41" t="s">
        <v>97</v>
      </c>
      <c r="AA70" s="94" t="s">
        <v>165</v>
      </c>
    </row>
    <row r="71" spans="1:27" x14ac:dyDescent="0.2">
      <c r="A71" s="44" t="s">
        <v>315</v>
      </c>
      <c r="B71" s="44" t="s">
        <v>310</v>
      </c>
      <c r="C71" s="91">
        <v>57797543</v>
      </c>
      <c r="D71" s="139">
        <v>0</v>
      </c>
      <c r="E71" s="44" t="s">
        <v>99</v>
      </c>
      <c r="F71" s="122">
        <v>6.97</v>
      </c>
      <c r="G71" s="123">
        <v>2.42</v>
      </c>
      <c r="H71" s="44" t="s">
        <v>145</v>
      </c>
      <c r="I71" s="93" t="s">
        <v>129</v>
      </c>
      <c r="J71" s="44" t="s">
        <v>182</v>
      </c>
      <c r="K71" s="44" t="s">
        <v>311</v>
      </c>
      <c r="L71" s="93" t="s">
        <v>254</v>
      </c>
      <c r="M71" s="124">
        <v>2000</v>
      </c>
      <c r="N71" s="44" t="s">
        <v>133</v>
      </c>
      <c r="O71" s="92" t="s">
        <v>102</v>
      </c>
      <c r="P71" s="110">
        <v>109.35</v>
      </c>
      <c r="Q71" s="44" t="s">
        <v>134</v>
      </c>
      <c r="R71" s="92" t="s">
        <v>135</v>
      </c>
      <c r="S71" s="125">
        <v>2.8751199715204402E-3</v>
      </c>
      <c r="T71" s="44" t="s">
        <v>160</v>
      </c>
      <c r="U71" s="92" t="s">
        <v>161</v>
      </c>
      <c r="V71" s="44" t="s">
        <v>162</v>
      </c>
      <c r="W71" s="44" t="s">
        <v>163</v>
      </c>
      <c r="X71" s="92" t="s">
        <v>140</v>
      </c>
      <c r="Y71" s="44" t="s">
        <v>164</v>
      </c>
      <c r="Z71" s="44" t="s">
        <v>97</v>
      </c>
      <c r="AA71" s="91" t="s">
        <v>165</v>
      </c>
    </row>
    <row r="72" spans="1:27" x14ac:dyDescent="0.2">
      <c r="A72" s="41" t="s">
        <v>316</v>
      </c>
      <c r="B72" s="41" t="s">
        <v>310</v>
      </c>
      <c r="C72" s="94">
        <v>744981953</v>
      </c>
      <c r="D72" s="140">
        <v>0.04</v>
      </c>
      <c r="E72" s="41" t="s">
        <v>100</v>
      </c>
      <c r="F72" s="126">
        <v>1.37</v>
      </c>
      <c r="G72" s="127">
        <v>4.49</v>
      </c>
      <c r="H72" s="41" t="s">
        <v>145</v>
      </c>
      <c r="I72" s="95" t="s">
        <v>129</v>
      </c>
      <c r="J72" s="41" t="s">
        <v>182</v>
      </c>
      <c r="K72" s="41" t="s">
        <v>311</v>
      </c>
      <c r="L72" s="95" t="s">
        <v>254</v>
      </c>
      <c r="M72" s="128">
        <v>720000000</v>
      </c>
      <c r="N72" s="41" t="s">
        <v>133</v>
      </c>
      <c r="O72" s="42" t="s">
        <v>102</v>
      </c>
      <c r="P72" s="52">
        <v>102.92</v>
      </c>
      <c r="Q72" s="41" t="s">
        <v>134</v>
      </c>
      <c r="R72" s="42" t="s">
        <v>135</v>
      </c>
      <c r="S72" s="129">
        <v>3.7058884864579832E-2</v>
      </c>
      <c r="T72" s="41" t="s">
        <v>136</v>
      </c>
      <c r="U72" s="42" t="s">
        <v>177</v>
      </c>
      <c r="V72" s="41" t="s">
        <v>138</v>
      </c>
      <c r="W72" s="41" t="s">
        <v>178</v>
      </c>
      <c r="X72" s="42" t="s">
        <v>179</v>
      </c>
      <c r="Y72" s="41" t="s">
        <v>141</v>
      </c>
      <c r="Z72" s="41" t="s">
        <v>97</v>
      </c>
      <c r="AA72" s="94" t="s">
        <v>142</v>
      </c>
    </row>
    <row r="73" spans="1:27" x14ac:dyDescent="0.2">
      <c r="A73" s="44" t="s">
        <v>317</v>
      </c>
      <c r="B73" s="44" t="s">
        <v>310</v>
      </c>
      <c r="C73" s="91">
        <v>250532707</v>
      </c>
      <c r="D73" s="139">
        <v>0.01</v>
      </c>
      <c r="E73" s="44" t="s">
        <v>99</v>
      </c>
      <c r="F73" s="122">
        <v>3.08</v>
      </c>
      <c r="G73" s="123">
        <v>1.95</v>
      </c>
      <c r="H73" s="44" t="s">
        <v>145</v>
      </c>
      <c r="I73" s="93" t="s">
        <v>129</v>
      </c>
      <c r="J73" s="44" t="s">
        <v>182</v>
      </c>
      <c r="K73" s="44" t="s">
        <v>311</v>
      </c>
      <c r="L73" s="93" t="s">
        <v>254</v>
      </c>
      <c r="M73" s="124">
        <v>9000</v>
      </c>
      <c r="N73" s="44" t="s">
        <v>133</v>
      </c>
      <c r="O73" s="92" t="s">
        <v>102</v>
      </c>
      <c r="P73" s="110">
        <v>104.75</v>
      </c>
      <c r="Q73" s="44" t="s">
        <v>134</v>
      </c>
      <c r="R73" s="92" t="s">
        <v>135</v>
      </c>
      <c r="S73" s="125">
        <v>1.2462667996367575E-2</v>
      </c>
      <c r="T73" s="44" t="s">
        <v>136</v>
      </c>
      <c r="U73" s="92" t="s">
        <v>137</v>
      </c>
      <c r="V73" s="44" t="s">
        <v>138</v>
      </c>
      <c r="W73" s="44" t="s">
        <v>139</v>
      </c>
      <c r="X73" s="92" t="s">
        <v>140</v>
      </c>
      <c r="Y73" s="44" t="s">
        <v>141</v>
      </c>
      <c r="Z73" s="44" t="s">
        <v>97</v>
      </c>
      <c r="AA73" s="91" t="s">
        <v>142</v>
      </c>
    </row>
    <row r="74" spans="1:27" x14ac:dyDescent="0.2">
      <c r="A74" s="41" t="s">
        <v>318</v>
      </c>
      <c r="B74" s="41" t="s">
        <v>319</v>
      </c>
      <c r="C74" s="94">
        <v>30889024</v>
      </c>
      <c r="D74" s="140">
        <v>0</v>
      </c>
      <c r="E74" s="41" t="s">
        <v>99</v>
      </c>
      <c r="F74" s="127">
        <v>6.23</v>
      </c>
      <c r="G74" s="127">
        <v>2.36</v>
      </c>
      <c r="H74" s="41" t="s">
        <v>128</v>
      </c>
      <c r="I74" s="95" t="s">
        <v>129</v>
      </c>
      <c r="J74" s="41" t="s">
        <v>320</v>
      </c>
      <c r="K74" s="41" t="s">
        <v>321</v>
      </c>
      <c r="L74" s="95" t="s">
        <v>322</v>
      </c>
      <c r="M74" s="128">
        <v>1000</v>
      </c>
      <c r="N74" s="41" t="s">
        <v>133</v>
      </c>
      <c r="O74" s="42" t="s">
        <v>102</v>
      </c>
      <c r="P74" s="52">
        <v>114.77</v>
      </c>
      <c r="Q74" s="41" t="s">
        <v>134</v>
      </c>
      <c r="R74" s="42" t="s">
        <v>135</v>
      </c>
      <c r="S74" s="129">
        <v>1.5365644488239613E-3</v>
      </c>
      <c r="T74" s="41" t="s">
        <v>160</v>
      </c>
      <c r="U74" s="42" t="s">
        <v>161</v>
      </c>
      <c r="V74" s="41" t="s">
        <v>162</v>
      </c>
      <c r="W74" s="41" t="s">
        <v>163</v>
      </c>
      <c r="X74" s="42" t="s">
        <v>140</v>
      </c>
      <c r="Y74" s="41" t="s">
        <v>164</v>
      </c>
      <c r="Z74" s="41" t="s">
        <v>97</v>
      </c>
      <c r="AA74" s="94" t="s">
        <v>165</v>
      </c>
    </row>
    <row r="75" spans="1:27" x14ac:dyDescent="0.2">
      <c r="A75" s="44" t="s">
        <v>323</v>
      </c>
      <c r="B75" s="44" t="s">
        <v>324</v>
      </c>
      <c r="C75" s="91">
        <v>290359083</v>
      </c>
      <c r="D75" s="139">
        <v>0.01</v>
      </c>
      <c r="E75" s="44" t="s">
        <v>99</v>
      </c>
      <c r="F75" s="122">
        <v>6.93</v>
      </c>
      <c r="G75" s="123">
        <v>2.35</v>
      </c>
      <c r="H75" s="44" t="s">
        <v>145</v>
      </c>
      <c r="I75" s="93" t="s">
        <v>129</v>
      </c>
      <c r="J75" s="44" t="s">
        <v>221</v>
      </c>
      <c r="K75" s="44" t="s">
        <v>325</v>
      </c>
      <c r="L75" s="93" t="s">
        <v>326</v>
      </c>
      <c r="M75" s="124">
        <v>9500</v>
      </c>
      <c r="N75" s="44" t="s">
        <v>133</v>
      </c>
      <c r="O75" s="92" t="s">
        <v>102</v>
      </c>
      <c r="P75" s="110">
        <v>115.18</v>
      </c>
      <c r="Q75" s="44" t="s">
        <v>134</v>
      </c>
      <c r="R75" s="92" t="s">
        <v>135</v>
      </c>
      <c r="S75" s="125">
        <v>1.4443818112573767E-2</v>
      </c>
      <c r="T75" s="44" t="s">
        <v>160</v>
      </c>
      <c r="U75" s="92" t="s">
        <v>161</v>
      </c>
      <c r="V75" s="44" t="s">
        <v>162</v>
      </c>
      <c r="W75" s="44" t="s">
        <v>163</v>
      </c>
      <c r="X75" s="92" t="s">
        <v>140</v>
      </c>
      <c r="Y75" s="44" t="s">
        <v>164</v>
      </c>
      <c r="Z75" s="44" t="s">
        <v>97</v>
      </c>
      <c r="AA75" s="91" t="s">
        <v>165</v>
      </c>
    </row>
    <row r="76" spans="1:27" x14ac:dyDescent="0.2">
      <c r="A76" s="41" t="s">
        <v>327</v>
      </c>
      <c r="B76" s="41" t="s">
        <v>324</v>
      </c>
      <c r="C76" s="94">
        <v>231879593</v>
      </c>
      <c r="D76" s="140">
        <v>0.01</v>
      </c>
      <c r="E76" s="41" t="s">
        <v>99</v>
      </c>
      <c r="F76" s="126">
        <v>0.9</v>
      </c>
      <c r="G76" s="127">
        <v>2.1</v>
      </c>
      <c r="H76" s="41" t="s">
        <v>145</v>
      </c>
      <c r="I76" s="95" t="s">
        <v>129</v>
      </c>
      <c r="J76" s="41" t="s">
        <v>221</v>
      </c>
      <c r="K76" s="41" t="s">
        <v>325</v>
      </c>
      <c r="L76" s="95" t="s">
        <v>326</v>
      </c>
      <c r="M76" s="128">
        <v>13000</v>
      </c>
      <c r="N76" s="41" t="s">
        <v>133</v>
      </c>
      <c r="O76" s="42" t="s">
        <v>102</v>
      </c>
      <c r="P76" s="52">
        <v>101.25</v>
      </c>
      <c r="Q76" s="41" t="s">
        <v>134</v>
      </c>
      <c r="R76" s="42" t="s">
        <v>135</v>
      </c>
      <c r="S76" s="129">
        <v>1.1534774909416673E-2</v>
      </c>
      <c r="T76" s="41" t="s">
        <v>136</v>
      </c>
      <c r="U76" s="42" t="s">
        <v>137</v>
      </c>
      <c r="V76" s="41" t="s">
        <v>138</v>
      </c>
      <c r="W76" s="41" t="s">
        <v>139</v>
      </c>
      <c r="X76" s="42" t="s">
        <v>140</v>
      </c>
      <c r="Y76" s="41" t="s">
        <v>141</v>
      </c>
      <c r="Z76" s="41" t="s">
        <v>97</v>
      </c>
      <c r="AA76" s="94" t="s">
        <v>142</v>
      </c>
    </row>
    <row r="77" spans="1:27" x14ac:dyDescent="0.2">
      <c r="A77" s="44" t="s">
        <v>328</v>
      </c>
      <c r="B77" s="44" t="s">
        <v>324</v>
      </c>
      <c r="C77" s="91">
        <v>137119601</v>
      </c>
      <c r="D77" s="139">
        <v>0.01</v>
      </c>
      <c r="E77" s="44" t="s">
        <v>99</v>
      </c>
      <c r="F77" s="122">
        <v>1.81</v>
      </c>
      <c r="G77" s="123">
        <v>1.95</v>
      </c>
      <c r="H77" s="44" t="s">
        <v>145</v>
      </c>
      <c r="I77" s="93" t="s">
        <v>129</v>
      </c>
      <c r="J77" s="44" t="s">
        <v>221</v>
      </c>
      <c r="K77" s="44" t="s">
        <v>325</v>
      </c>
      <c r="L77" s="93" t="s">
        <v>326</v>
      </c>
      <c r="M77" s="124">
        <v>5000</v>
      </c>
      <c r="N77" s="44" t="s">
        <v>133</v>
      </c>
      <c r="O77" s="92" t="s">
        <v>102</v>
      </c>
      <c r="P77" s="110">
        <v>102.74</v>
      </c>
      <c r="Q77" s="44" t="s">
        <v>134</v>
      </c>
      <c r="R77" s="92" t="s">
        <v>135</v>
      </c>
      <c r="S77" s="125">
        <v>6.8209699384974573E-3</v>
      </c>
      <c r="T77" s="44" t="s">
        <v>136</v>
      </c>
      <c r="U77" s="92" t="s">
        <v>137</v>
      </c>
      <c r="V77" s="44" t="s">
        <v>138</v>
      </c>
      <c r="W77" s="44" t="s">
        <v>139</v>
      </c>
      <c r="X77" s="92" t="s">
        <v>140</v>
      </c>
      <c r="Y77" s="44" t="s">
        <v>141</v>
      </c>
      <c r="Z77" s="44" t="s">
        <v>97</v>
      </c>
      <c r="AA77" s="91" t="s">
        <v>142</v>
      </c>
    </row>
    <row r="78" spans="1:27" x14ac:dyDescent="0.2">
      <c r="A78" s="41" t="s">
        <v>329</v>
      </c>
      <c r="B78" s="41" t="s">
        <v>330</v>
      </c>
      <c r="C78" s="94">
        <v>182456526</v>
      </c>
      <c r="D78" s="140">
        <v>0.01</v>
      </c>
      <c r="E78" s="41" t="s">
        <v>99</v>
      </c>
      <c r="F78" s="126">
        <v>8.69</v>
      </c>
      <c r="G78" s="127">
        <v>2.39</v>
      </c>
      <c r="H78" s="41" t="s">
        <v>145</v>
      </c>
      <c r="I78" s="95" t="s">
        <v>129</v>
      </c>
      <c r="J78" s="41" t="s">
        <v>169</v>
      </c>
      <c r="K78" s="41" t="s">
        <v>331</v>
      </c>
      <c r="L78" s="95" t="s">
        <v>332</v>
      </c>
      <c r="M78" s="128">
        <v>6000</v>
      </c>
      <c r="N78" s="41" t="s">
        <v>133</v>
      </c>
      <c r="O78" s="42" t="s">
        <v>102</v>
      </c>
      <c r="P78" s="52">
        <v>112.9</v>
      </c>
      <c r="Q78" s="41" t="s">
        <v>134</v>
      </c>
      <c r="R78" s="42" t="s">
        <v>135</v>
      </c>
      <c r="S78" s="129">
        <v>9.0762405217958576E-3</v>
      </c>
      <c r="T78" s="41" t="s">
        <v>160</v>
      </c>
      <c r="U78" s="42" t="s">
        <v>161</v>
      </c>
      <c r="V78" s="41" t="s">
        <v>162</v>
      </c>
      <c r="W78" s="41" t="s">
        <v>163</v>
      </c>
      <c r="X78" s="42" t="s">
        <v>140</v>
      </c>
      <c r="Y78" s="41" t="s">
        <v>164</v>
      </c>
      <c r="Z78" s="41" t="s">
        <v>97</v>
      </c>
      <c r="AA78" s="94" t="s">
        <v>165</v>
      </c>
    </row>
    <row r="79" spans="1:27" x14ac:dyDescent="0.2">
      <c r="A79" s="44" t="s">
        <v>333</v>
      </c>
      <c r="B79" s="44" t="s">
        <v>330</v>
      </c>
      <c r="C79" s="91">
        <v>139897719</v>
      </c>
      <c r="D79" s="139">
        <v>0.01</v>
      </c>
      <c r="E79" s="44" t="s">
        <v>99</v>
      </c>
      <c r="F79" s="122">
        <v>1.4</v>
      </c>
      <c r="G79" s="123">
        <v>2.1800000000000002</v>
      </c>
      <c r="H79" s="44" t="s">
        <v>145</v>
      </c>
      <c r="I79" s="93" t="s">
        <v>129</v>
      </c>
      <c r="J79" s="44" t="s">
        <v>169</v>
      </c>
      <c r="K79" s="44" t="s">
        <v>331</v>
      </c>
      <c r="L79" s="93" t="s">
        <v>332</v>
      </c>
      <c r="M79" s="124">
        <v>13000</v>
      </c>
      <c r="N79" s="44" t="s">
        <v>133</v>
      </c>
      <c r="O79" s="92" t="s">
        <v>102</v>
      </c>
      <c r="P79" s="110">
        <v>101.82</v>
      </c>
      <c r="Q79" s="44" t="s">
        <v>134</v>
      </c>
      <c r="R79" s="92" t="s">
        <v>135</v>
      </c>
      <c r="S79" s="125">
        <v>6.9591665145186977E-3</v>
      </c>
      <c r="T79" s="44" t="s">
        <v>136</v>
      </c>
      <c r="U79" s="92" t="s">
        <v>137</v>
      </c>
      <c r="V79" s="44" t="s">
        <v>138</v>
      </c>
      <c r="W79" s="44" t="s">
        <v>139</v>
      </c>
      <c r="X79" s="92" t="s">
        <v>140</v>
      </c>
      <c r="Y79" s="44" t="s">
        <v>141</v>
      </c>
      <c r="Z79" s="44" t="s">
        <v>97</v>
      </c>
      <c r="AA79" s="91" t="s">
        <v>142</v>
      </c>
    </row>
    <row r="80" spans="1:27" x14ac:dyDescent="0.2">
      <c r="A80" s="41" t="s">
        <v>334</v>
      </c>
      <c r="B80" s="41" t="s">
        <v>335</v>
      </c>
      <c r="C80" s="94">
        <v>20173855</v>
      </c>
      <c r="D80" s="140">
        <v>0</v>
      </c>
      <c r="E80" s="41" t="s">
        <v>99</v>
      </c>
      <c r="F80" s="126">
        <v>1.43</v>
      </c>
      <c r="G80" s="127">
        <v>2.11</v>
      </c>
      <c r="H80" s="41" t="s">
        <v>128</v>
      </c>
      <c r="I80" s="95" t="s">
        <v>129</v>
      </c>
      <c r="J80" s="41" t="s">
        <v>130</v>
      </c>
      <c r="K80" s="41" t="s">
        <v>336</v>
      </c>
      <c r="L80" s="95" t="s">
        <v>337</v>
      </c>
      <c r="M80" s="128">
        <v>1500</v>
      </c>
      <c r="N80" s="41" t="s">
        <v>133</v>
      </c>
      <c r="O80" s="42" t="s">
        <v>102</v>
      </c>
      <c r="P80" s="52">
        <v>101.25</v>
      </c>
      <c r="Q80" s="41" t="s">
        <v>134</v>
      </c>
      <c r="R80" s="42" t="s">
        <v>135</v>
      </c>
      <c r="S80" s="129">
        <v>1.0035418532074536E-3</v>
      </c>
      <c r="T80" s="41" t="s">
        <v>136</v>
      </c>
      <c r="U80" s="42" t="s">
        <v>137</v>
      </c>
      <c r="V80" s="41" t="s">
        <v>138</v>
      </c>
      <c r="W80" s="41" t="s">
        <v>139</v>
      </c>
      <c r="X80" s="42" t="s">
        <v>140</v>
      </c>
      <c r="Y80" s="41" t="s">
        <v>141</v>
      </c>
      <c r="Z80" s="41" t="s">
        <v>97</v>
      </c>
      <c r="AA80" s="94" t="s">
        <v>142</v>
      </c>
    </row>
    <row r="81" spans="1:27" x14ac:dyDescent="0.2">
      <c r="A81" s="44" t="s">
        <v>338</v>
      </c>
      <c r="B81" s="44" t="s">
        <v>339</v>
      </c>
      <c r="C81" s="91">
        <v>267104132</v>
      </c>
      <c r="D81" s="139">
        <v>0.01</v>
      </c>
      <c r="E81" s="44" t="s">
        <v>99</v>
      </c>
      <c r="F81" s="122">
        <v>0.83</v>
      </c>
      <c r="G81" s="123">
        <v>2.2400000000000002</v>
      </c>
      <c r="H81" s="44" t="s">
        <v>156</v>
      </c>
      <c r="I81" s="93" t="s">
        <v>129</v>
      </c>
      <c r="J81" s="44" t="s">
        <v>182</v>
      </c>
      <c r="K81" s="44" t="s">
        <v>340</v>
      </c>
      <c r="L81" s="93" t="s">
        <v>341</v>
      </c>
      <c r="M81" s="124">
        <v>10000</v>
      </c>
      <c r="N81" s="44" t="s">
        <v>133</v>
      </c>
      <c r="O81" s="92" t="s">
        <v>102</v>
      </c>
      <c r="P81" s="110">
        <v>100.84</v>
      </c>
      <c r="Q81" s="44" t="s">
        <v>134</v>
      </c>
      <c r="R81" s="92" t="s">
        <v>135</v>
      </c>
      <c r="S81" s="125">
        <v>1.3287008141312028E-2</v>
      </c>
      <c r="T81" s="44" t="s">
        <v>136</v>
      </c>
      <c r="U81" s="92" t="s">
        <v>137</v>
      </c>
      <c r="V81" s="44" t="s">
        <v>138</v>
      </c>
      <c r="W81" s="44" t="s">
        <v>139</v>
      </c>
      <c r="X81" s="92" t="s">
        <v>140</v>
      </c>
      <c r="Y81" s="44" t="s">
        <v>141</v>
      </c>
      <c r="Z81" s="44" t="s">
        <v>97</v>
      </c>
      <c r="AA81" s="91" t="s">
        <v>142</v>
      </c>
    </row>
    <row r="82" spans="1:27" x14ac:dyDescent="0.2">
      <c r="A82" s="96" t="s">
        <v>342</v>
      </c>
      <c r="B82" s="44" t="s">
        <v>339</v>
      </c>
      <c r="C82" s="91">
        <v>53537588</v>
      </c>
      <c r="D82" s="139">
        <v>0</v>
      </c>
      <c r="E82" s="44" t="s">
        <v>99</v>
      </c>
      <c r="F82" s="122">
        <v>2.36</v>
      </c>
      <c r="G82" s="123">
        <v>1.92</v>
      </c>
      <c r="H82" s="44" t="s">
        <v>156</v>
      </c>
      <c r="I82" s="93" t="s">
        <v>129</v>
      </c>
      <c r="J82" s="44" t="s">
        <v>182</v>
      </c>
      <c r="K82" s="44" t="s">
        <v>340</v>
      </c>
      <c r="L82" s="93" t="s">
        <v>341</v>
      </c>
      <c r="M82" s="124">
        <v>2000</v>
      </c>
      <c r="N82" s="44" t="s">
        <v>133</v>
      </c>
      <c r="O82" s="92" t="s">
        <v>102</v>
      </c>
      <c r="P82" s="110">
        <v>101.39</v>
      </c>
      <c r="Q82" s="44" t="s">
        <v>134</v>
      </c>
      <c r="R82" s="92" t="s">
        <v>135</v>
      </c>
      <c r="S82" s="125">
        <v>2.6632098960648392E-3</v>
      </c>
      <c r="T82" s="44" t="s">
        <v>136</v>
      </c>
      <c r="U82" s="92" t="s">
        <v>137</v>
      </c>
      <c r="V82" s="44" t="s">
        <v>138</v>
      </c>
      <c r="W82" s="44" t="s">
        <v>139</v>
      </c>
      <c r="X82" s="92" t="s">
        <v>140</v>
      </c>
      <c r="Y82" s="96" t="s">
        <v>141</v>
      </c>
      <c r="Z82" s="44" t="s">
        <v>97</v>
      </c>
      <c r="AA82" s="91" t="s">
        <v>142</v>
      </c>
    </row>
    <row r="83" spans="1:27" x14ac:dyDescent="0.2">
      <c r="A83" s="97" t="s">
        <v>343</v>
      </c>
      <c r="B83" s="41" t="s">
        <v>339</v>
      </c>
      <c r="C83" s="94">
        <v>296895466</v>
      </c>
      <c r="D83" s="140">
        <v>0.01</v>
      </c>
      <c r="E83" s="41" t="s">
        <v>99</v>
      </c>
      <c r="F83" s="126">
        <v>0.98</v>
      </c>
      <c r="G83" s="127">
        <v>2.0499999999999998</v>
      </c>
      <c r="H83" s="41" t="s">
        <v>156</v>
      </c>
      <c r="I83" s="95" t="s">
        <v>129</v>
      </c>
      <c r="J83" s="41" t="s">
        <v>182</v>
      </c>
      <c r="K83" s="41" t="s">
        <v>340</v>
      </c>
      <c r="L83" s="95" t="s">
        <v>341</v>
      </c>
      <c r="M83" s="128">
        <v>11000</v>
      </c>
      <c r="N83" s="41" t="s">
        <v>133</v>
      </c>
      <c r="O83" s="42" t="s">
        <v>102</v>
      </c>
      <c r="P83" s="52">
        <v>100.93</v>
      </c>
      <c r="Q83" s="41" t="s">
        <v>134</v>
      </c>
      <c r="R83" s="42" t="s">
        <v>135</v>
      </c>
      <c r="S83" s="129">
        <v>1.476896835823052E-2</v>
      </c>
      <c r="T83" s="41" t="s">
        <v>136</v>
      </c>
      <c r="U83" s="42" t="s">
        <v>137</v>
      </c>
      <c r="V83" s="41" t="s">
        <v>138</v>
      </c>
      <c r="W83" s="41" t="s">
        <v>139</v>
      </c>
      <c r="X83" s="42" t="s">
        <v>140</v>
      </c>
      <c r="Y83" s="97" t="s">
        <v>141</v>
      </c>
      <c r="Z83" s="41" t="s">
        <v>97</v>
      </c>
      <c r="AA83" s="94" t="s">
        <v>142</v>
      </c>
    </row>
    <row r="84" spans="1:27" x14ac:dyDescent="0.2">
      <c r="A84" s="96" t="s">
        <v>344</v>
      </c>
      <c r="B84" s="44" t="s">
        <v>339</v>
      </c>
      <c r="C84" s="91">
        <v>157758455</v>
      </c>
      <c r="D84" s="139">
        <v>0.01</v>
      </c>
      <c r="E84" s="44" t="s">
        <v>99</v>
      </c>
      <c r="F84" s="122">
        <v>6.04</v>
      </c>
      <c r="G84" s="123">
        <v>2.33</v>
      </c>
      <c r="H84" s="44" t="s">
        <v>156</v>
      </c>
      <c r="I84" s="93" t="s">
        <v>129</v>
      </c>
      <c r="J84" s="44" t="s">
        <v>182</v>
      </c>
      <c r="K84" s="44" t="s">
        <v>340</v>
      </c>
      <c r="L84" s="93" t="s">
        <v>341</v>
      </c>
      <c r="M84" s="124">
        <v>5500</v>
      </c>
      <c r="N84" s="44" t="s">
        <v>133</v>
      </c>
      <c r="O84" s="92" t="s">
        <v>102</v>
      </c>
      <c r="P84" s="110">
        <v>107.9</v>
      </c>
      <c r="Q84" s="44" t="s">
        <v>134</v>
      </c>
      <c r="R84" s="92" t="s">
        <v>135</v>
      </c>
      <c r="S84" s="125">
        <v>7.8476430156677879E-3</v>
      </c>
      <c r="T84" s="44" t="s">
        <v>160</v>
      </c>
      <c r="U84" s="92" t="s">
        <v>161</v>
      </c>
      <c r="V84" s="44" t="s">
        <v>162</v>
      </c>
      <c r="W84" s="44" t="s">
        <v>163</v>
      </c>
      <c r="X84" s="92" t="s">
        <v>140</v>
      </c>
      <c r="Y84" s="96" t="s">
        <v>164</v>
      </c>
      <c r="Z84" s="44" t="s">
        <v>97</v>
      </c>
      <c r="AA84" s="91" t="s">
        <v>165</v>
      </c>
    </row>
    <row r="85" spans="1:27" x14ac:dyDescent="0.2">
      <c r="A85" s="97" t="s">
        <v>345</v>
      </c>
      <c r="B85" s="41" t="s">
        <v>339</v>
      </c>
      <c r="C85" s="94">
        <v>4299172</v>
      </c>
      <c r="D85" s="140">
        <v>0</v>
      </c>
      <c r="E85" s="41" t="s">
        <v>99</v>
      </c>
      <c r="F85" s="126">
        <v>1.24</v>
      </c>
      <c r="G85" s="127">
        <v>2.08</v>
      </c>
      <c r="H85" s="41" t="s">
        <v>156</v>
      </c>
      <c r="I85" s="95" t="s">
        <v>129</v>
      </c>
      <c r="J85" s="41" t="s">
        <v>182</v>
      </c>
      <c r="K85" s="41" t="s">
        <v>340</v>
      </c>
      <c r="L85" s="95" t="s">
        <v>341</v>
      </c>
      <c r="M85" s="128">
        <v>500</v>
      </c>
      <c r="N85" s="41" t="s">
        <v>133</v>
      </c>
      <c r="O85" s="42" t="s">
        <v>102</v>
      </c>
      <c r="P85" s="52">
        <v>101.11</v>
      </c>
      <c r="Q85" s="41" t="s">
        <v>134</v>
      </c>
      <c r="R85" s="42" t="s">
        <v>135</v>
      </c>
      <c r="S85" s="129">
        <v>2.1386091236095408E-4</v>
      </c>
      <c r="T85" s="41" t="s">
        <v>136</v>
      </c>
      <c r="U85" s="42" t="s">
        <v>137</v>
      </c>
      <c r="V85" s="41" t="s">
        <v>138</v>
      </c>
      <c r="W85" s="41" t="s">
        <v>139</v>
      </c>
      <c r="X85" s="42" t="s">
        <v>140</v>
      </c>
      <c r="Y85" s="97" t="s">
        <v>141</v>
      </c>
      <c r="Z85" s="41" t="s">
        <v>97</v>
      </c>
      <c r="AA85" s="94" t="s">
        <v>142</v>
      </c>
    </row>
    <row r="86" spans="1:27" x14ac:dyDescent="0.2">
      <c r="A86" s="97" t="s">
        <v>346</v>
      </c>
      <c r="B86" s="41" t="s">
        <v>339</v>
      </c>
      <c r="C86" s="94">
        <v>68600062</v>
      </c>
      <c r="D86" s="140">
        <v>0</v>
      </c>
      <c r="E86" s="41" t="s">
        <v>99</v>
      </c>
      <c r="F86" s="126">
        <v>2.39</v>
      </c>
      <c r="G86" s="127">
        <v>1.92</v>
      </c>
      <c r="H86" s="41" t="s">
        <v>156</v>
      </c>
      <c r="I86" s="95" t="s">
        <v>129</v>
      </c>
      <c r="J86" s="41" t="s">
        <v>182</v>
      </c>
      <c r="K86" s="41" t="s">
        <v>340</v>
      </c>
      <c r="L86" s="95" t="s">
        <v>341</v>
      </c>
      <c r="M86" s="128">
        <v>2500</v>
      </c>
      <c r="N86" s="41" t="s">
        <v>133</v>
      </c>
      <c r="O86" s="42" t="s">
        <v>102</v>
      </c>
      <c r="P86" s="52">
        <v>102.61</v>
      </c>
      <c r="Q86" s="41" t="s">
        <v>134</v>
      </c>
      <c r="R86" s="42" t="s">
        <v>135</v>
      </c>
      <c r="S86" s="129">
        <v>3.412487764466743E-3</v>
      </c>
      <c r="T86" s="41" t="s">
        <v>136</v>
      </c>
      <c r="U86" s="42" t="s">
        <v>137</v>
      </c>
      <c r="V86" s="41" t="s">
        <v>138</v>
      </c>
      <c r="W86" s="41" t="s">
        <v>139</v>
      </c>
      <c r="X86" s="42" t="s">
        <v>140</v>
      </c>
      <c r="Y86" s="97" t="s">
        <v>141</v>
      </c>
      <c r="Z86" s="41" t="s">
        <v>97</v>
      </c>
      <c r="AA86" s="94" t="s">
        <v>142</v>
      </c>
    </row>
    <row r="87" spans="1:27" x14ac:dyDescent="0.2">
      <c r="A87" s="97" t="s">
        <v>347</v>
      </c>
      <c r="B87" s="41" t="s">
        <v>339</v>
      </c>
      <c r="C87" s="94">
        <v>6469137</v>
      </c>
      <c r="D87" s="140">
        <v>0</v>
      </c>
      <c r="E87" s="41" t="s">
        <v>99</v>
      </c>
      <c r="F87" s="126">
        <v>2.3199999999999998</v>
      </c>
      <c r="G87" s="127">
        <v>1.94</v>
      </c>
      <c r="H87" s="41" t="s">
        <v>156</v>
      </c>
      <c r="I87" s="95" t="s">
        <v>129</v>
      </c>
      <c r="J87" s="41" t="s">
        <v>182</v>
      </c>
      <c r="K87" s="41" t="s">
        <v>340</v>
      </c>
      <c r="L87" s="95" t="s">
        <v>341</v>
      </c>
      <c r="M87" s="128">
        <v>500</v>
      </c>
      <c r="N87" s="41" t="s">
        <v>133</v>
      </c>
      <c r="O87" s="42" t="s">
        <v>102</v>
      </c>
      <c r="P87" s="52">
        <v>102.42</v>
      </c>
      <c r="Q87" s="41" t="s">
        <v>134</v>
      </c>
      <c r="R87" s="42" t="s">
        <v>135</v>
      </c>
      <c r="S87" s="129">
        <v>3.2180511526591756E-4</v>
      </c>
      <c r="T87" s="41" t="s">
        <v>136</v>
      </c>
      <c r="U87" s="42" t="s">
        <v>137</v>
      </c>
      <c r="V87" s="41" t="s">
        <v>138</v>
      </c>
      <c r="W87" s="41" t="s">
        <v>139</v>
      </c>
      <c r="X87" s="42" t="s">
        <v>140</v>
      </c>
      <c r="Y87" s="97" t="s">
        <v>141</v>
      </c>
      <c r="Z87" s="41" t="s">
        <v>97</v>
      </c>
      <c r="AA87" s="94" t="s">
        <v>142</v>
      </c>
    </row>
    <row r="88" spans="1:27" x14ac:dyDescent="0.2">
      <c r="A88" s="97" t="s">
        <v>348</v>
      </c>
      <c r="B88" s="41" t="s">
        <v>349</v>
      </c>
      <c r="C88" s="94">
        <v>13346488</v>
      </c>
      <c r="D88" s="140">
        <v>0</v>
      </c>
      <c r="E88" s="41" t="s">
        <v>99</v>
      </c>
      <c r="F88" s="126">
        <v>0.92</v>
      </c>
      <c r="G88" s="127">
        <v>2.23</v>
      </c>
      <c r="H88" s="41" t="s">
        <v>145</v>
      </c>
      <c r="I88" s="95" t="s">
        <v>129</v>
      </c>
      <c r="J88" s="41" t="s">
        <v>221</v>
      </c>
      <c r="K88" s="41" t="s">
        <v>350</v>
      </c>
      <c r="L88" s="95" t="s">
        <v>351</v>
      </c>
      <c r="M88" s="128">
        <v>500</v>
      </c>
      <c r="N88" s="41" t="s">
        <v>133</v>
      </c>
      <c r="O88" s="42" t="s">
        <v>102</v>
      </c>
      <c r="P88" s="52">
        <v>101.05</v>
      </c>
      <c r="Q88" s="41" t="s">
        <v>134</v>
      </c>
      <c r="R88" s="42" t="s">
        <v>135</v>
      </c>
      <c r="S88" s="129">
        <v>6.6391670314528588E-4</v>
      </c>
      <c r="T88" s="41" t="s">
        <v>136</v>
      </c>
      <c r="U88" s="42" t="s">
        <v>137</v>
      </c>
      <c r="V88" s="41" t="s">
        <v>138</v>
      </c>
      <c r="W88" s="41" t="s">
        <v>139</v>
      </c>
      <c r="X88" s="42" t="s">
        <v>140</v>
      </c>
      <c r="Y88" s="97" t="s">
        <v>141</v>
      </c>
      <c r="Z88" s="41" t="s">
        <v>97</v>
      </c>
      <c r="AA88" s="94" t="s">
        <v>142</v>
      </c>
    </row>
    <row r="89" spans="1:27" x14ac:dyDescent="0.2">
      <c r="A89" s="96" t="s">
        <v>352</v>
      </c>
      <c r="B89" s="44" t="s">
        <v>353</v>
      </c>
      <c r="C89" s="91">
        <v>30086286</v>
      </c>
      <c r="D89" s="139">
        <v>0</v>
      </c>
      <c r="E89" s="44" t="s">
        <v>100</v>
      </c>
      <c r="F89" s="122">
        <v>2.95</v>
      </c>
      <c r="G89" s="123">
        <v>4.7300000000000004</v>
      </c>
      <c r="H89" s="44" t="s">
        <v>145</v>
      </c>
      <c r="I89" s="93" t="s">
        <v>129</v>
      </c>
      <c r="J89" s="44" t="s">
        <v>276</v>
      </c>
      <c r="K89" s="44" t="s">
        <v>354</v>
      </c>
      <c r="L89" s="93" t="s">
        <v>355</v>
      </c>
      <c r="M89" s="124">
        <v>30000000</v>
      </c>
      <c r="N89" s="44" t="s">
        <v>133</v>
      </c>
      <c r="O89" s="92" t="s">
        <v>102</v>
      </c>
      <c r="P89" s="110">
        <v>99.91</v>
      </c>
      <c r="Q89" s="44" t="s">
        <v>134</v>
      </c>
      <c r="R89" s="92" t="s">
        <v>135</v>
      </c>
      <c r="S89" s="125">
        <v>1.4966325081928798E-3</v>
      </c>
      <c r="T89" s="44" t="s">
        <v>136</v>
      </c>
      <c r="U89" s="92" t="s">
        <v>177</v>
      </c>
      <c r="V89" s="44" t="s">
        <v>138</v>
      </c>
      <c r="W89" s="44" t="s">
        <v>178</v>
      </c>
      <c r="X89" s="92" t="s">
        <v>179</v>
      </c>
      <c r="Y89" s="96" t="s">
        <v>141</v>
      </c>
      <c r="Z89" s="44" t="s">
        <v>97</v>
      </c>
      <c r="AA89" s="91" t="s">
        <v>142</v>
      </c>
    </row>
    <row r="90" spans="1:27" x14ac:dyDescent="0.2">
      <c r="A90" s="96" t="s">
        <v>356</v>
      </c>
      <c r="B90" s="44" t="s">
        <v>357</v>
      </c>
      <c r="C90" s="91">
        <v>90563407</v>
      </c>
      <c r="D90" s="139">
        <v>0</v>
      </c>
      <c r="E90" s="44" t="s">
        <v>99</v>
      </c>
      <c r="F90" s="122">
        <v>7.35</v>
      </c>
      <c r="G90" s="123">
        <v>2.6</v>
      </c>
      <c r="H90" s="44" t="s">
        <v>156</v>
      </c>
      <c r="I90" s="93" t="s">
        <v>129</v>
      </c>
      <c r="J90" s="44" t="s">
        <v>358</v>
      </c>
      <c r="K90" s="44" t="s">
        <v>359</v>
      </c>
      <c r="L90" s="93" t="s">
        <v>360</v>
      </c>
      <c r="M90" s="124">
        <v>3000</v>
      </c>
      <c r="N90" s="44" t="s">
        <v>133</v>
      </c>
      <c r="O90" s="92" t="s">
        <v>102</v>
      </c>
      <c r="P90" s="110">
        <v>114.16</v>
      </c>
      <c r="Q90" s="44" t="s">
        <v>134</v>
      </c>
      <c r="R90" s="92" t="s">
        <v>135</v>
      </c>
      <c r="S90" s="125">
        <v>4.5050472154955458E-3</v>
      </c>
      <c r="T90" s="44" t="s">
        <v>160</v>
      </c>
      <c r="U90" s="92" t="s">
        <v>161</v>
      </c>
      <c r="V90" s="44" t="s">
        <v>162</v>
      </c>
      <c r="W90" s="44" t="s">
        <v>163</v>
      </c>
      <c r="X90" s="92" t="s">
        <v>140</v>
      </c>
      <c r="Y90" s="96" t="s">
        <v>164</v>
      </c>
      <c r="Z90" s="44" t="s">
        <v>97</v>
      </c>
      <c r="AA90" s="91" t="s">
        <v>165</v>
      </c>
    </row>
    <row r="91" spans="1:27" x14ac:dyDescent="0.2">
      <c r="A91" s="96" t="s">
        <v>361</v>
      </c>
      <c r="B91" s="44" t="s">
        <v>362</v>
      </c>
      <c r="C91" s="91">
        <v>270282622</v>
      </c>
      <c r="D91" s="139">
        <v>0.01</v>
      </c>
      <c r="E91" s="44" t="s">
        <v>99</v>
      </c>
      <c r="F91" s="122">
        <v>0.74</v>
      </c>
      <c r="G91" s="123">
        <v>2</v>
      </c>
      <c r="H91" s="44" t="s">
        <v>209</v>
      </c>
      <c r="I91" s="93" t="s">
        <v>129</v>
      </c>
      <c r="J91" s="44" t="s">
        <v>182</v>
      </c>
      <c r="K91" s="44" t="s">
        <v>363</v>
      </c>
      <c r="L91" s="93" t="s">
        <v>364</v>
      </c>
      <c r="M91" s="124">
        <v>10000</v>
      </c>
      <c r="N91" s="44" t="s">
        <v>133</v>
      </c>
      <c r="O91" s="92" t="s">
        <v>102</v>
      </c>
      <c r="P91" s="110">
        <v>101.55</v>
      </c>
      <c r="Q91" s="44" t="s">
        <v>134</v>
      </c>
      <c r="R91" s="92" t="s">
        <v>135</v>
      </c>
      <c r="S91" s="125">
        <v>1.3445121092208192E-2</v>
      </c>
      <c r="T91" s="44" t="s">
        <v>136</v>
      </c>
      <c r="U91" s="92" t="s">
        <v>137</v>
      </c>
      <c r="V91" s="44" t="s">
        <v>138</v>
      </c>
      <c r="W91" s="44" t="s">
        <v>139</v>
      </c>
      <c r="X91" s="92" t="s">
        <v>140</v>
      </c>
      <c r="Y91" s="96" t="s">
        <v>141</v>
      </c>
      <c r="Z91" s="44" t="s">
        <v>97</v>
      </c>
      <c r="AA91" s="91" t="s">
        <v>142</v>
      </c>
    </row>
    <row r="92" spans="1:27" x14ac:dyDescent="0.2">
      <c r="A92" s="96" t="s">
        <v>365</v>
      </c>
      <c r="B92" s="44" t="s">
        <v>362</v>
      </c>
      <c r="C92" s="91">
        <v>55642093</v>
      </c>
      <c r="D92" s="139">
        <v>0</v>
      </c>
      <c r="E92" s="44" t="s">
        <v>99</v>
      </c>
      <c r="F92" s="122">
        <v>2.38</v>
      </c>
      <c r="G92" s="123">
        <v>1.93</v>
      </c>
      <c r="H92" s="44" t="s">
        <v>209</v>
      </c>
      <c r="I92" s="93" t="s">
        <v>129</v>
      </c>
      <c r="J92" s="44" t="s">
        <v>182</v>
      </c>
      <c r="K92" s="44" t="s">
        <v>363</v>
      </c>
      <c r="L92" s="93" t="s">
        <v>364</v>
      </c>
      <c r="M92" s="124">
        <v>2000</v>
      </c>
      <c r="N92" s="44" t="s">
        <v>133</v>
      </c>
      <c r="O92" s="92" t="s">
        <v>102</v>
      </c>
      <c r="P92" s="110">
        <v>103.78</v>
      </c>
      <c r="Q92" s="44" t="s">
        <v>134</v>
      </c>
      <c r="R92" s="92" t="s">
        <v>135</v>
      </c>
      <c r="S92" s="125">
        <v>2.767897812567875E-3</v>
      </c>
      <c r="T92" s="44" t="s">
        <v>136</v>
      </c>
      <c r="U92" s="92" t="s">
        <v>137</v>
      </c>
      <c r="V92" s="44" t="s">
        <v>138</v>
      </c>
      <c r="W92" s="44" t="s">
        <v>139</v>
      </c>
      <c r="X92" s="92" t="s">
        <v>140</v>
      </c>
      <c r="Y92" s="96" t="s">
        <v>141</v>
      </c>
      <c r="Z92" s="44" t="s">
        <v>97</v>
      </c>
      <c r="AA92" s="91" t="s">
        <v>142</v>
      </c>
    </row>
    <row r="93" spans="1:27" x14ac:dyDescent="0.2">
      <c r="A93" s="96" t="s">
        <v>366</v>
      </c>
      <c r="B93" s="44" t="s">
        <v>362</v>
      </c>
      <c r="C93" s="91">
        <v>83839236</v>
      </c>
      <c r="D93" s="139">
        <v>0</v>
      </c>
      <c r="E93" s="44" t="s">
        <v>100</v>
      </c>
      <c r="F93" s="122">
        <v>1.58</v>
      </c>
      <c r="G93" s="123">
        <v>4.5199999999999996</v>
      </c>
      <c r="H93" s="44" t="s">
        <v>209</v>
      </c>
      <c r="I93" s="93" t="s">
        <v>129</v>
      </c>
      <c r="J93" s="44" t="s">
        <v>182</v>
      </c>
      <c r="K93" s="44" t="s">
        <v>363</v>
      </c>
      <c r="L93" s="93" t="s">
        <v>364</v>
      </c>
      <c r="M93" s="124">
        <v>80000000</v>
      </c>
      <c r="N93" s="44" t="s">
        <v>133</v>
      </c>
      <c r="O93" s="92" t="s">
        <v>102</v>
      </c>
      <c r="P93" s="110">
        <v>102.7</v>
      </c>
      <c r="Q93" s="44" t="s">
        <v>134</v>
      </c>
      <c r="R93" s="92" t="s">
        <v>135</v>
      </c>
      <c r="S93" s="125">
        <v>4.1705555168775168E-3</v>
      </c>
      <c r="T93" s="44" t="s">
        <v>136</v>
      </c>
      <c r="U93" s="92" t="s">
        <v>177</v>
      </c>
      <c r="V93" s="44" t="s">
        <v>138</v>
      </c>
      <c r="W93" s="44" t="s">
        <v>178</v>
      </c>
      <c r="X93" s="92" t="s">
        <v>179</v>
      </c>
      <c r="Y93" s="96" t="s">
        <v>141</v>
      </c>
      <c r="Z93" s="44" t="s">
        <v>97</v>
      </c>
      <c r="AA93" s="91" t="s">
        <v>142</v>
      </c>
    </row>
    <row r="94" spans="1:27" x14ac:dyDescent="0.2">
      <c r="A94" s="97" t="s">
        <v>367</v>
      </c>
      <c r="B94" s="41" t="s">
        <v>362</v>
      </c>
      <c r="C94" s="94">
        <v>27039261</v>
      </c>
      <c r="D94" s="140">
        <v>0</v>
      </c>
      <c r="E94" s="41" t="s">
        <v>99</v>
      </c>
      <c r="F94" s="126">
        <v>0.66</v>
      </c>
      <c r="G94" s="127">
        <v>2.35</v>
      </c>
      <c r="H94" s="41" t="s">
        <v>209</v>
      </c>
      <c r="I94" s="95" t="s">
        <v>129</v>
      </c>
      <c r="J94" s="41" t="s">
        <v>182</v>
      </c>
      <c r="K94" s="41" t="s">
        <v>363</v>
      </c>
      <c r="L94" s="95" t="s">
        <v>364</v>
      </c>
      <c r="M94" s="128">
        <v>1000</v>
      </c>
      <c r="N94" s="41" t="s">
        <v>133</v>
      </c>
      <c r="O94" s="42" t="s">
        <v>102</v>
      </c>
      <c r="P94" s="52">
        <v>101.22</v>
      </c>
      <c r="Q94" s="41" t="s">
        <v>134</v>
      </c>
      <c r="R94" s="42" t="s">
        <v>135</v>
      </c>
      <c r="S94" s="129">
        <v>1.3450592409482486E-3</v>
      </c>
      <c r="T94" s="41" t="s">
        <v>136</v>
      </c>
      <c r="U94" s="42" t="s">
        <v>137</v>
      </c>
      <c r="V94" s="41" t="s">
        <v>138</v>
      </c>
      <c r="W94" s="41" t="s">
        <v>139</v>
      </c>
      <c r="X94" s="42" t="s">
        <v>140</v>
      </c>
      <c r="Y94" s="97" t="s">
        <v>141</v>
      </c>
      <c r="Z94" s="41" t="s">
        <v>97</v>
      </c>
      <c r="AA94" s="94" t="s">
        <v>142</v>
      </c>
    </row>
    <row r="95" spans="1:27" x14ac:dyDescent="0.2">
      <c r="A95" s="96" t="s">
        <v>368</v>
      </c>
      <c r="B95" s="44" t="s">
        <v>362</v>
      </c>
      <c r="C95" s="91">
        <v>397761692</v>
      </c>
      <c r="D95" s="139">
        <v>0.02</v>
      </c>
      <c r="E95" s="44" t="s">
        <v>100</v>
      </c>
      <c r="F95" s="122">
        <v>2.75</v>
      </c>
      <c r="G95" s="123">
        <v>4.5</v>
      </c>
      <c r="H95" s="44" t="s">
        <v>209</v>
      </c>
      <c r="I95" s="93" t="s">
        <v>129</v>
      </c>
      <c r="J95" s="44" t="s">
        <v>182</v>
      </c>
      <c r="K95" s="44" t="s">
        <v>363</v>
      </c>
      <c r="L95" s="93" t="s">
        <v>364</v>
      </c>
      <c r="M95" s="124">
        <v>380000000</v>
      </c>
      <c r="N95" s="44" t="s">
        <v>133</v>
      </c>
      <c r="O95" s="92" t="s">
        <v>102</v>
      </c>
      <c r="P95" s="110">
        <v>102.03</v>
      </c>
      <c r="Q95" s="44" t="s">
        <v>134</v>
      </c>
      <c r="R95" s="92" t="s">
        <v>135</v>
      </c>
      <c r="S95" s="125">
        <v>1.9786525952754812E-2</v>
      </c>
      <c r="T95" s="44" t="s">
        <v>136</v>
      </c>
      <c r="U95" s="92" t="s">
        <v>177</v>
      </c>
      <c r="V95" s="44" t="s">
        <v>138</v>
      </c>
      <c r="W95" s="44" t="s">
        <v>178</v>
      </c>
      <c r="X95" s="92" t="s">
        <v>179</v>
      </c>
      <c r="Y95" s="96" t="s">
        <v>141</v>
      </c>
      <c r="Z95" s="44" t="s">
        <v>97</v>
      </c>
      <c r="AA95" s="91" t="s">
        <v>142</v>
      </c>
    </row>
    <row r="96" spans="1:27" x14ac:dyDescent="0.2">
      <c r="A96" s="97" t="s">
        <v>369</v>
      </c>
      <c r="B96" s="41" t="s">
        <v>362</v>
      </c>
      <c r="C96" s="94">
        <v>107332980</v>
      </c>
      <c r="D96" s="140">
        <v>0.01</v>
      </c>
      <c r="E96" s="41" t="s">
        <v>99</v>
      </c>
      <c r="F96" s="126">
        <v>3.05</v>
      </c>
      <c r="G96" s="127">
        <v>1.9</v>
      </c>
      <c r="H96" s="41" t="s">
        <v>209</v>
      </c>
      <c r="I96" s="95" t="s">
        <v>129</v>
      </c>
      <c r="J96" s="41" t="s">
        <v>182</v>
      </c>
      <c r="K96" s="41" t="s">
        <v>363</v>
      </c>
      <c r="L96" s="95" t="s">
        <v>364</v>
      </c>
      <c r="M96" s="128">
        <v>4000</v>
      </c>
      <c r="N96" s="41" t="s">
        <v>133</v>
      </c>
      <c r="O96" s="42" t="s">
        <v>102</v>
      </c>
      <c r="P96" s="52">
        <v>101.09</v>
      </c>
      <c r="Q96" s="41" t="s">
        <v>134</v>
      </c>
      <c r="R96" s="42" t="s">
        <v>135</v>
      </c>
      <c r="S96" s="129">
        <v>5.3392441682305423E-3</v>
      </c>
      <c r="T96" s="41" t="s">
        <v>136</v>
      </c>
      <c r="U96" s="42" t="s">
        <v>137</v>
      </c>
      <c r="V96" s="41" t="s">
        <v>138</v>
      </c>
      <c r="W96" s="41" t="s">
        <v>139</v>
      </c>
      <c r="X96" s="42" t="s">
        <v>140</v>
      </c>
      <c r="Y96" s="97" t="s">
        <v>141</v>
      </c>
      <c r="Z96" s="41" t="s">
        <v>97</v>
      </c>
      <c r="AA96" s="94" t="s">
        <v>142</v>
      </c>
    </row>
    <row r="97" spans="1:27" x14ac:dyDescent="0.2">
      <c r="A97" s="96" t="s">
        <v>370</v>
      </c>
      <c r="B97" s="44" t="s">
        <v>362</v>
      </c>
      <c r="C97" s="91">
        <v>53660938</v>
      </c>
      <c r="D97" s="139">
        <v>0</v>
      </c>
      <c r="E97" s="44" t="s">
        <v>99</v>
      </c>
      <c r="F97" s="122">
        <v>3.52</v>
      </c>
      <c r="G97" s="123">
        <v>1.95</v>
      </c>
      <c r="H97" s="44" t="s">
        <v>209</v>
      </c>
      <c r="I97" s="93" t="s">
        <v>129</v>
      </c>
      <c r="J97" s="44" t="s">
        <v>182</v>
      </c>
      <c r="K97" s="44" t="s">
        <v>363</v>
      </c>
      <c r="L97" s="93" t="s">
        <v>364</v>
      </c>
      <c r="M97" s="124">
        <v>2000</v>
      </c>
      <c r="N97" s="44" t="s">
        <v>133</v>
      </c>
      <c r="O97" s="92" t="s">
        <v>102</v>
      </c>
      <c r="P97" s="110">
        <v>101.08</v>
      </c>
      <c r="Q97" s="44" t="s">
        <v>134</v>
      </c>
      <c r="R97" s="92" t="s">
        <v>135</v>
      </c>
      <c r="S97" s="125">
        <v>2.6693459016816704E-3</v>
      </c>
      <c r="T97" s="44" t="s">
        <v>136</v>
      </c>
      <c r="U97" s="92" t="s">
        <v>137</v>
      </c>
      <c r="V97" s="44" t="s">
        <v>138</v>
      </c>
      <c r="W97" s="44" t="s">
        <v>139</v>
      </c>
      <c r="X97" s="92" t="s">
        <v>140</v>
      </c>
      <c r="Y97" s="96" t="s">
        <v>141</v>
      </c>
      <c r="Z97" s="44" t="s">
        <v>97</v>
      </c>
      <c r="AA97" s="91" t="s">
        <v>142</v>
      </c>
    </row>
    <row r="98" spans="1:27" x14ac:dyDescent="0.2">
      <c r="A98" s="96" t="s">
        <v>371</v>
      </c>
      <c r="B98" s="44" t="s">
        <v>362</v>
      </c>
      <c r="C98" s="91">
        <v>27163564</v>
      </c>
      <c r="D98" s="139">
        <v>0</v>
      </c>
      <c r="E98" s="44" t="s">
        <v>99</v>
      </c>
      <c r="F98" s="122">
        <v>3.95</v>
      </c>
      <c r="G98" s="123">
        <v>1.94</v>
      </c>
      <c r="H98" s="44" t="s">
        <v>209</v>
      </c>
      <c r="I98" s="93" t="s">
        <v>129</v>
      </c>
      <c r="J98" s="44" t="s">
        <v>182</v>
      </c>
      <c r="K98" s="44" t="s">
        <v>363</v>
      </c>
      <c r="L98" s="93" t="s">
        <v>364</v>
      </c>
      <c r="M98" s="124">
        <v>1000</v>
      </c>
      <c r="N98" s="44" t="s">
        <v>133</v>
      </c>
      <c r="O98" s="92" t="s">
        <v>102</v>
      </c>
      <c r="P98" s="110">
        <v>102.25</v>
      </c>
      <c r="Q98" s="44" t="s">
        <v>134</v>
      </c>
      <c r="R98" s="92" t="s">
        <v>135</v>
      </c>
      <c r="S98" s="125">
        <v>1.3512426532400117E-3</v>
      </c>
      <c r="T98" s="44" t="s">
        <v>136</v>
      </c>
      <c r="U98" s="92" t="s">
        <v>137</v>
      </c>
      <c r="V98" s="44" t="s">
        <v>138</v>
      </c>
      <c r="W98" s="44" t="s">
        <v>139</v>
      </c>
      <c r="X98" s="92" t="s">
        <v>140</v>
      </c>
      <c r="Y98" s="96" t="s">
        <v>141</v>
      </c>
      <c r="Z98" s="44" t="s">
        <v>97</v>
      </c>
      <c r="AA98" s="91" t="s">
        <v>142</v>
      </c>
    </row>
    <row r="99" spans="1:27" x14ac:dyDescent="0.2">
      <c r="A99" s="97" t="s">
        <v>372</v>
      </c>
      <c r="B99" s="41" t="s">
        <v>362</v>
      </c>
      <c r="C99" s="94">
        <v>27152413</v>
      </c>
      <c r="D99" s="140">
        <v>0</v>
      </c>
      <c r="E99" s="41" t="s">
        <v>99</v>
      </c>
      <c r="F99" s="126">
        <v>2.4</v>
      </c>
      <c r="G99" s="127">
        <v>1.95</v>
      </c>
      <c r="H99" s="41" t="s">
        <v>209</v>
      </c>
      <c r="I99" s="95" t="s">
        <v>129</v>
      </c>
      <c r="J99" s="41" t="s">
        <v>182</v>
      </c>
      <c r="K99" s="41" t="s">
        <v>363</v>
      </c>
      <c r="L99" s="95" t="s">
        <v>364</v>
      </c>
      <c r="M99" s="128">
        <v>1000</v>
      </c>
      <c r="N99" s="41" t="s">
        <v>133</v>
      </c>
      <c r="O99" s="42" t="s">
        <v>102</v>
      </c>
      <c r="P99" s="52">
        <v>101.71</v>
      </c>
      <c r="Q99" s="41" t="s">
        <v>134</v>
      </c>
      <c r="R99" s="42" t="s">
        <v>135</v>
      </c>
      <c r="S99" s="129">
        <v>1.3506879503731022E-3</v>
      </c>
      <c r="T99" s="41" t="s">
        <v>136</v>
      </c>
      <c r="U99" s="42" t="s">
        <v>137</v>
      </c>
      <c r="V99" s="41" t="s">
        <v>138</v>
      </c>
      <c r="W99" s="41" t="s">
        <v>139</v>
      </c>
      <c r="X99" s="42" t="s">
        <v>140</v>
      </c>
      <c r="Y99" s="97" t="s">
        <v>141</v>
      </c>
      <c r="Z99" s="41" t="s">
        <v>97</v>
      </c>
      <c r="AA99" s="94" t="s">
        <v>142</v>
      </c>
    </row>
    <row r="100" spans="1:27" x14ac:dyDescent="0.2">
      <c r="A100" s="96" t="s">
        <v>373</v>
      </c>
      <c r="B100" s="44" t="s">
        <v>362</v>
      </c>
      <c r="C100" s="91">
        <v>10280718</v>
      </c>
      <c r="D100" s="139">
        <v>0</v>
      </c>
      <c r="E100" s="44" t="s">
        <v>100</v>
      </c>
      <c r="F100" s="122">
        <v>2.29</v>
      </c>
      <c r="G100" s="123">
        <v>4.51</v>
      </c>
      <c r="H100" s="44" t="s">
        <v>209</v>
      </c>
      <c r="I100" s="93" t="s">
        <v>129</v>
      </c>
      <c r="J100" s="44" t="s">
        <v>182</v>
      </c>
      <c r="K100" s="44" t="s">
        <v>363</v>
      </c>
      <c r="L100" s="93" t="s">
        <v>364</v>
      </c>
      <c r="M100" s="124">
        <v>10000000</v>
      </c>
      <c r="N100" s="44" t="s">
        <v>133</v>
      </c>
      <c r="O100" s="92" t="s">
        <v>102</v>
      </c>
      <c r="P100" s="110">
        <v>102.35</v>
      </c>
      <c r="Q100" s="44" t="s">
        <v>134</v>
      </c>
      <c r="R100" s="92" t="s">
        <v>135</v>
      </c>
      <c r="S100" s="125">
        <v>5.1141097197452974E-4</v>
      </c>
      <c r="T100" s="44" t="s">
        <v>136</v>
      </c>
      <c r="U100" s="92" t="s">
        <v>177</v>
      </c>
      <c r="V100" s="44" t="s">
        <v>138</v>
      </c>
      <c r="W100" s="44" t="s">
        <v>178</v>
      </c>
      <c r="X100" s="92" t="s">
        <v>179</v>
      </c>
      <c r="Y100" s="96" t="s">
        <v>141</v>
      </c>
      <c r="Z100" s="44" t="s">
        <v>97</v>
      </c>
      <c r="AA100" s="91" t="s">
        <v>142</v>
      </c>
    </row>
    <row r="101" spans="1:27" x14ac:dyDescent="0.2">
      <c r="A101" s="96" t="s">
        <v>374</v>
      </c>
      <c r="B101" s="44" t="s">
        <v>362</v>
      </c>
      <c r="C101" s="91">
        <v>27280493</v>
      </c>
      <c r="D101" s="139">
        <v>0</v>
      </c>
      <c r="E101" s="44" t="s">
        <v>99</v>
      </c>
      <c r="F101" s="122">
        <v>1.06</v>
      </c>
      <c r="G101" s="123">
        <v>1.97</v>
      </c>
      <c r="H101" s="44" t="s">
        <v>209</v>
      </c>
      <c r="I101" s="93" t="s">
        <v>129</v>
      </c>
      <c r="J101" s="44" t="s">
        <v>182</v>
      </c>
      <c r="K101" s="44" t="s">
        <v>363</v>
      </c>
      <c r="L101" s="93" t="s">
        <v>364</v>
      </c>
      <c r="M101" s="124">
        <v>1000</v>
      </c>
      <c r="N101" s="44" t="s">
        <v>133</v>
      </c>
      <c r="O101" s="92" t="s">
        <v>102</v>
      </c>
      <c r="P101" s="110">
        <v>101.93</v>
      </c>
      <c r="Q101" s="44" t="s">
        <v>134</v>
      </c>
      <c r="R101" s="92" t="s">
        <v>135</v>
      </c>
      <c r="S101" s="125">
        <v>1.3570592483009801E-3</v>
      </c>
      <c r="T101" s="44" t="s">
        <v>136</v>
      </c>
      <c r="U101" s="92" t="s">
        <v>137</v>
      </c>
      <c r="V101" s="44" t="s">
        <v>138</v>
      </c>
      <c r="W101" s="44" t="s">
        <v>139</v>
      </c>
      <c r="X101" s="92" t="s">
        <v>140</v>
      </c>
      <c r="Y101" s="96" t="s">
        <v>141</v>
      </c>
      <c r="Z101" s="44" t="s">
        <v>97</v>
      </c>
      <c r="AA101" s="91" t="s">
        <v>142</v>
      </c>
    </row>
    <row r="102" spans="1:27" x14ac:dyDescent="0.2">
      <c r="A102" s="97" t="s">
        <v>375</v>
      </c>
      <c r="B102" s="41" t="s">
        <v>376</v>
      </c>
      <c r="C102" s="94">
        <v>43216465</v>
      </c>
      <c r="D102" s="140">
        <v>0</v>
      </c>
      <c r="E102" s="41" t="s">
        <v>99</v>
      </c>
      <c r="F102" s="126">
        <v>6.05</v>
      </c>
      <c r="G102" s="127">
        <v>2.2200000000000002</v>
      </c>
      <c r="H102" s="41" t="s">
        <v>145</v>
      </c>
      <c r="I102" s="95" t="s">
        <v>129</v>
      </c>
      <c r="J102" s="41" t="s">
        <v>263</v>
      </c>
      <c r="K102" s="41" t="s">
        <v>377</v>
      </c>
      <c r="L102" s="95" t="s">
        <v>378</v>
      </c>
      <c r="M102" s="128">
        <v>1500</v>
      </c>
      <c r="N102" s="41" t="s">
        <v>133</v>
      </c>
      <c r="O102" s="42" t="s">
        <v>102</v>
      </c>
      <c r="P102" s="52">
        <v>108.42</v>
      </c>
      <c r="Q102" s="41" t="s">
        <v>134</v>
      </c>
      <c r="R102" s="42" t="s">
        <v>135</v>
      </c>
      <c r="S102" s="129">
        <v>2.1497889905114842E-3</v>
      </c>
      <c r="T102" s="41" t="s">
        <v>160</v>
      </c>
      <c r="U102" s="42" t="s">
        <v>161</v>
      </c>
      <c r="V102" s="41" t="s">
        <v>162</v>
      </c>
      <c r="W102" s="41" t="s">
        <v>163</v>
      </c>
      <c r="X102" s="42" t="s">
        <v>140</v>
      </c>
      <c r="Y102" s="97" t="s">
        <v>164</v>
      </c>
      <c r="Z102" s="41" t="s">
        <v>97</v>
      </c>
      <c r="AA102" s="94" t="s">
        <v>165</v>
      </c>
    </row>
    <row r="103" spans="1:27" x14ac:dyDescent="0.2">
      <c r="A103" s="97" t="s">
        <v>379</v>
      </c>
      <c r="B103" s="41" t="s">
        <v>376</v>
      </c>
      <c r="C103" s="94">
        <v>122346623</v>
      </c>
      <c r="D103" s="140">
        <v>0.01</v>
      </c>
      <c r="E103" s="41" t="s">
        <v>100</v>
      </c>
      <c r="F103" s="126">
        <v>4.21</v>
      </c>
      <c r="G103" s="127">
        <v>4.7699999999999996</v>
      </c>
      <c r="H103" s="41" t="s">
        <v>145</v>
      </c>
      <c r="I103" s="95" t="s">
        <v>129</v>
      </c>
      <c r="J103" s="41" t="s">
        <v>263</v>
      </c>
      <c r="K103" s="41" t="s">
        <v>377</v>
      </c>
      <c r="L103" s="95" t="s">
        <v>378</v>
      </c>
      <c r="M103" s="128">
        <v>120000000</v>
      </c>
      <c r="N103" s="41" t="s">
        <v>133</v>
      </c>
      <c r="O103" s="42" t="s">
        <v>102</v>
      </c>
      <c r="P103" s="52">
        <v>100.51</v>
      </c>
      <c r="Q103" s="41" t="s">
        <v>134</v>
      </c>
      <c r="R103" s="42" t="s">
        <v>135</v>
      </c>
      <c r="S103" s="129">
        <v>6.0860929544251053E-3</v>
      </c>
      <c r="T103" s="41" t="s">
        <v>136</v>
      </c>
      <c r="U103" s="42" t="s">
        <v>177</v>
      </c>
      <c r="V103" s="41" t="s">
        <v>138</v>
      </c>
      <c r="W103" s="41" t="s">
        <v>178</v>
      </c>
      <c r="X103" s="42" t="s">
        <v>179</v>
      </c>
      <c r="Y103" s="97" t="s">
        <v>141</v>
      </c>
      <c r="Z103" s="41" t="s">
        <v>97</v>
      </c>
      <c r="AA103" s="94" t="s">
        <v>142</v>
      </c>
    </row>
    <row r="104" spans="1:27" x14ac:dyDescent="0.2">
      <c r="A104" s="96" t="s">
        <v>380</v>
      </c>
      <c r="B104" s="44" t="s">
        <v>381</v>
      </c>
      <c r="C104" s="91">
        <v>231552.87</v>
      </c>
      <c r="D104" s="139">
        <v>0</v>
      </c>
      <c r="E104" s="44" t="s">
        <v>100</v>
      </c>
      <c r="F104" s="122">
        <v>0.01</v>
      </c>
      <c r="G104" s="123">
        <v>3.72</v>
      </c>
      <c r="H104" s="44" t="s">
        <v>382</v>
      </c>
      <c r="I104" s="93" t="s">
        <v>383</v>
      </c>
      <c r="J104" s="44" t="s">
        <v>182</v>
      </c>
      <c r="K104" s="44" t="s">
        <v>384</v>
      </c>
      <c r="L104" s="93" t="s">
        <v>184</v>
      </c>
      <c r="M104" s="124">
        <v>152.04</v>
      </c>
      <c r="N104" s="44" t="s">
        <v>133</v>
      </c>
      <c r="O104" s="92" t="s">
        <v>102</v>
      </c>
      <c r="P104" s="110">
        <v>0</v>
      </c>
      <c r="Q104" s="44" t="s">
        <v>134</v>
      </c>
      <c r="R104" s="92" t="s">
        <v>385</v>
      </c>
      <c r="S104" s="125">
        <v>1.1518522219880043E-5</v>
      </c>
      <c r="T104" s="44" t="s">
        <v>136</v>
      </c>
      <c r="U104" s="92" t="s">
        <v>386</v>
      </c>
      <c r="V104" s="44" t="s">
        <v>387</v>
      </c>
      <c r="W104" s="44" t="s">
        <v>178</v>
      </c>
      <c r="X104" s="92" t="s">
        <v>388</v>
      </c>
      <c r="Y104" s="96" t="s">
        <v>389</v>
      </c>
      <c r="Z104" s="44" t="s">
        <v>97</v>
      </c>
      <c r="AA104" s="91" t="s">
        <v>388</v>
      </c>
    </row>
    <row r="105" spans="1:27" x14ac:dyDescent="0.2">
      <c r="A105" s="96" t="s">
        <v>380</v>
      </c>
      <c r="B105" s="44" t="s">
        <v>381</v>
      </c>
      <c r="C105" s="91">
        <v>46508.4</v>
      </c>
      <c r="D105" s="139">
        <v>0</v>
      </c>
      <c r="E105" s="44" t="s">
        <v>100</v>
      </c>
      <c r="F105" s="122">
        <v>0.01</v>
      </c>
      <c r="G105" s="123">
        <v>3.78</v>
      </c>
      <c r="H105" s="44" t="s">
        <v>382</v>
      </c>
      <c r="I105" s="93" t="s">
        <v>383</v>
      </c>
      <c r="J105" s="44" t="s">
        <v>182</v>
      </c>
      <c r="K105" s="44" t="s">
        <v>384</v>
      </c>
      <c r="L105" s="93" t="s">
        <v>184</v>
      </c>
      <c r="M105" s="124">
        <v>30.54</v>
      </c>
      <c r="N105" s="44" t="s">
        <v>133</v>
      </c>
      <c r="O105" s="92" t="s">
        <v>102</v>
      </c>
      <c r="P105" s="110">
        <v>0</v>
      </c>
      <c r="Q105" s="44" t="s">
        <v>134</v>
      </c>
      <c r="R105" s="92" t="s">
        <v>385</v>
      </c>
      <c r="S105" s="125">
        <v>2.3135453653072617E-6</v>
      </c>
      <c r="T105" s="44" t="s">
        <v>136</v>
      </c>
      <c r="U105" s="92" t="s">
        <v>386</v>
      </c>
      <c r="V105" s="44" t="s">
        <v>387</v>
      </c>
      <c r="W105" s="44" t="s">
        <v>178</v>
      </c>
      <c r="X105" s="92" t="s">
        <v>388</v>
      </c>
      <c r="Y105" s="96" t="s">
        <v>389</v>
      </c>
      <c r="Z105" s="44" t="s">
        <v>97</v>
      </c>
      <c r="AA105" s="91" t="s">
        <v>388</v>
      </c>
    </row>
    <row r="106" spans="1:27" x14ac:dyDescent="0.2">
      <c r="A106" s="97" t="s">
        <v>380</v>
      </c>
      <c r="B106" s="41" t="s">
        <v>381</v>
      </c>
      <c r="C106" s="94">
        <v>57855.56</v>
      </c>
      <c r="D106" s="140">
        <v>0</v>
      </c>
      <c r="E106" s="41" t="s">
        <v>100</v>
      </c>
      <c r="F106" s="126">
        <v>0.02</v>
      </c>
      <c r="G106" s="127">
        <v>3.72</v>
      </c>
      <c r="H106" s="41" t="s">
        <v>382</v>
      </c>
      <c r="I106" s="95" t="s">
        <v>383</v>
      </c>
      <c r="J106" s="41" t="s">
        <v>182</v>
      </c>
      <c r="K106" s="41" t="s">
        <v>384</v>
      </c>
      <c r="L106" s="95" t="s">
        <v>184</v>
      </c>
      <c r="M106" s="128">
        <v>37.99</v>
      </c>
      <c r="N106" s="41" t="s">
        <v>133</v>
      </c>
      <c r="O106" s="42" t="s">
        <v>102</v>
      </c>
      <c r="P106" s="52">
        <v>0</v>
      </c>
      <c r="Q106" s="41" t="s">
        <v>134</v>
      </c>
      <c r="R106" s="42" t="s">
        <v>385</v>
      </c>
      <c r="S106" s="129">
        <v>2.8780058739984018E-6</v>
      </c>
      <c r="T106" s="41" t="s">
        <v>136</v>
      </c>
      <c r="U106" s="42" t="s">
        <v>386</v>
      </c>
      <c r="V106" s="41" t="s">
        <v>387</v>
      </c>
      <c r="W106" s="41" t="s">
        <v>178</v>
      </c>
      <c r="X106" s="42" t="s">
        <v>388</v>
      </c>
      <c r="Y106" s="97" t="s">
        <v>389</v>
      </c>
      <c r="Z106" s="41" t="s">
        <v>97</v>
      </c>
      <c r="AA106" s="94" t="s">
        <v>388</v>
      </c>
    </row>
    <row r="107" spans="1:27" x14ac:dyDescent="0.2">
      <c r="A107" s="87" t="s">
        <v>380</v>
      </c>
      <c r="B107" s="87" t="s">
        <v>381</v>
      </c>
      <c r="C107" s="88">
        <v>231646.19</v>
      </c>
      <c r="D107" s="138">
        <v>0</v>
      </c>
      <c r="E107" s="87" t="s">
        <v>100</v>
      </c>
      <c r="F107" s="118">
        <v>0.04</v>
      </c>
      <c r="G107" s="119">
        <v>3.84</v>
      </c>
      <c r="H107" s="87" t="s">
        <v>382</v>
      </c>
      <c r="I107" s="90" t="s">
        <v>383</v>
      </c>
      <c r="J107" s="87" t="s">
        <v>182</v>
      </c>
      <c r="K107" s="87" t="s">
        <v>384</v>
      </c>
      <c r="L107" s="90" t="s">
        <v>184</v>
      </c>
      <c r="M107" s="120">
        <v>152.1</v>
      </c>
      <c r="N107" s="87" t="s">
        <v>133</v>
      </c>
      <c r="O107" s="89" t="s">
        <v>102</v>
      </c>
      <c r="P107" s="130">
        <v>0</v>
      </c>
      <c r="Q107" s="87" t="s">
        <v>134</v>
      </c>
      <c r="R107" s="89" t="s">
        <v>385</v>
      </c>
      <c r="S107" s="121">
        <v>1.1523164164091934E-5</v>
      </c>
      <c r="T107" s="87" t="s">
        <v>136</v>
      </c>
      <c r="U107" s="89" t="s">
        <v>386</v>
      </c>
      <c r="V107" s="87" t="s">
        <v>387</v>
      </c>
      <c r="W107" s="87" t="s">
        <v>178</v>
      </c>
      <c r="X107" s="89" t="s">
        <v>388</v>
      </c>
      <c r="Y107" s="87" t="s">
        <v>389</v>
      </c>
      <c r="Z107" s="87" t="s">
        <v>97</v>
      </c>
      <c r="AA107" s="88" t="s">
        <v>388</v>
      </c>
    </row>
    <row r="108" spans="1:27" x14ac:dyDescent="0.2">
      <c r="A108" s="44" t="s">
        <v>380</v>
      </c>
      <c r="B108" s="44" t="s">
        <v>381</v>
      </c>
      <c r="C108" s="91">
        <v>240212.54</v>
      </c>
      <c r="D108" s="139">
        <v>0</v>
      </c>
      <c r="E108" s="44" t="s">
        <v>100</v>
      </c>
      <c r="F108" s="122">
        <v>0.11</v>
      </c>
      <c r="G108" s="123">
        <v>3.9</v>
      </c>
      <c r="H108" s="44" t="s">
        <v>382</v>
      </c>
      <c r="I108" s="93" t="s">
        <v>383</v>
      </c>
      <c r="J108" s="44" t="s">
        <v>182</v>
      </c>
      <c r="K108" s="44" t="s">
        <v>384</v>
      </c>
      <c r="L108" s="93" t="s">
        <v>184</v>
      </c>
      <c r="M108" s="124">
        <v>157.72999999999999</v>
      </c>
      <c r="N108" s="44" t="s">
        <v>133</v>
      </c>
      <c r="O108" s="92" t="s">
        <v>102</v>
      </c>
      <c r="P108" s="110">
        <v>0</v>
      </c>
      <c r="Q108" s="44" t="s">
        <v>134</v>
      </c>
      <c r="R108" s="92" t="s">
        <v>385</v>
      </c>
      <c r="S108" s="125">
        <v>1.1949294711391254E-5</v>
      </c>
      <c r="T108" s="44" t="s">
        <v>136</v>
      </c>
      <c r="U108" s="92" t="s">
        <v>386</v>
      </c>
      <c r="V108" s="44" t="s">
        <v>387</v>
      </c>
      <c r="W108" s="44" t="s">
        <v>178</v>
      </c>
      <c r="X108" s="92" t="s">
        <v>388</v>
      </c>
      <c r="Y108" s="44" t="s">
        <v>389</v>
      </c>
      <c r="Z108" s="44" t="s">
        <v>97</v>
      </c>
      <c r="AA108" s="91" t="s">
        <v>388</v>
      </c>
    </row>
    <row r="109" spans="1:27" x14ac:dyDescent="0.2">
      <c r="A109" s="41" t="s">
        <v>380</v>
      </c>
      <c r="B109" s="41" t="s">
        <v>381</v>
      </c>
      <c r="C109" s="94">
        <v>57594.27</v>
      </c>
      <c r="D109" s="140">
        <v>0</v>
      </c>
      <c r="E109" s="41" t="s">
        <v>100</v>
      </c>
      <c r="F109" s="126">
        <v>0.13</v>
      </c>
      <c r="G109" s="127">
        <v>3.96</v>
      </c>
      <c r="H109" s="41" t="s">
        <v>382</v>
      </c>
      <c r="I109" s="95" t="s">
        <v>383</v>
      </c>
      <c r="J109" s="41" t="s">
        <v>182</v>
      </c>
      <c r="K109" s="41" t="s">
        <v>384</v>
      </c>
      <c r="L109" s="95" t="s">
        <v>184</v>
      </c>
      <c r="M109" s="128">
        <v>37.82</v>
      </c>
      <c r="N109" s="41" t="s">
        <v>133</v>
      </c>
      <c r="O109" s="42" t="s">
        <v>102</v>
      </c>
      <c r="P109" s="52">
        <v>0</v>
      </c>
      <c r="Q109" s="41" t="s">
        <v>134</v>
      </c>
      <c r="R109" s="42" t="s">
        <v>385</v>
      </c>
      <c r="S109" s="129">
        <v>2.8650084262255305E-6</v>
      </c>
      <c r="T109" s="41" t="s">
        <v>136</v>
      </c>
      <c r="U109" s="42" t="s">
        <v>386</v>
      </c>
      <c r="V109" s="41" t="s">
        <v>387</v>
      </c>
      <c r="W109" s="41" t="s">
        <v>178</v>
      </c>
      <c r="X109" s="42" t="s">
        <v>388</v>
      </c>
      <c r="Y109" s="41" t="s">
        <v>389</v>
      </c>
      <c r="Z109" s="41" t="s">
        <v>97</v>
      </c>
      <c r="AA109" s="94" t="s">
        <v>388</v>
      </c>
    </row>
    <row r="110" spans="1:27" x14ac:dyDescent="0.2">
      <c r="A110" s="44" t="s">
        <v>380</v>
      </c>
      <c r="B110" s="44" t="s">
        <v>381</v>
      </c>
      <c r="C110" s="91">
        <v>290546.88</v>
      </c>
      <c r="D110" s="139">
        <v>0</v>
      </c>
      <c r="E110" s="44" t="s">
        <v>100</v>
      </c>
      <c r="F110" s="122">
        <v>0.22</v>
      </c>
      <c r="G110" s="123">
        <v>3.96</v>
      </c>
      <c r="H110" s="44" t="s">
        <v>382</v>
      </c>
      <c r="I110" s="93" t="s">
        <v>383</v>
      </c>
      <c r="J110" s="44" t="s">
        <v>182</v>
      </c>
      <c r="K110" s="44" t="s">
        <v>384</v>
      </c>
      <c r="L110" s="93" t="s">
        <v>184</v>
      </c>
      <c r="M110" s="124">
        <v>190.78</v>
      </c>
      <c r="N110" s="44" t="s">
        <v>133</v>
      </c>
      <c r="O110" s="92" t="s">
        <v>102</v>
      </c>
      <c r="P110" s="110">
        <v>0</v>
      </c>
      <c r="Q110" s="44" t="s">
        <v>134</v>
      </c>
      <c r="R110" s="92" t="s">
        <v>385</v>
      </c>
      <c r="S110" s="125">
        <v>1.4453159819232886E-5</v>
      </c>
      <c r="T110" s="44" t="s">
        <v>136</v>
      </c>
      <c r="U110" s="92" t="s">
        <v>386</v>
      </c>
      <c r="V110" s="44" t="s">
        <v>387</v>
      </c>
      <c r="W110" s="44" t="s">
        <v>178</v>
      </c>
      <c r="X110" s="92" t="s">
        <v>388</v>
      </c>
      <c r="Y110" s="44" t="s">
        <v>389</v>
      </c>
      <c r="Z110" s="44" t="s">
        <v>97</v>
      </c>
      <c r="AA110" s="91" t="s">
        <v>388</v>
      </c>
    </row>
    <row r="111" spans="1:27" x14ac:dyDescent="0.2">
      <c r="A111" s="87" t="s">
        <v>380</v>
      </c>
      <c r="B111" s="87" t="s">
        <v>381</v>
      </c>
      <c r="C111" s="88">
        <v>38203.33</v>
      </c>
      <c r="D111" s="138">
        <v>0</v>
      </c>
      <c r="E111" s="87" t="s">
        <v>100</v>
      </c>
      <c r="F111" s="118">
        <v>0.26</v>
      </c>
      <c r="G111" s="119">
        <v>3.96</v>
      </c>
      <c r="H111" s="87" t="s">
        <v>382</v>
      </c>
      <c r="I111" s="90" t="s">
        <v>383</v>
      </c>
      <c r="J111" s="87" t="s">
        <v>182</v>
      </c>
      <c r="K111" s="87" t="s">
        <v>384</v>
      </c>
      <c r="L111" s="90" t="s">
        <v>184</v>
      </c>
      <c r="M111" s="120">
        <v>25.08</v>
      </c>
      <c r="N111" s="87" t="s">
        <v>133</v>
      </c>
      <c r="O111" s="89" t="s">
        <v>102</v>
      </c>
      <c r="P111" s="180">
        <v>0</v>
      </c>
      <c r="Q111" s="87" t="s">
        <v>134</v>
      </c>
      <c r="R111" s="89" t="s">
        <v>385</v>
      </c>
      <c r="S111" s="121">
        <v>1.9004122657808129E-6</v>
      </c>
      <c r="T111" s="87" t="s">
        <v>136</v>
      </c>
      <c r="U111" s="89" t="s">
        <v>386</v>
      </c>
      <c r="V111" s="87" t="s">
        <v>387</v>
      </c>
      <c r="W111" s="87" t="s">
        <v>178</v>
      </c>
      <c r="X111" s="89" t="s">
        <v>388</v>
      </c>
      <c r="Y111" s="87" t="s">
        <v>389</v>
      </c>
      <c r="Z111" s="87" t="s">
        <v>97</v>
      </c>
      <c r="AA111" s="88" t="s">
        <v>388</v>
      </c>
    </row>
    <row r="112" spans="1:27" x14ac:dyDescent="0.2">
      <c r="A112" s="44" t="s">
        <v>380</v>
      </c>
      <c r="B112" s="44" t="s">
        <v>381</v>
      </c>
      <c r="C112" s="91">
        <v>694658.61</v>
      </c>
      <c r="D112" s="139">
        <v>0</v>
      </c>
      <c r="E112" s="44" t="s">
        <v>100</v>
      </c>
      <c r="F112" s="122">
        <v>0.3</v>
      </c>
      <c r="G112" s="123">
        <v>3.96</v>
      </c>
      <c r="H112" s="44" t="s">
        <v>382</v>
      </c>
      <c r="I112" s="93" t="s">
        <v>383</v>
      </c>
      <c r="J112" s="44" t="s">
        <v>182</v>
      </c>
      <c r="K112" s="44" t="s">
        <v>384</v>
      </c>
      <c r="L112" s="93" t="s">
        <v>184</v>
      </c>
      <c r="M112" s="124">
        <v>456.12</v>
      </c>
      <c r="N112" s="44" t="s">
        <v>133</v>
      </c>
      <c r="O112" s="92" t="s">
        <v>102</v>
      </c>
      <c r="P112" s="110">
        <v>0</v>
      </c>
      <c r="Q112" s="44" t="s">
        <v>134</v>
      </c>
      <c r="R112" s="92" t="s">
        <v>385</v>
      </c>
      <c r="S112" s="125">
        <v>3.4555566659640127E-5</v>
      </c>
      <c r="T112" s="44" t="s">
        <v>136</v>
      </c>
      <c r="U112" s="92" t="s">
        <v>386</v>
      </c>
      <c r="V112" s="44" t="s">
        <v>387</v>
      </c>
      <c r="W112" s="44" t="s">
        <v>178</v>
      </c>
      <c r="X112" s="92" t="s">
        <v>388</v>
      </c>
      <c r="Y112" s="44" t="s">
        <v>389</v>
      </c>
      <c r="Z112" s="44" t="s">
        <v>97</v>
      </c>
      <c r="AA112" s="91" t="s">
        <v>388</v>
      </c>
    </row>
    <row r="113" spans="1:27" x14ac:dyDescent="0.2">
      <c r="A113" s="41" t="s">
        <v>380</v>
      </c>
      <c r="B113" s="41" t="s">
        <v>390</v>
      </c>
      <c r="C113" s="94">
        <v>115673.79</v>
      </c>
      <c r="D113" s="140">
        <v>0</v>
      </c>
      <c r="E113" s="41" t="s">
        <v>100</v>
      </c>
      <c r="F113" s="126">
        <v>0.03</v>
      </c>
      <c r="G113" s="127">
        <v>3.72</v>
      </c>
      <c r="H113" s="41" t="s">
        <v>382</v>
      </c>
      <c r="I113" s="95" t="s">
        <v>383</v>
      </c>
      <c r="J113" s="41" t="s">
        <v>182</v>
      </c>
      <c r="K113" s="41" t="s">
        <v>391</v>
      </c>
      <c r="L113" s="95" t="s">
        <v>244</v>
      </c>
      <c r="M113" s="128">
        <v>75.95</v>
      </c>
      <c r="N113" s="41" t="s">
        <v>133</v>
      </c>
      <c r="O113" s="42" t="s">
        <v>102</v>
      </c>
      <c r="P113" s="52">
        <v>0</v>
      </c>
      <c r="Q113" s="41" t="s">
        <v>134</v>
      </c>
      <c r="R113" s="42" t="s">
        <v>385</v>
      </c>
      <c r="S113" s="129">
        <v>5.7541549683222596E-6</v>
      </c>
      <c r="T113" s="41" t="s">
        <v>136</v>
      </c>
      <c r="U113" s="42" t="s">
        <v>386</v>
      </c>
      <c r="V113" s="41" t="s">
        <v>387</v>
      </c>
      <c r="W113" s="41" t="s">
        <v>178</v>
      </c>
      <c r="X113" s="42" t="s">
        <v>388</v>
      </c>
      <c r="Y113" s="41" t="s">
        <v>389</v>
      </c>
      <c r="Z113" s="41" t="s">
        <v>97</v>
      </c>
      <c r="AA113" s="94" t="s">
        <v>388</v>
      </c>
    </row>
    <row r="114" spans="1:27" x14ac:dyDescent="0.2">
      <c r="A114" s="44" t="s">
        <v>380</v>
      </c>
      <c r="B114" s="44" t="s">
        <v>390</v>
      </c>
      <c r="C114" s="91">
        <v>77003.88</v>
      </c>
      <c r="D114" s="139">
        <v>0</v>
      </c>
      <c r="E114" s="44" t="s">
        <v>100</v>
      </c>
      <c r="F114" s="122">
        <v>7.0000000000000007E-2</v>
      </c>
      <c r="G114" s="123">
        <v>3.84</v>
      </c>
      <c r="H114" s="44" t="s">
        <v>382</v>
      </c>
      <c r="I114" s="93" t="s">
        <v>383</v>
      </c>
      <c r="J114" s="44" t="s">
        <v>182</v>
      </c>
      <c r="K114" s="44" t="s">
        <v>391</v>
      </c>
      <c r="L114" s="93" t="s">
        <v>244</v>
      </c>
      <c r="M114" s="124">
        <v>50.56</v>
      </c>
      <c r="N114" s="44" t="s">
        <v>133</v>
      </c>
      <c r="O114" s="92" t="s">
        <v>102</v>
      </c>
      <c r="P114" s="110">
        <v>0</v>
      </c>
      <c r="Q114" s="44" t="s">
        <v>134</v>
      </c>
      <c r="R114" s="92" t="s">
        <v>385</v>
      </c>
      <c r="S114" s="125">
        <v>3.8305329814819881E-6</v>
      </c>
      <c r="T114" s="44" t="s">
        <v>136</v>
      </c>
      <c r="U114" s="92" t="s">
        <v>386</v>
      </c>
      <c r="V114" s="44" t="s">
        <v>387</v>
      </c>
      <c r="W114" s="44" t="s">
        <v>178</v>
      </c>
      <c r="X114" s="92" t="s">
        <v>388</v>
      </c>
      <c r="Y114" s="44" t="s">
        <v>389</v>
      </c>
      <c r="Z114" s="44" t="s">
        <v>97</v>
      </c>
      <c r="AA114" s="91" t="s">
        <v>388</v>
      </c>
    </row>
    <row r="115" spans="1:27" x14ac:dyDescent="0.2">
      <c r="A115" s="41" t="s">
        <v>380</v>
      </c>
      <c r="B115" s="41" t="s">
        <v>390</v>
      </c>
      <c r="C115" s="94">
        <v>38464.61</v>
      </c>
      <c r="D115" s="140">
        <v>0</v>
      </c>
      <c r="E115" s="41" t="s">
        <v>100</v>
      </c>
      <c r="F115" s="126">
        <v>0.08</v>
      </c>
      <c r="G115" s="127">
        <v>3.96</v>
      </c>
      <c r="H115" s="41" t="s">
        <v>382</v>
      </c>
      <c r="I115" s="95" t="s">
        <v>383</v>
      </c>
      <c r="J115" s="41" t="s">
        <v>182</v>
      </c>
      <c r="K115" s="41" t="s">
        <v>391</v>
      </c>
      <c r="L115" s="95" t="s">
        <v>244</v>
      </c>
      <c r="M115" s="128">
        <v>25.26</v>
      </c>
      <c r="N115" s="41" t="s">
        <v>133</v>
      </c>
      <c r="O115" s="42" t="s">
        <v>102</v>
      </c>
      <c r="P115" s="52">
        <v>0</v>
      </c>
      <c r="Q115" s="41" t="s">
        <v>134</v>
      </c>
      <c r="R115" s="42" t="s">
        <v>385</v>
      </c>
      <c r="S115" s="129">
        <v>1.913409713553684E-6</v>
      </c>
      <c r="T115" s="41" t="s">
        <v>136</v>
      </c>
      <c r="U115" s="42" t="s">
        <v>386</v>
      </c>
      <c r="V115" s="41" t="s">
        <v>387</v>
      </c>
      <c r="W115" s="41" t="s">
        <v>178</v>
      </c>
      <c r="X115" s="42" t="s">
        <v>388</v>
      </c>
      <c r="Y115" s="41" t="s">
        <v>389</v>
      </c>
      <c r="Z115" s="41" t="s">
        <v>97</v>
      </c>
      <c r="AA115" s="94" t="s">
        <v>388</v>
      </c>
    </row>
    <row r="116" spans="1:27" x14ac:dyDescent="0.2">
      <c r="A116" s="44" t="s">
        <v>380</v>
      </c>
      <c r="B116" s="44" t="s">
        <v>390</v>
      </c>
      <c r="C116" s="91">
        <v>76910.570000000007</v>
      </c>
      <c r="D116" s="139">
        <v>0</v>
      </c>
      <c r="E116" s="44" t="s">
        <v>100</v>
      </c>
      <c r="F116" s="122">
        <v>0.09</v>
      </c>
      <c r="G116" s="123">
        <v>3.96</v>
      </c>
      <c r="H116" s="44" t="s">
        <v>382</v>
      </c>
      <c r="I116" s="93" t="s">
        <v>383</v>
      </c>
      <c r="J116" s="44" t="s">
        <v>182</v>
      </c>
      <c r="K116" s="44" t="s">
        <v>391</v>
      </c>
      <c r="L116" s="93" t="s">
        <v>244</v>
      </c>
      <c r="M116" s="124">
        <v>50.5</v>
      </c>
      <c r="N116" s="44" t="s">
        <v>133</v>
      </c>
      <c r="O116" s="92" t="s">
        <v>102</v>
      </c>
      <c r="P116" s="110">
        <v>0</v>
      </c>
      <c r="Q116" s="44" t="s">
        <v>134</v>
      </c>
      <c r="R116" s="92" t="s">
        <v>385</v>
      </c>
      <c r="S116" s="125">
        <v>3.8258910322956286E-6</v>
      </c>
      <c r="T116" s="44" t="s">
        <v>136</v>
      </c>
      <c r="U116" s="92" t="s">
        <v>386</v>
      </c>
      <c r="V116" s="44" t="s">
        <v>387</v>
      </c>
      <c r="W116" s="44" t="s">
        <v>178</v>
      </c>
      <c r="X116" s="92" t="s">
        <v>388</v>
      </c>
      <c r="Y116" s="44" t="s">
        <v>389</v>
      </c>
      <c r="Z116" s="44" t="s">
        <v>97</v>
      </c>
      <c r="AA116" s="91" t="s">
        <v>388</v>
      </c>
    </row>
    <row r="117" spans="1:27" x14ac:dyDescent="0.2">
      <c r="A117" s="41" t="s">
        <v>380</v>
      </c>
      <c r="B117" s="41" t="s">
        <v>390</v>
      </c>
      <c r="C117" s="94">
        <v>38315.31</v>
      </c>
      <c r="D117" s="140">
        <v>0</v>
      </c>
      <c r="E117" s="41" t="s">
        <v>100</v>
      </c>
      <c r="F117" s="126">
        <v>0.17</v>
      </c>
      <c r="G117" s="127">
        <v>4.08</v>
      </c>
      <c r="H117" s="41" t="s">
        <v>382</v>
      </c>
      <c r="I117" s="95" t="s">
        <v>383</v>
      </c>
      <c r="J117" s="41" t="s">
        <v>182</v>
      </c>
      <c r="K117" s="41" t="s">
        <v>391</v>
      </c>
      <c r="L117" s="95" t="s">
        <v>244</v>
      </c>
      <c r="M117" s="128">
        <v>25.16</v>
      </c>
      <c r="N117" s="41" t="s">
        <v>133</v>
      </c>
      <c r="O117" s="42" t="s">
        <v>102</v>
      </c>
      <c r="P117" s="52">
        <v>0</v>
      </c>
      <c r="Q117" s="41" t="s">
        <v>134</v>
      </c>
      <c r="R117" s="42" t="s">
        <v>385</v>
      </c>
      <c r="S117" s="129">
        <v>1.9059825998299766E-6</v>
      </c>
      <c r="T117" s="41" t="s">
        <v>136</v>
      </c>
      <c r="U117" s="42" t="s">
        <v>386</v>
      </c>
      <c r="V117" s="41" t="s">
        <v>387</v>
      </c>
      <c r="W117" s="41" t="s">
        <v>178</v>
      </c>
      <c r="X117" s="42" t="s">
        <v>388</v>
      </c>
      <c r="Y117" s="41" t="s">
        <v>389</v>
      </c>
      <c r="Z117" s="41" t="s">
        <v>97</v>
      </c>
      <c r="AA117" s="94" t="s">
        <v>388</v>
      </c>
    </row>
    <row r="118" spans="1:27" x14ac:dyDescent="0.2">
      <c r="A118" s="44" t="s">
        <v>380</v>
      </c>
      <c r="B118" s="44" t="s">
        <v>390</v>
      </c>
      <c r="C118" s="91">
        <v>153298.56</v>
      </c>
      <c r="D118" s="139">
        <v>0</v>
      </c>
      <c r="E118" s="44" t="s">
        <v>100</v>
      </c>
      <c r="F118" s="122">
        <v>0.18</v>
      </c>
      <c r="G118" s="123">
        <v>3.96</v>
      </c>
      <c r="H118" s="44" t="s">
        <v>382</v>
      </c>
      <c r="I118" s="93" t="s">
        <v>383</v>
      </c>
      <c r="J118" s="44" t="s">
        <v>182</v>
      </c>
      <c r="K118" s="44" t="s">
        <v>391</v>
      </c>
      <c r="L118" s="93" t="s">
        <v>244</v>
      </c>
      <c r="M118" s="124">
        <v>100.66</v>
      </c>
      <c r="N118" s="44" t="s">
        <v>133</v>
      </c>
      <c r="O118" s="92" t="s">
        <v>102</v>
      </c>
      <c r="P118" s="110">
        <v>0</v>
      </c>
      <c r="Q118" s="44" t="s">
        <v>134</v>
      </c>
      <c r="R118" s="92" t="s">
        <v>385</v>
      </c>
      <c r="S118" s="125">
        <v>7.6257871789944495E-6</v>
      </c>
      <c r="T118" s="44" t="s">
        <v>136</v>
      </c>
      <c r="U118" s="92" t="s">
        <v>386</v>
      </c>
      <c r="V118" s="44" t="s">
        <v>387</v>
      </c>
      <c r="W118" s="44" t="s">
        <v>178</v>
      </c>
      <c r="X118" s="92" t="s">
        <v>388</v>
      </c>
      <c r="Y118" s="44" t="s">
        <v>389</v>
      </c>
      <c r="Z118" s="44" t="s">
        <v>97</v>
      </c>
      <c r="AA118" s="91" t="s">
        <v>388</v>
      </c>
    </row>
    <row r="119" spans="1:27" x14ac:dyDescent="0.2">
      <c r="A119" s="41" t="s">
        <v>380</v>
      </c>
      <c r="B119" s="41" t="s">
        <v>390</v>
      </c>
      <c r="C119" s="94">
        <v>23478.16</v>
      </c>
      <c r="D119" s="140">
        <v>0</v>
      </c>
      <c r="E119" s="41" t="s">
        <v>100</v>
      </c>
      <c r="F119" s="126">
        <v>0.3</v>
      </c>
      <c r="G119" s="127">
        <v>4.2</v>
      </c>
      <c r="H119" s="41" t="s">
        <v>382</v>
      </c>
      <c r="I119" s="95" t="s">
        <v>383</v>
      </c>
      <c r="J119" s="41" t="s">
        <v>182</v>
      </c>
      <c r="K119" s="41" t="s">
        <v>391</v>
      </c>
      <c r="L119" s="95" t="s">
        <v>244</v>
      </c>
      <c r="M119" s="128">
        <v>15.42</v>
      </c>
      <c r="N119" s="41" t="s">
        <v>133</v>
      </c>
      <c r="O119" s="42" t="s">
        <v>102</v>
      </c>
      <c r="P119" s="52">
        <v>0</v>
      </c>
      <c r="Q119" s="41" t="s">
        <v>134</v>
      </c>
      <c r="R119" s="42" t="s">
        <v>385</v>
      </c>
      <c r="S119" s="129">
        <v>1.1679133507519582E-6</v>
      </c>
      <c r="T119" s="41" t="s">
        <v>136</v>
      </c>
      <c r="U119" s="42" t="s">
        <v>386</v>
      </c>
      <c r="V119" s="41" t="s">
        <v>387</v>
      </c>
      <c r="W119" s="41" t="s">
        <v>178</v>
      </c>
      <c r="X119" s="42" t="s">
        <v>388</v>
      </c>
      <c r="Y119" s="41" t="s">
        <v>389</v>
      </c>
      <c r="Z119" s="41" t="s">
        <v>97</v>
      </c>
      <c r="AA119" s="94" t="s">
        <v>388</v>
      </c>
    </row>
    <row r="120" spans="1:27" x14ac:dyDescent="0.2">
      <c r="A120" s="44" t="s">
        <v>380</v>
      </c>
      <c r="B120" s="44" t="s">
        <v>392</v>
      </c>
      <c r="C120" s="91">
        <v>48225.41</v>
      </c>
      <c r="D120" s="139">
        <v>0</v>
      </c>
      <c r="E120" s="44" t="s">
        <v>100</v>
      </c>
      <c r="F120" s="122">
        <v>0.01</v>
      </c>
      <c r="G120" s="123">
        <v>3.72</v>
      </c>
      <c r="H120" s="44" t="s">
        <v>382</v>
      </c>
      <c r="I120" s="93" t="s">
        <v>383</v>
      </c>
      <c r="J120" s="44" t="s">
        <v>182</v>
      </c>
      <c r="K120" s="44" t="s">
        <v>393</v>
      </c>
      <c r="L120" s="93" t="s">
        <v>235</v>
      </c>
      <c r="M120" s="124">
        <v>31.67</v>
      </c>
      <c r="N120" s="44" t="s">
        <v>133</v>
      </c>
      <c r="O120" s="92" t="s">
        <v>102</v>
      </c>
      <c r="P120" s="110">
        <v>0</v>
      </c>
      <c r="Q120" s="44" t="s">
        <v>134</v>
      </c>
      <c r="R120" s="92" t="s">
        <v>385</v>
      </c>
      <c r="S120" s="125">
        <v>2.3989571557192605E-6</v>
      </c>
      <c r="T120" s="44" t="s">
        <v>136</v>
      </c>
      <c r="U120" s="92" t="s">
        <v>386</v>
      </c>
      <c r="V120" s="44" t="s">
        <v>387</v>
      </c>
      <c r="W120" s="44" t="s">
        <v>178</v>
      </c>
      <c r="X120" s="92" t="s">
        <v>388</v>
      </c>
      <c r="Y120" s="44" t="s">
        <v>389</v>
      </c>
      <c r="Z120" s="44" t="s">
        <v>97</v>
      </c>
      <c r="AA120" s="91" t="s">
        <v>388</v>
      </c>
    </row>
    <row r="121" spans="1:27" x14ac:dyDescent="0.2">
      <c r="A121" s="41" t="s">
        <v>380</v>
      </c>
      <c r="B121" s="41" t="s">
        <v>392</v>
      </c>
      <c r="C121" s="94">
        <v>38576.589999999997</v>
      </c>
      <c r="D121" s="140">
        <v>0</v>
      </c>
      <c r="E121" s="41" t="s">
        <v>100</v>
      </c>
      <c r="F121" s="126">
        <v>0.02</v>
      </c>
      <c r="G121" s="127">
        <v>3.24</v>
      </c>
      <c r="H121" s="41" t="s">
        <v>382</v>
      </c>
      <c r="I121" s="95" t="s">
        <v>383</v>
      </c>
      <c r="J121" s="41" t="s">
        <v>182</v>
      </c>
      <c r="K121" s="41" t="s">
        <v>393</v>
      </c>
      <c r="L121" s="95" t="s">
        <v>235</v>
      </c>
      <c r="M121" s="128">
        <v>25.33</v>
      </c>
      <c r="N121" s="41" t="s">
        <v>133</v>
      </c>
      <c r="O121" s="42" t="s">
        <v>102</v>
      </c>
      <c r="P121" s="52">
        <v>0</v>
      </c>
      <c r="Q121" s="41" t="s">
        <v>134</v>
      </c>
      <c r="R121" s="42" t="s">
        <v>385</v>
      </c>
      <c r="S121" s="129">
        <v>1.9189800476028476E-6</v>
      </c>
      <c r="T121" s="41" t="s">
        <v>136</v>
      </c>
      <c r="U121" s="42" t="s">
        <v>386</v>
      </c>
      <c r="V121" s="41" t="s">
        <v>387</v>
      </c>
      <c r="W121" s="41" t="s">
        <v>178</v>
      </c>
      <c r="X121" s="42" t="s">
        <v>388</v>
      </c>
      <c r="Y121" s="41" t="s">
        <v>389</v>
      </c>
      <c r="Z121" s="41" t="s">
        <v>97</v>
      </c>
      <c r="AA121" s="94" t="s">
        <v>388</v>
      </c>
    </row>
    <row r="122" spans="1:27" x14ac:dyDescent="0.2">
      <c r="A122" s="44" t="s">
        <v>380</v>
      </c>
      <c r="B122" s="44" t="s">
        <v>392</v>
      </c>
      <c r="C122" s="91">
        <v>628367.34</v>
      </c>
      <c r="D122" s="139">
        <v>0</v>
      </c>
      <c r="E122" s="44" t="s">
        <v>100</v>
      </c>
      <c r="F122" s="122">
        <v>0.02</v>
      </c>
      <c r="G122" s="123">
        <v>3.48</v>
      </c>
      <c r="H122" s="44" t="s">
        <v>382</v>
      </c>
      <c r="I122" s="93" t="s">
        <v>383</v>
      </c>
      <c r="J122" s="44" t="s">
        <v>182</v>
      </c>
      <c r="K122" s="44" t="s">
        <v>393</v>
      </c>
      <c r="L122" s="93" t="s">
        <v>235</v>
      </c>
      <c r="M122" s="124">
        <v>412.59</v>
      </c>
      <c r="N122" s="44" t="s">
        <v>133</v>
      </c>
      <c r="O122" s="92" t="s">
        <v>102</v>
      </c>
      <c r="P122" s="110">
        <v>0</v>
      </c>
      <c r="Q122" s="44" t="s">
        <v>134</v>
      </c>
      <c r="R122" s="92" t="s">
        <v>385</v>
      </c>
      <c r="S122" s="125">
        <v>3.1257928957254371E-5</v>
      </c>
      <c r="T122" s="44" t="s">
        <v>136</v>
      </c>
      <c r="U122" s="92" t="s">
        <v>386</v>
      </c>
      <c r="V122" s="44" t="s">
        <v>387</v>
      </c>
      <c r="W122" s="44" t="s">
        <v>178</v>
      </c>
      <c r="X122" s="92" t="s">
        <v>388</v>
      </c>
      <c r="Y122" s="44" t="s">
        <v>389</v>
      </c>
      <c r="Z122" s="44" t="s">
        <v>97</v>
      </c>
      <c r="AA122" s="91" t="s">
        <v>388</v>
      </c>
    </row>
    <row r="123" spans="1:27" x14ac:dyDescent="0.2">
      <c r="A123" s="41" t="s">
        <v>380</v>
      </c>
      <c r="B123" s="41" t="s">
        <v>392</v>
      </c>
      <c r="C123" s="94">
        <v>38520.6</v>
      </c>
      <c r="D123" s="140">
        <v>0</v>
      </c>
      <c r="E123" s="41" t="s">
        <v>100</v>
      </c>
      <c r="F123" s="126">
        <v>0.05</v>
      </c>
      <c r="G123" s="127">
        <v>3.72</v>
      </c>
      <c r="H123" s="41" t="s">
        <v>382</v>
      </c>
      <c r="I123" s="95" t="s">
        <v>383</v>
      </c>
      <c r="J123" s="41" t="s">
        <v>182</v>
      </c>
      <c r="K123" s="41" t="s">
        <v>393</v>
      </c>
      <c r="L123" s="95" t="s">
        <v>235</v>
      </c>
      <c r="M123" s="128">
        <v>25.29</v>
      </c>
      <c r="N123" s="41" t="s">
        <v>133</v>
      </c>
      <c r="O123" s="42" t="s">
        <v>102</v>
      </c>
      <c r="P123" s="52">
        <v>0</v>
      </c>
      <c r="Q123" s="41" t="s">
        <v>134</v>
      </c>
      <c r="R123" s="42" t="s">
        <v>385</v>
      </c>
      <c r="S123" s="129">
        <v>1.9161948780910321E-6</v>
      </c>
      <c r="T123" s="41" t="s">
        <v>136</v>
      </c>
      <c r="U123" s="42" t="s">
        <v>386</v>
      </c>
      <c r="V123" s="41" t="s">
        <v>387</v>
      </c>
      <c r="W123" s="41" t="s">
        <v>178</v>
      </c>
      <c r="X123" s="42" t="s">
        <v>388</v>
      </c>
      <c r="Y123" s="41" t="s">
        <v>389</v>
      </c>
      <c r="Z123" s="41" t="s">
        <v>97</v>
      </c>
      <c r="AA123" s="94" t="s">
        <v>388</v>
      </c>
    </row>
    <row r="124" spans="1:27" x14ac:dyDescent="0.2">
      <c r="A124" s="44" t="s">
        <v>380</v>
      </c>
      <c r="B124" s="44" t="s">
        <v>392</v>
      </c>
      <c r="C124" s="91">
        <v>426582.09</v>
      </c>
      <c r="D124" s="139">
        <v>0</v>
      </c>
      <c r="E124" s="44" t="s">
        <v>100</v>
      </c>
      <c r="F124" s="122">
        <v>7.0000000000000007E-2</v>
      </c>
      <c r="G124" s="123">
        <v>3.78</v>
      </c>
      <c r="H124" s="44" t="s">
        <v>382</v>
      </c>
      <c r="I124" s="93" t="s">
        <v>383</v>
      </c>
      <c r="J124" s="44" t="s">
        <v>182</v>
      </c>
      <c r="K124" s="44" t="s">
        <v>393</v>
      </c>
      <c r="L124" s="93" t="s">
        <v>235</v>
      </c>
      <c r="M124" s="124">
        <v>280.10000000000002</v>
      </c>
      <c r="N124" s="44" t="s">
        <v>133</v>
      </c>
      <c r="O124" s="92" t="s">
        <v>102</v>
      </c>
      <c r="P124" s="110">
        <v>0</v>
      </c>
      <c r="Q124" s="44" t="s">
        <v>134</v>
      </c>
      <c r="R124" s="92" t="s">
        <v>385</v>
      </c>
      <c r="S124" s="125">
        <v>2.122018717974226E-5</v>
      </c>
      <c r="T124" s="44" t="s">
        <v>136</v>
      </c>
      <c r="U124" s="92" t="s">
        <v>386</v>
      </c>
      <c r="V124" s="44" t="s">
        <v>387</v>
      </c>
      <c r="W124" s="44" t="s">
        <v>178</v>
      </c>
      <c r="X124" s="92" t="s">
        <v>388</v>
      </c>
      <c r="Y124" s="44" t="s">
        <v>389</v>
      </c>
      <c r="Z124" s="44" t="s">
        <v>97</v>
      </c>
      <c r="AA124" s="91" t="s">
        <v>388</v>
      </c>
    </row>
    <row r="125" spans="1:27" x14ac:dyDescent="0.2">
      <c r="A125" s="41" t="s">
        <v>380</v>
      </c>
      <c r="B125" s="41" t="s">
        <v>392</v>
      </c>
      <c r="C125" s="94">
        <v>51920.7</v>
      </c>
      <c r="D125" s="140">
        <v>0</v>
      </c>
      <c r="E125" s="41" t="s">
        <v>100</v>
      </c>
      <c r="F125" s="126">
        <v>0.1</v>
      </c>
      <c r="G125" s="127">
        <v>3.84</v>
      </c>
      <c r="H125" s="41" t="s">
        <v>382</v>
      </c>
      <c r="I125" s="95" t="s">
        <v>383</v>
      </c>
      <c r="J125" s="41" t="s">
        <v>182</v>
      </c>
      <c r="K125" s="41" t="s">
        <v>393</v>
      </c>
      <c r="L125" s="95" t="s">
        <v>235</v>
      </c>
      <c r="M125" s="128">
        <v>34.090000000000003</v>
      </c>
      <c r="N125" s="41" t="s">
        <v>133</v>
      </c>
      <c r="O125" s="42" t="s">
        <v>102</v>
      </c>
      <c r="P125" s="52">
        <v>0</v>
      </c>
      <c r="Q125" s="41" t="s">
        <v>134</v>
      </c>
      <c r="R125" s="42" t="s">
        <v>385</v>
      </c>
      <c r="S125" s="129">
        <v>2.5827781743671946E-6</v>
      </c>
      <c r="T125" s="41" t="s">
        <v>136</v>
      </c>
      <c r="U125" s="42" t="s">
        <v>386</v>
      </c>
      <c r="V125" s="41" t="s">
        <v>387</v>
      </c>
      <c r="W125" s="41" t="s">
        <v>178</v>
      </c>
      <c r="X125" s="42" t="s">
        <v>388</v>
      </c>
      <c r="Y125" s="41" t="s">
        <v>389</v>
      </c>
      <c r="Z125" s="41" t="s">
        <v>97</v>
      </c>
      <c r="AA125" s="94" t="s">
        <v>388</v>
      </c>
    </row>
    <row r="126" spans="1:27" x14ac:dyDescent="0.2">
      <c r="A126" s="44" t="s">
        <v>380</v>
      </c>
      <c r="B126" s="44" t="s">
        <v>392</v>
      </c>
      <c r="C126" s="91">
        <v>95722.95</v>
      </c>
      <c r="D126" s="139">
        <v>0</v>
      </c>
      <c r="E126" s="44" t="s">
        <v>100</v>
      </c>
      <c r="F126" s="122">
        <v>0.2</v>
      </c>
      <c r="G126" s="123">
        <v>3.96</v>
      </c>
      <c r="H126" s="44" t="s">
        <v>382</v>
      </c>
      <c r="I126" s="93" t="s">
        <v>383</v>
      </c>
      <c r="J126" s="44" t="s">
        <v>182</v>
      </c>
      <c r="K126" s="44" t="s">
        <v>393</v>
      </c>
      <c r="L126" s="93" t="s">
        <v>235</v>
      </c>
      <c r="M126" s="124">
        <v>62.85</v>
      </c>
      <c r="N126" s="44" t="s">
        <v>133</v>
      </c>
      <c r="O126" s="92" t="s">
        <v>102</v>
      </c>
      <c r="P126" s="110">
        <v>0</v>
      </c>
      <c r="Q126" s="44" t="s">
        <v>134</v>
      </c>
      <c r="R126" s="92" t="s">
        <v>385</v>
      </c>
      <c r="S126" s="125">
        <v>4.7617071376317236E-6</v>
      </c>
      <c r="T126" s="44" t="s">
        <v>136</v>
      </c>
      <c r="U126" s="92" t="s">
        <v>386</v>
      </c>
      <c r="V126" s="44" t="s">
        <v>387</v>
      </c>
      <c r="W126" s="44" t="s">
        <v>178</v>
      </c>
      <c r="X126" s="92" t="s">
        <v>388</v>
      </c>
      <c r="Y126" s="44" t="s">
        <v>389</v>
      </c>
      <c r="Z126" s="44" t="s">
        <v>97</v>
      </c>
      <c r="AA126" s="91" t="s">
        <v>388</v>
      </c>
    </row>
    <row r="127" spans="1:27" x14ac:dyDescent="0.2">
      <c r="A127" s="41" t="s">
        <v>380</v>
      </c>
      <c r="B127" s="41" t="s">
        <v>392</v>
      </c>
      <c r="C127" s="94">
        <v>76425.320000000007</v>
      </c>
      <c r="D127" s="140">
        <v>0</v>
      </c>
      <c r="E127" s="41" t="s">
        <v>100</v>
      </c>
      <c r="F127" s="126">
        <v>0.24</v>
      </c>
      <c r="G127" s="127">
        <v>4.08</v>
      </c>
      <c r="H127" s="41" t="s">
        <v>382</v>
      </c>
      <c r="I127" s="95" t="s">
        <v>383</v>
      </c>
      <c r="J127" s="41" t="s">
        <v>182</v>
      </c>
      <c r="K127" s="41" t="s">
        <v>393</v>
      </c>
      <c r="L127" s="95" t="s">
        <v>235</v>
      </c>
      <c r="M127" s="128">
        <v>50.18</v>
      </c>
      <c r="N127" s="41" t="s">
        <v>133</v>
      </c>
      <c r="O127" s="42" t="s">
        <v>102</v>
      </c>
      <c r="P127" s="52">
        <v>0</v>
      </c>
      <c r="Q127" s="41" t="s">
        <v>134</v>
      </c>
      <c r="R127" s="42" t="s">
        <v>385</v>
      </c>
      <c r="S127" s="129">
        <v>3.8017529213988974E-6</v>
      </c>
      <c r="T127" s="41" t="s">
        <v>136</v>
      </c>
      <c r="U127" s="42" t="s">
        <v>386</v>
      </c>
      <c r="V127" s="41" t="s">
        <v>387</v>
      </c>
      <c r="W127" s="41" t="s">
        <v>178</v>
      </c>
      <c r="X127" s="42" t="s">
        <v>388</v>
      </c>
      <c r="Y127" s="41" t="s">
        <v>389</v>
      </c>
      <c r="Z127" s="41" t="s">
        <v>97</v>
      </c>
      <c r="AA127" s="94" t="s">
        <v>388</v>
      </c>
    </row>
    <row r="128" spans="1:27" x14ac:dyDescent="0.2">
      <c r="A128" s="44" t="s">
        <v>380</v>
      </c>
      <c r="B128" s="44" t="s">
        <v>392</v>
      </c>
      <c r="C128" s="91">
        <v>369361.08</v>
      </c>
      <c r="D128" s="139">
        <v>0</v>
      </c>
      <c r="E128" s="44" t="s">
        <v>100</v>
      </c>
      <c r="F128" s="122">
        <v>0.34</v>
      </c>
      <c r="G128" s="123">
        <v>3.96</v>
      </c>
      <c r="H128" s="44" t="s">
        <v>382</v>
      </c>
      <c r="I128" s="93" t="s">
        <v>383</v>
      </c>
      <c r="J128" s="44" t="s">
        <v>182</v>
      </c>
      <c r="K128" s="44" t="s">
        <v>393</v>
      </c>
      <c r="L128" s="93" t="s">
        <v>235</v>
      </c>
      <c r="M128" s="124">
        <v>242.53</v>
      </c>
      <c r="N128" s="44" t="s">
        <v>133</v>
      </c>
      <c r="O128" s="92" t="s">
        <v>102</v>
      </c>
      <c r="P128" s="110">
        <v>0</v>
      </c>
      <c r="Q128" s="44" t="s">
        <v>134</v>
      </c>
      <c r="R128" s="92" t="s">
        <v>385</v>
      </c>
      <c r="S128" s="125">
        <v>1.8373746535338764E-5</v>
      </c>
      <c r="T128" s="44" t="s">
        <v>136</v>
      </c>
      <c r="U128" s="92" t="s">
        <v>386</v>
      </c>
      <c r="V128" s="44" t="s">
        <v>387</v>
      </c>
      <c r="W128" s="44" t="s">
        <v>178</v>
      </c>
      <c r="X128" s="92" t="s">
        <v>388</v>
      </c>
      <c r="Y128" s="44" t="s">
        <v>389</v>
      </c>
      <c r="Z128" s="44" t="s">
        <v>97</v>
      </c>
      <c r="AA128" s="91" t="s">
        <v>388</v>
      </c>
    </row>
    <row r="129" spans="1:27" x14ac:dyDescent="0.2">
      <c r="A129" s="41" t="s">
        <v>380</v>
      </c>
      <c r="B129" s="41" t="s">
        <v>394</v>
      </c>
      <c r="C129" s="94">
        <v>1504617.75</v>
      </c>
      <c r="D129" s="140">
        <v>0</v>
      </c>
      <c r="E129" s="41" t="s">
        <v>100</v>
      </c>
      <c r="F129" s="127">
        <v>0.02</v>
      </c>
      <c r="G129" s="127">
        <v>3.54</v>
      </c>
      <c r="H129" s="41" t="s">
        <v>382</v>
      </c>
      <c r="I129" s="95" t="s">
        <v>383</v>
      </c>
      <c r="J129" s="41" t="s">
        <v>182</v>
      </c>
      <c r="K129" s="41" t="s">
        <v>395</v>
      </c>
      <c r="L129" s="95" t="s">
        <v>293</v>
      </c>
      <c r="M129" s="128">
        <v>987.94</v>
      </c>
      <c r="N129" s="41" t="s">
        <v>133</v>
      </c>
      <c r="O129" s="42" t="s">
        <v>102</v>
      </c>
      <c r="P129" s="52">
        <v>0</v>
      </c>
      <c r="Q129" s="41" t="s">
        <v>134</v>
      </c>
      <c r="R129" s="42" t="s">
        <v>385</v>
      </c>
      <c r="S129" s="129">
        <v>7.484672050578048E-5</v>
      </c>
      <c r="T129" s="41" t="s">
        <v>136</v>
      </c>
      <c r="U129" s="42" t="s">
        <v>386</v>
      </c>
      <c r="V129" s="41" t="s">
        <v>387</v>
      </c>
      <c r="W129" s="41" t="s">
        <v>178</v>
      </c>
      <c r="X129" s="42" t="s">
        <v>388</v>
      </c>
      <c r="Y129" s="41" t="s">
        <v>389</v>
      </c>
      <c r="Z129" s="41" t="s">
        <v>97</v>
      </c>
      <c r="AA129" s="94" t="s">
        <v>388</v>
      </c>
    </row>
    <row r="130" spans="1:27" x14ac:dyDescent="0.2">
      <c r="A130" s="44" t="s">
        <v>380</v>
      </c>
      <c r="B130" s="44" t="s">
        <v>394</v>
      </c>
      <c r="C130" s="91">
        <v>154138.4</v>
      </c>
      <c r="D130" s="139">
        <v>0</v>
      </c>
      <c r="E130" s="44" t="s">
        <v>100</v>
      </c>
      <c r="F130" s="122">
        <v>0.04</v>
      </c>
      <c r="G130" s="123">
        <v>3.88</v>
      </c>
      <c r="H130" s="44" t="s">
        <v>382</v>
      </c>
      <c r="I130" s="93" t="s">
        <v>383</v>
      </c>
      <c r="J130" s="44" t="s">
        <v>182</v>
      </c>
      <c r="K130" s="44" t="s">
        <v>395</v>
      </c>
      <c r="L130" s="93" t="s">
        <v>293</v>
      </c>
      <c r="M130" s="124">
        <v>101.21</v>
      </c>
      <c r="N130" s="44" t="s">
        <v>133</v>
      </c>
      <c r="O130" s="92" t="s">
        <v>102</v>
      </c>
      <c r="P130" s="110">
        <v>0</v>
      </c>
      <c r="Q130" s="44" t="s">
        <v>134</v>
      </c>
      <c r="R130" s="92" t="s">
        <v>385</v>
      </c>
      <c r="S130" s="125">
        <v>7.6675646818759432E-6</v>
      </c>
      <c r="T130" s="44" t="s">
        <v>136</v>
      </c>
      <c r="U130" s="92" t="s">
        <v>386</v>
      </c>
      <c r="V130" s="44" t="s">
        <v>387</v>
      </c>
      <c r="W130" s="44" t="s">
        <v>178</v>
      </c>
      <c r="X130" s="92" t="s">
        <v>388</v>
      </c>
      <c r="Y130" s="44" t="s">
        <v>389</v>
      </c>
      <c r="Z130" s="44" t="s">
        <v>97</v>
      </c>
      <c r="AA130" s="91" t="s">
        <v>388</v>
      </c>
    </row>
    <row r="131" spans="1:27" x14ac:dyDescent="0.2">
      <c r="A131" s="41" t="s">
        <v>380</v>
      </c>
      <c r="B131" s="41" t="s">
        <v>394</v>
      </c>
      <c r="C131" s="94">
        <v>258203.75</v>
      </c>
      <c r="D131" s="140">
        <v>0</v>
      </c>
      <c r="E131" s="41" t="s">
        <v>100</v>
      </c>
      <c r="F131" s="126">
        <v>0.05</v>
      </c>
      <c r="G131" s="127">
        <v>3.84</v>
      </c>
      <c r="H131" s="41" t="s">
        <v>382</v>
      </c>
      <c r="I131" s="95" t="s">
        <v>383</v>
      </c>
      <c r="J131" s="41" t="s">
        <v>182</v>
      </c>
      <c r="K131" s="41" t="s">
        <v>395</v>
      </c>
      <c r="L131" s="95" t="s">
        <v>293</v>
      </c>
      <c r="M131" s="128">
        <v>169.54</v>
      </c>
      <c r="N131" s="41" t="s">
        <v>133</v>
      </c>
      <c r="O131" s="42" t="s">
        <v>102</v>
      </c>
      <c r="P131" s="52">
        <v>0</v>
      </c>
      <c r="Q131" s="41" t="s">
        <v>134</v>
      </c>
      <c r="R131" s="42" t="s">
        <v>385</v>
      </c>
      <c r="S131" s="129">
        <v>1.2844261698708661E-5</v>
      </c>
      <c r="T131" s="41" t="s">
        <v>136</v>
      </c>
      <c r="U131" s="42" t="s">
        <v>386</v>
      </c>
      <c r="V131" s="41" t="s">
        <v>387</v>
      </c>
      <c r="W131" s="41" t="s">
        <v>178</v>
      </c>
      <c r="X131" s="42" t="s">
        <v>388</v>
      </c>
      <c r="Y131" s="41" t="s">
        <v>389</v>
      </c>
      <c r="Z131" s="41" t="s">
        <v>97</v>
      </c>
      <c r="AA131" s="94" t="s">
        <v>388</v>
      </c>
    </row>
    <row r="132" spans="1:27" x14ac:dyDescent="0.2">
      <c r="A132" s="44" t="s">
        <v>380</v>
      </c>
      <c r="B132" s="44" t="s">
        <v>394</v>
      </c>
      <c r="C132" s="91">
        <v>76929.23</v>
      </c>
      <c r="D132" s="139">
        <v>0</v>
      </c>
      <c r="E132" s="44" t="s">
        <v>100</v>
      </c>
      <c r="F132" s="122">
        <v>0.09</v>
      </c>
      <c r="G132" s="123">
        <v>3.96</v>
      </c>
      <c r="H132" s="44" t="s">
        <v>382</v>
      </c>
      <c r="I132" s="93" t="s">
        <v>383</v>
      </c>
      <c r="J132" s="44" t="s">
        <v>182</v>
      </c>
      <c r="K132" s="44" t="s">
        <v>395</v>
      </c>
      <c r="L132" s="93" t="s">
        <v>293</v>
      </c>
      <c r="M132" s="124">
        <v>50.51</v>
      </c>
      <c r="N132" s="44" t="s">
        <v>133</v>
      </c>
      <c r="O132" s="92" t="s">
        <v>102</v>
      </c>
      <c r="P132" s="110">
        <v>0</v>
      </c>
      <c r="Q132" s="44" t="s">
        <v>134</v>
      </c>
      <c r="R132" s="92" t="s">
        <v>385</v>
      </c>
      <c r="S132" s="125">
        <v>3.8268194221329002E-6</v>
      </c>
      <c r="T132" s="44" t="s">
        <v>136</v>
      </c>
      <c r="U132" s="92" t="s">
        <v>386</v>
      </c>
      <c r="V132" s="44" t="s">
        <v>387</v>
      </c>
      <c r="W132" s="44" t="s">
        <v>178</v>
      </c>
      <c r="X132" s="92" t="s">
        <v>388</v>
      </c>
      <c r="Y132" s="44" t="s">
        <v>389</v>
      </c>
      <c r="Z132" s="44" t="s">
        <v>97</v>
      </c>
      <c r="AA132" s="91" t="s">
        <v>388</v>
      </c>
    </row>
    <row r="133" spans="1:27" x14ac:dyDescent="0.2">
      <c r="A133" s="41" t="s">
        <v>380</v>
      </c>
      <c r="B133" s="41" t="s">
        <v>394</v>
      </c>
      <c r="C133" s="94">
        <v>115543.15</v>
      </c>
      <c r="D133" s="140">
        <v>0</v>
      </c>
      <c r="E133" s="41" t="s">
        <v>100</v>
      </c>
      <c r="F133" s="126">
        <v>0.11</v>
      </c>
      <c r="G133" s="127">
        <v>3.84</v>
      </c>
      <c r="H133" s="41" t="s">
        <v>382</v>
      </c>
      <c r="I133" s="95" t="s">
        <v>383</v>
      </c>
      <c r="J133" s="41" t="s">
        <v>182</v>
      </c>
      <c r="K133" s="41" t="s">
        <v>395</v>
      </c>
      <c r="L133" s="95" t="s">
        <v>293</v>
      </c>
      <c r="M133" s="128">
        <v>75.87</v>
      </c>
      <c r="N133" s="41" t="s">
        <v>133</v>
      </c>
      <c r="O133" s="42" t="s">
        <v>102</v>
      </c>
      <c r="P133" s="52">
        <v>0</v>
      </c>
      <c r="Q133" s="41" t="s">
        <v>134</v>
      </c>
      <c r="R133" s="42" t="s">
        <v>385</v>
      </c>
      <c r="S133" s="129">
        <v>5.7476562494102918E-6</v>
      </c>
      <c r="T133" s="41" t="s">
        <v>136</v>
      </c>
      <c r="U133" s="42" t="s">
        <v>386</v>
      </c>
      <c r="V133" s="41" t="s">
        <v>387</v>
      </c>
      <c r="W133" s="41" t="s">
        <v>178</v>
      </c>
      <c r="X133" s="42" t="s">
        <v>388</v>
      </c>
      <c r="Y133" s="41" t="s">
        <v>389</v>
      </c>
      <c r="Z133" s="41" t="s">
        <v>97</v>
      </c>
      <c r="AA133" s="94" t="s">
        <v>388</v>
      </c>
    </row>
    <row r="134" spans="1:27" x14ac:dyDescent="0.2">
      <c r="A134" s="44" t="s">
        <v>380</v>
      </c>
      <c r="B134" s="44" t="s">
        <v>394</v>
      </c>
      <c r="C134" s="91">
        <v>153653.16</v>
      </c>
      <c r="D134" s="139">
        <v>0</v>
      </c>
      <c r="E134" s="44" t="s">
        <v>100</v>
      </c>
      <c r="F134" s="122">
        <v>0.13</v>
      </c>
      <c r="G134" s="123">
        <v>3.84</v>
      </c>
      <c r="H134" s="44" t="s">
        <v>382</v>
      </c>
      <c r="I134" s="93" t="s">
        <v>383</v>
      </c>
      <c r="J134" s="44" t="s">
        <v>182</v>
      </c>
      <c r="K134" s="44" t="s">
        <v>395</v>
      </c>
      <c r="L134" s="93" t="s">
        <v>293</v>
      </c>
      <c r="M134" s="124">
        <v>100.89</v>
      </c>
      <c r="N134" s="44" t="s">
        <v>133</v>
      </c>
      <c r="O134" s="92" t="s">
        <v>102</v>
      </c>
      <c r="P134" s="110">
        <v>0</v>
      </c>
      <c r="Q134" s="44" t="s">
        <v>134</v>
      </c>
      <c r="R134" s="92" t="s">
        <v>385</v>
      </c>
      <c r="S134" s="125">
        <v>7.6434265660047455E-6</v>
      </c>
      <c r="T134" s="44" t="s">
        <v>136</v>
      </c>
      <c r="U134" s="92" t="s">
        <v>386</v>
      </c>
      <c r="V134" s="44" t="s">
        <v>387</v>
      </c>
      <c r="W134" s="44" t="s">
        <v>178</v>
      </c>
      <c r="X134" s="92" t="s">
        <v>388</v>
      </c>
      <c r="Y134" s="44" t="s">
        <v>389</v>
      </c>
      <c r="Z134" s="44" t="s">
        <v>97</v>
      </c>
      <c r="AA134" s="91" t="s">
        <v>388</v>
      </c>
    </row>
    <row r="135" spans="1:27" x14ac:dyDescent="0.2">
      <c r="A135" s="41" t="s">
        <v>380</v>
      </c>
      <c r="B135" s="41" t="s">
        <v>394</v>
      </c>
      <c r="C135" s="94">
        <v>76593.289999999994</v>
      </c>
      <c r="D135" s="140">
        <v>0</v>
      </c>
      <c r="E135" s="41" t="s">
        <v>100</v>
      </c>
      <c r="F135" s="126">
        <v>0.2</v>
      </c>
      <c r="G135" s="127">
        <v>3.84</v>
      </c>
      <c r="H135" s="41" t="s">
        <v>382</v>
      </c>
      <c r="I135" s="95" t="s">
        <v>383</v>
      </c>
      <c r="J135" s="41" t="s">
        <v>182</v>
      </c>
      <c r="K135" s="41" t="s">
        <v>395</v>
      </c>
      <c r="L135" s="95" t="s">
        <v>293</v>
      </c>
      <c r="M135" s="128">
        <v>50.29</v>
      </c>
      <c r="N135" s="41" t="s">
        <v>133</v>
      </c>
      <c r="O135" s="42" t="s">
        <v>102</v>
      </c>
      <c r="P135" s="52">
        <v>0</v>
      </c>
      <c r="Q135" s="41" t="s">
        <v>134</v>
      </c>
      <c r="R135" s="42" t="s">
        <v>385</v>
      </c>
      <c r="S135" s="129">
        <v>3.8101084199854092E-6</v>
      </c>
      <c r="T135" s="41" t="s">
        <v>136</v>
      </c>
      <c r="U135" s="42" t="s">
        <v>386</v>
      </c>
      <c r="V135" s="41" t="s">
        <v>387</v>
      </c>
      <c r="W135" s="41" t="s">
        <v>178</v>
      </c>
      <c r="X135" s="42" t="s">
        <v>388</v>
      </c>
      <c r="Y135" s="41" t="s">
        <v>389</v>
      </c>
      <c r="Z135" s="41" t="s">
        <v>97</v>
      </c>
      <c r="AA135" s="94" t="s">
        <v>388</v>
      </c>
    </row>
    <row r="136" spans="1:27" x14ac:dyDescent="0.2">
      <c r="A136" s="44" t="s">
        <v>380</v>
      </c>
      <c r="B136" s="44" t="s">
        <v>394</v>
      </c>
      <c r="C136" s="91">
        <v>38203.33</v>
      </c>
      <c r="D136" s="139">
        <v>0</v>
      </c>
      <c r="E136" s="44" t="s">
        <v>100</v>
      </c>
      <c r="F136" s="122">
        <v>0.26</v>
      </c>
      <c r="G136" s="123">
        <v>3.96</v>
      </c>
      <c r="H136" s="44" t="s">
        <v>382</v>
      </c>
      <c r="I136" s="93" t="s">
        <v>383</v>
      </c>
      <c r="J136" s="44" t="s">
        <v>182</v>
      </c>
      <c r="K136" s="44" t="s">
        <v>395</v>
      </c>
      <c r="L136" s="93" t="s">
        <v>293</v>
      </c>
      <c r="M136" s="124">
        <v>25.08</v>
      </c>
      <c r="N136" s="44" t="s">
        <v>133</v>
      </c>
      <c r="O136" s="92" t="s">
        <v>102</v>
      </c>
      <c r="P136" s="110">
        <v>0</v>
      </c>
      <c r="Q136" s="44" t="s">
        <v>134</v>
      </c>
      <c r="R136" s="92" t="s">
        <v>385</v>
      </c>
      <c r="S136" s="125">
        <v>1.9004122657808129E-6</v>
      </c>
      <c r="T136" s="44" t="s">
        <v>136</v>
      </c>
      <c r="U136" s="92" t="s">
        <v>386</v>
      </c>
      <c r="V136" s="44" t="s">
        <v>387</v>
      </c>
      <c r="W136" s="44" t="s">
        <v>178</v>
      </c>
      <c r="X136" s="92" t="s">
        <v>388</v>
      </c>
      <c r="Y136" s="44" t="s">
        <v>389</v>
      </c>
      <c r="Z136" s="44" t="s">
        <v>97</v>
      </c>
      <c r="AA136" s="91" t="s">
        <v>388</v>
      </c>
    </row>
    <row r="137" spans="1:27" x14ac:dyDescent="0.2">
      <c r="A137" s="96" t="s">
        <v>380</v>
      </c>
      <c r="B137" s="44" t="s">
        <v>394</v>
      </c>
      <c r="C137" s="91">
        <v>190680.72</v>
      </c>
      <c r="D137" s="139">
        <v>0</v>
      </c>
      <c r="E137" s="44" t="s">
        <v>100</v>
      </c>
      <c r="F137" s="122">
        <v>0.3</v>
      </c>
      <c r="G137" s="123">
        <v>3.96</v>
      </c>
      <c r="H137" s="44" t="s">
        <v>382</v>
      </c>
      <c r="I137" s="93" t="s">
        <v>383</v>
      </c>
      <c r="J137" s="44" t="s">
        <v>182</v>
      </c>
      <c r="K137" s="44" t="s">
        <v>395</v>
      </c>
      <c r="L137" s="93" t="s">
        <v>293</v>
      </c>
      <c r="M137" s="124">
        <v>125.2</v>
      </c>
      <c r="N137" s="44" t="s">
        <v>133</v>
      </c>
      <c r="O137" s="92" t="s">
        <v>102</v>
      </c>
      <c r="P137" s="110">
        <v>0</v>
      </c>
      <c r="Q137" s="44" t="s">
        <v>134</v>
      </c>
      <c r="R137" s="92" t="s">
        <v>385</v>
      </c>
      <c r="S137" s="125">
        <v>9.4853503267565735E-6</v>
      </c>
      <c r="T137" s="44" t="s">
        <v>136</v>
      </c>
      <c r="U137" s="92" t="s">
        <v>386</v>
      </c>
      <c r="V137" s="44" t="s">
        <v>387</v>
      </c>
      <c r="W137" s="44" t="s">
        <v>178</v>
      </c>
      <c r="X137" s="92" t="s">
        <v>388</v>
      </c>
      <c r="Y137" s="96" t="s">
        <v>389</v>
      </c>
      <c r="Z137" s="44" t="s">
        <v>97</v>
      </c>
      <c r="AA137" s="91" t="s">
        <v>388</v>
      </c>
    </row>
    <row r="138" spans="1:27" x14ac:dyDescent="0.2">
      <c r="A138" s="97" t="s">
        <v>380</v>
      </c>
      <c r="B138" s="41" t="s">
        <v>394</v>
      </c>
      <c r="C138" s="94">
        <v>380913.52</v>
      </c>
      <c r="D138" s="140">
        <v>0</v>
      </c>
      <c r="E138" s="41" t="s">
        <v>100</v>
      </c>
      <c r="F138" s="126">
        <v>0.33</v>
      </c>
      <c r="G138" s="127">
        <v>3.96</v>
      </c>
      <c r="H138" s="41" t="s">
        <v>382</v>
      </c>
      <c r="I138" s="95" t="s">
        <v>383</v>
      </c>
      <c r="J138" s="41" t="s">
        <v>182</v>
      </c>
      <c r="K138" s="41" t="s">
        <v>395</v>
      </c>
      <c r="L138" s="95" t="s">
        <v>293</v>
      </c>
      <c r="M138" s="128">
        <v>250.11</v>
      </c>
      <c r="N138" s="41" t="s">
        <v>133</v>
      </c>
      <c r="O138" s="42" t="s">
        <v>102</v>
      </c>
      <c r="P138" s="52">
        <v>0</v>
      </c>
      <c r="Q138" s="41" t="s">
        <v>134</v>
      </c>
      <c r="R138" s="42" t="s">
        <v>385</v>
      </c>
      <c r="S138" s="129">
        <v>1.8948419317316491E-5</v>
      </c>
      <c r="T138" s="41" t="s">
        <v>136</v>
      </c>
      <c r="U138" s="42" t="s">
        <v>386</v>
      </c>
      <c r="V138" s="41" t="s">
        <v>387</v>
      </c>
      <c r="W138" s="41" t="s">
        <v>178</v>
      </c>
      <c r="X138" s="42" t="s">
        <v>388</v>
      </c>
      <c r="Y138" s="97" t="s">
        <v>389</v>
      </c>
      <c r="Z138" s="41" t="s">
        <v>97</v>
      </c>
      <c r="AA138" s="94" t="s">
        <v>388</v>
      </c>
    </row>
    <row r="139" spans="1:27" x14ac:dyDescent="0.2">
      <c r="A139" s="96" t="s">
        <v>380</v>
      </c>
      <c r="B139" s="44" t="s">
        <v>394</v>
      </c>
      <c r="C139" s="91">
        <v>75324.2</v>
      </c>
      <c r="D139" s="139">
        <v>0</v>
      </c>
      <c r="E139" s="44" t="s">
        <v>100</v>
      </c>
      <c r="F139" s="122">
        <v>0.6</v>
      </c>
      <c r="G139" s="123">
        <v>4.08</v>
      </c>
      <c r="H139" s="44" t="s">
        <v>382</v>
      </c>
      <c r="I139" s="93" t="s">
        <v>383</v>
      </c>
      <c r="J139" s="44" t="s">
        <v>182</v>
      </c>
      <c r="K139" s="44" t="s">
        <v>395</v>
      </c>
      <c r="L139" s="93" t="s">
        <v>293</v>
      </c>
      <c r="M139" s="124">
        <v>49.46</v>
      </c>
      <c r="N139" s="44" t="s">
        <v>133</v>
      </c>
      <c r="O139" s="92" t="s">
        <v>102</v>
      </c>
      <c r="P139" s="110">
        <v>0</v>
      </c>
      <c r="Q139" s="44" t="s">
        <v>134</v>
      </c>
      <c r="R139" s="92" t="s">
        <v>385</v>
      </c>
      <c r="S139" s="125">
        <v>3.7469779707445329E-6</v>
      </c>
      <c r="T139" s="44" t="s">
        <v>136</v>
      </c>
      <c r="U139" s="92" t="s">
        <v>386</v>
      </c>
      <c r="V139" s="44" t="s">
        <v>387</v>
      </c>
      <c r="W139" s="44" t="s">
        <v>178</v>
      </c>
      <c r="X139" s="92" t="s">
        <v>388</v>
      </c>
      <c r="Y139" s="96" t="s">
        <v>389</v>
      </c>
      <c r="Z139" s="44" t="s">
        <v>97</v>
      </c>
      <c r="AA139" s="91" t="s">
        <v>388</v>
      </c>
    </row>
    <row r="140" spans="1:27" x14ac:dyDescent="0.2">
      <c r="A140" s="97" t="s">
        <v>380</v>
      </c>
      <c r="B140" s="41" t="s">
        <v>396</v>
      </c>
      <c r="C140" s="94">
        <v>161678.29</v>
      </c>
      <c r="D140" s="140">
        <v>0</v>
      </c>
      <c r="E140" s="41" t="s">
        <v>100</v>
      </c>
      <c r="F140" s="126">
        <v>7.0000000000000007E-2</v>
      </c>
      <c r="G140" s="127">
        <v>3.9</v>
      </c>
      <c r="H140" s="41" t="s">
        <v>145</v>
      </c>
      <c r="I140" s="95" t="s">
        <v>383</v>
      </c>
      <c r="J140" s="41" t="s">
        <v>182</v>
      </c>
      <c r="K140" s="41" t="s">
        <v>397</v>
      </c>
      <c r="L140" s="95" t="s">
        <v>398</v>
      </c>
      <c r="M140" s="128">
        <v>106.16</v>
      </c>
      <c r="N140" s="41" t="s">
        <v>133</v>
      </c>
      <c r="O140" s="42" t="s">
        <v>102</v>
      </c>
      <c r="P140" s="52">
        <v>0</v>
      </c>
      <c r="Q140" s="41" t="s">
        <v>134</v>
      </c>
      <c r="R140" s="42" t="s">
        <v>135</v>
      </c>
      <c r="S140" s="129">
        <v>8.0426338328955186E-6</v>
      </c>
      <c r="T140" s="41" t="s">
        <v>136</v>
      </c>
      <c r="U140" s="42" t="s">
        <v>177</v>
      </c>
      <c r="V140" s="41" t="s">
        <v>138</v>
      </c>
      <c r="W140" s="41" t="s">
        <v>178</v>
      </c>
      <c r="X140" s="42" t="s">
        <v>388</v>
      </c>
      <c r="Y140" s="97" t="s">
        <v>389</v>
      </c>
      <c r="Z140" s="41" t="s">
        <v>97</v>
      </c>
      <c r="AA140" s="94" t="s">
        <v>388</v>
      </c>
    </row>
    <row r="141" spans="1:27" x14ac:dyDescent="0.2">
      <c r="A141" s="97" t="s">
        <v>380</v>
      </c>
      <c r="B141" s="41" t="s">
        <v>396</v>
      </c>
      <c r="C141" s="94">
        <v>38445.949999999997</v>
      </c>
      <c r="D141" s="140">
        <v>0</v>
      </c>
      <c r="E141" s="41" t="s">
        <v>100</v>
      </c>
      <c r="F141" s="126">
        <v>0.1</v>
      </c>
      <c r="G141" s="127">
        <v>3.96</v>
      </c>
      <c r="H141" s="41" t="s">
        <v>145</v>
      </c>
      <c r="I141" s="95" t="s">
        <v>383</v>
      </c>
      <c r="J141" s="41" t="s">
        <v>182</v>
      </c>
      <c r="K141" s="41" t="s">
        <v>397</v>
      </c>
      <c r="L141" s="95" t="s">
        <v>398</v>
      </c>
      <c r="M141" s="128">
        <v>25.24</v>
      </c>
      <c r="N141" s="41" t="s">
        <v>133</v>
      </c>
      <c r="O141" s="42" t="s">
        <v>102</v>
      </c>
      <c r="P141" s="52">
        <v>0</v>
      </c>
      <c r="Q141" s="41" t="s">
        <v>134</v>
      </c>
      <c r="R141" s="42" t="s">
        <v>135</v>
      </c>
      <c r="S141" s="129">
        <v>1.912481323716412E-6</v>
      </c>
      <c r="T141" s="41" t="s">
        <v>136</v>
      </c>
      <c r="U141" s="42" t="s">
        <v>177</v>
      </c>
      <c r="V141" s="41" t="s">
        <v>138</v>
      </c>
      <c r="W141" s="41" t="s">
        <v>178</v>
      </c>
      <c r="X141" s="42" t="s">
        <v>388</v>
      </c>
      <c r="Y141" s="97" t="s">
        <v>389</v>
      </c>
      <c r="Z141" s="41" t="s">
        <v>97</v>
      </c>
      <c r="AA141" s="94" t="s">
        <v>388</v>
      </c>
    </row>
    <row r="142" spans="1:27" x14ac:dyDescent="0.2">
      <c r="A142" s="97" t="s">
        <v>380</v>
      </c>
      <c r="B142" s="41" t="s">
        <v>396</v>
      </c>
      <c r="C142" s="94">
        <v>57650.26</v>
      </c>
      <c r="D142" s="140">
        <v>0</v>
      </c>
      <c r="E142" s="41" t="s">
        <v>100</v>
      </c>
      <c r="F142" s="126">
        <v>0.11</v>
      </c>
      <c r="G142" s="127">
        <v>3.84</v>
      </c>
      <c r="H142" s="41" t="s">
        <v>145</v>
      </c>
      <c r="I142" s="95" t="s">
        <v>383</v>
      </c>
      <c r="J142" s="41" t="s">
        <v>182</v>
      </c>
      <c r="K142" s="41" t="s">
        <v>397</v>
      </c>
      <c r="L142" s="95" t="s">
        <v>398</v>
      </c>
      <c r="M142" s="128">
        <v>37.85</v>
      </c>
      <c r="N142" s="41" t="s">
        <v>133</v>
      </c>
      <c r="O142" s="42" t="s">
        <v>102</v>
      </c>
      <c r="P142" s="52">
        <v>0</v>
      </c>
      <c r="Q142" s="41" t="s">
        <v>134</v>
      </c>
      <c r="R142" s="42" t="s">
        <v>135</v>
      </c>
      <c r="S142" s="129">
        <v>2.867793595737346E-6</v>
      </c>
      <c r="T142" s="41" t="s">
        <v>136</v>
      </c>
      <c r="U142" s="42" t="s">
        <v>177</v>
      </c>
      <c r="V142" s="41" t="s">
        <v>138</v>
      </c>
      <c r="W142" s="41" t="s">
        <v>178</v>
      </c>
      <c r="X142" s="42" t="s">
        <v>388</v>
      </c>
      <c r="Y142" s="97" t="s">
        <v>389</v>
      </c>
      <c r="Z142" s="41" t="s">
        <v>97</v>
      </c>
      <c r="AA142" s="94" t="s">
        <v>388</v>
      </c>
    </row>
    <row r="143" spans="1:27" x14ac:dyDescent="0.2">
      <c r="A143" s="97" t="s">
        <v>380</v>
      </c>
      <c r="B143" s="41" t="s">
        <v>399</v>
      </c>
      <c r="C143" s="94">
        <v>78795.539999999994</v>
      </c>
      <c r="D143" s="140">
        <v>0</v>
      </c>
      <c r="E143" s="41" t="s">
        <v>100</v>
      </c>
      <c r="F143" s="126">
        <v>0.01</v>
      </c>
      <c r="G143" s="127">
        <v>4.2</v>
      </c>
      <c r="H143" s="41" t="s">
        <v>400</v>
      </c>
      <c r="I143" s="95" t="s">
        <v>383</v>
      </c>
      <c r="J143" s="41" t="s">
        <v>182</v>
      </c>
      <c r="K143" s="41" t="s">
        <v>401</v>
      </c>
      <c r="L143" s="95" t="s">
        <v>402</v>
      </c>
      <c r="M143" s="128">
        <v>51.74</v>
      </c>
      <c r="N143" s="41" t="s">
        <v>133</v>
      </c>
      <c r="O143" s="42" t="s">
        <v>102</v>
      </c>
      <c r="P143" s="52">
        <v>0</v>
      </c>
      <c r="Q143" s="41" t="s">
        <v>134</v>
      </c>
      <c r="R143" s="42" t="s">
        <v>385</v>
      </c>
      <c r="S143" s="129">
        <v>3.9196583212941388E-6</v>
      </c>
      <c r="T143" s="41" t="s">
        <v>136</v>
      </c>
      <c r="U143" s="42" t="s">
        <v>386</v>
      </c>
      <c r="V143" s="41" t="s">
        <v>387</v>
      </c>
      <c r="W143" s="41" t="s">
        <v>178</v>
      </c>
      <c r="X143" s="42" t="s">
        <v>388</v>
      </c>
      <c r="Y143" s="97" t="s">
        <v>389</v>
      </c>
      <c r="Z143" s="41" t="s">
        <v>97</v>
      </c>
      <c r="AA143" s="94" t="s">
        <v>388</v>
      </c>
    </row>
    <row r="144" spans="1:27" x14ac:dyDescent="0.2">
      <c r="A144" s="96" t="s">
        <v>380</v>
      </c>
      <c r="B144" s="44" t="s">
        <v>399</v>
      </c>
      <c r="C144" s="91">
        <v>346704.09</v>
      </c>
      <c r="D144" s="139">
        <v>0</v>
      </c>
      <c r="E144" s="44" t="s">
        <v>100</v>
      </c>
      <c r="F144" s="122">
        <v>0.05</v>
      </c>
      <c r="G144" s="123">
        <v>4.0199999999999996</v>
      </c>
      <c r="H144" s="44" t="s">
        <v>400</v>
      </c>
      <c r="I144" s="93" t="s">
        <v>383</v>
      </c>
      <c r="J144" s="44" t="s">
        <v>182</v>
      </c>
      <c r="K144" s="44" t="s">
        <v>401</v>
      </c>
      <c r="L144" s="93" t="s">
        <v>402</v>
      </c>
      <c r="M144" s="124">
        <v>227.65</v>
      </c>
      <c r="N144" s="44" t="s">
        <v>133</v>
      </c>
      <c r="O144" s="92" t="s">
        <v>102</v>
      </c>
      <c r="P144" s="110">
        <v>0</v>
      </c>
      <c r="Q144" s="44" t="s">
        <v>134</v>
      </c>
      <c r="R144" s="92" t="s">
        <v>385</v>
      </c>
      <c r="S144" s="125">
        <v>1.7246682297631026E-5</v>
      </c>
      <c r="T144" s="44" t="s">
        <v>136</v>
      </c>
      <c r="U144" s="92" t="s">
        <v>386</v>
      </c>
      <c r="V144" s="44" t="s">
        <v>387</v>
      </c>
      <c r="W144" s="44" t="s">
        <v>178</v>
      </c>
      <c r="X144" s="92" t="s">
        <v>388</v>
      </c>
      <c r="Y144" s="96" t="s">
        <v>389</v>
      </c>
      <c r="Z144" s="44" t="s">
        <v>97</v>
      </c>
      <c r="AA144" s="91" t="s">
        <v>388</v>
      </c>
    </row>
    <row r="145" spans="1:27" x14ac:dyDescent="0.2">
      <c r="A145" s="96" t="s">
        <v>380</v>
      </c>
      <c r="B145" s="44" t="s">
        <v>399</v>
      </c>
      <c r="C145" s="91">
        <v>95853.59</v>
      </c>
      <c r="D145" s="139">
        <v>0</v>
      </c>
      <c r="E145" s="44" t="s">
        <v>100</v>
      </c>
      <c r="F145" s="122">
        <v>0.16</v>
      </c>
      <c r="G145" s="123">
        <v>4.1399999999999997</v>
      </c>
      <c r="H145" s="44" t="s">
        <v>400</v>
      </c>
      <c r="I145" s="93" t="s">
        <v>383</v>
      </c>
      <c r="J145" s="44" t="s">
        <v>182</v>
      </c>
      <c r="K145" s="44" t="s">
        <v>401</v>
      </c>
      <c r="L145" s="93" t="s">
        <v>402</v>
      </c>
      <c r="M145" s="124">
        <v>62.94</v>
      </c>
      <c r="N145" s="44" t="s">
        <v>133</v>
      </c>
      <c r="O145" s="92" t="s">
        <v>102</v>
      </c>
      <c r="P145" s="110">
        <v>0</v>
      </c>
      <c r="Q145" s="44" t="s">
        <v>134</v>
      </c>
      <c r="R145" s="92" t="s">
        <v>385</v>
      </c>
      <c r="S145" s="125">
        <v>4.7682058615181592E-6</v>
      </c>
      <c r="T145" s="44" t="s">
        <v>136</v>
      </c>
      <c r="U145" s="92" t="s">
        <v>386</v>
      </c>
      <c r="V145" s="44" t="s">
        <v>387</v>
      </c>
      <c r="W145" s="44" t="s">
        <v>178</v>
      </c>
      <c r="X145" s="92" t="s">
        <v>388</v>
      </c>
      <c r="Y145" s="96" t="s">
        <v>389</v>
      </c>
      <c r="Z145" s="44" t="s">
        <v>97</v>
      </c>
      <c r="AA145" s="91" t="s">
        <v>388</v>
      </c>
    </row>
    <row r="146" spans="1:27" x14ac:dyDescent="0.2">
      <c r="A146" s="96" t="s">
        <v>380</v>
      </c>
      <c r="B146" s="44" t="s">
        <v>399</v>
      </c>
      <c r="C146" s="91">
        <v>52573.9</v>
      </c>
      <c r="D146" s="139">
        <v>0</v>
      </c>
      <c r="E146" s="44" t="s">
        <v>100</v>
      </c>
      <c r="F146" s="122">
        <v>0.3</v>
      </c>
      <c r="G146" s="123">
        <v>4.68</v>
      </c>
      <c r="H146" s="44" t="s">
        <v>400</v>
      </c>
      <c r="I146" s="93" t="s">
        <v>383</v>
      </c>
      <c r="J146" s="44" t="s">
        <v>182</v>
      </c>
      <c r="K146" s="44" t="s">
        <v>401</v>
      </c>
      <c r="L146" s="93" t="s">
        <v>402</v>
      </c>
      <c r="M146" s="124">
        <v>34.520000000000003</v>
      </c>
      <c r="N146" s="44" t="s">
        <v>133</v>
      </c>
      <c r="O146" s="92" t="s">
        <v>102</v>
      </c>
      <c r="P146" s="110">
        <v>0</v>
      </c>
      <c r="Q146" s="44" t="s">
        <v>134</v>
      </c>
      <c r="R146" s="92" t="s">
        <v>385</v>
      </c>
      <c r="S146" s="125">
        <v>2.6152717888249045E-6</v>
      </c>
      <c r="T146" s="44" t="s">
        <v>136</v>
      </c>
      <c r="U146" s="92" t="s">
        <v>386</v>
      </c>
      <c r="V146" s="44" t="s">
        <v>387</v>
      </c>
      <c r="W146" s="44" t="s">
        <v>178</v>
      </c>
      <c r="X146" s="92" t="s">
        <v>388</v>
      </c>
      <c r="Y146" s="96" t="s">
        <v>389</v>
      </c>
      <c r="Z146" s="44" t="s">
        <v>97</v>
      </c>
      <c r="AA146" s="91" t="s">
        <v>388</v>
      </c>
    </row>
    <row r="147" spans="1:27" x14ac:dyDescent="0.2">
      <c r="A147" s="96" t="s">
        <v>380</v>
      </c>
      <c r="B147" s="44" t="s">
        <v>399</v>
      </c>
      <c r="C147" s="91">
        <v>37830.07</v>
      </c>
      <c r="D147" s="139">
        <v>0</v>
      </c>
      <c r="E147" s="44" t="s">
        <v>100</v>
      </c>
      <c r="F147" s="122">
        <v>0.47</v>
      </c>
      <c r="G147" s="123">
        <v>4.2</v>
      </c>
      <c r="H147" s="44" t="s">
        <v>400</v>
      </c>
      <c r="I147" s="93" t="s">
        <v>383</v>
      </c>
      <c r="J147" s="44" t="s">
        <v>182</v>
      </c>
      <c r="K147" s="44" t="s">
        <v>401</v>
      </c>
      <c r="L147" s="93" t="s">
        <v>402</v>
      </c>
      <c r="M147" s="124">
        <v>24.84</v>
      </c>
      <c r="N147" s="44" t="s">
        <v>133</v>
      </c>
      <c r="O147" s="92" t="s">
        <v>102</v>
      </c>
      <c r="P147" s="110">
        <v>0</v>
      </c>
      <c r="Q147" s="44" t="s">
        <v>134</v>
      </c>
      <c r="R147" s="92" t="s">
        <v>385</v>
      </c>
      <c r="S147" s="125">
        <v>1.881844483958778E-6</v>
      </c>
      <c r="T147" s="44" t="s">
        <v>136</v>
      </c>
      <c r="U147" s="92" t="s">
        <v>386</v>
      </c>
      <c r="V147" s="44" t="s">
        <v>387</v>
      </c>
      <c r="W147" s="44" t="s">
        <v>178</v>
      </c>
      <c r="X147" s="92" t="s">
        <v>388</v>
      </c>
      <c r="Y147" s="96" t="s">
        <v>389</v>
      </c>
      <c r="Z147" s="44" t="s">
        <v>97</v>
      </c>
      <c r="AA147" s="91" t="s">
        <v>388</v>
      </c>
    </row>
    <row r="148" spans="1:27" x14ac:dyDescent="0.2">
      <c r="A148" s="96" t="s">
        <v>380</v>
      </c>
      <c r="B148" s="44" t="s">
        <v>403</v>
      </c>
      <c r="C148" s="91">
        <v>57874.22</v>
      </c>
      <c r="D148" s="139">
        <v>0</v>
      </c>
      <c r="E148" s="44" t="s">
        <v>100</v>
      </c>
      <c r="F148" s="122">
        <v>0.01</v>
      </c>
      <c r="G148" s="123">
        <v>4.32</v>
      </c>
      <c r="H148" s="44" t="s">
        <v>382</v>
      </c>
      <c r="I148" s="93" t="s">
        <v>383</v>
      </c>
      <c r="J148" s="44" t="s">
        <v>182</v>
      </c>
      <c r="K148" s="44" t="s">
        <v>404</v>
      </c>
      <c r="L148" s="93" t="s">
        <v>405</v>
      </c>
      <c r="M148" s="124">
        <v>38</v>
      </c>
      <c r="N148" s="44" t="s">
        <v>133</v>
      </c>
      <c r="O148" s="92" t="s">
        <v>102</v>
      </c>
      <c r="P148" s="110">
        <v>0</v>
      </c>
      <c r="Q148" s="44" t="s">
        <v>134</v>
      </c>
      <c r="R148" s="92" t="s">
        <v>385</v>
      </c>
      <c r="S148" s="125">
        <v>2.8789342638356738E-6</v>
      </c>
      <c r="T148" s="44" t="s">
        <v>136</v>
      </c>
      <c r="U148" s="92" t="s">
        <v>386</v>
      </c>
      <c r="V148" s="44" t="s">
        <v>387</v>
      </c>
      <c r="W148" s="44" t="s">
        <v>178</v>
      </c>
      <c r="X148" s="92" t="s">
        <v>388</v>
      </c>
      <c r="Y148" s="96" t="s">
        <v>389</v>
      </c>
      <c r="Z148" s="44" t="s">
        <v>97</v>
      </c>
      <c r="AA148" s="91" t="s">
        <v>388</v>
      </c>
    </row>
    <row r="149" spans="1:27" x14ac:dyDescent="0.2">
      <c r="A149" s="97" t="s">
        <v>380</v>
      </c>
      <c r="B149" s="41" t="s">
        <v>403</v>
      </c>
      <c r="C149" s="94">
        <v>18961.689999999999</v>
      </c>
      <c r="D149" s="140">
        <v>0</v>
      </c>
      <c r="E149" s="41" t="s">
        <v>100</v>
      </c>
      <c r="F149" s="126">
        <v>0.42</v>
      </c>
      <c r="G149" s="127">
        <v>4.2</v>
      </c>
      <c r="H149" s="41" t="s">
        <v>382</v>
      </c>
      <c r="I149" s="95" t="s">
        <v>383</v>
      </c>
      <c r="J149" s="41" t="s">
        <v>182</v>
      </c>
      <c r="K149" s="41" t="s">
        <v>404</v>
      </c>
      <c r="L149" s="95" t="s">
        <v>405</v>
      </c>
      <c r="M149" s="128">
        <v>12.45</v>
      </c>
      <c r="N149" s="41" t="s">
        <v>133</v>
      </c>
      <c r="O149" s="42" t="s">
        <v>102</v>
      </c>
      <c r="P149" s="52">
        <v>0</v>
      </c>
      <c r="Q149" s="41" t="s">
        <v>134</v>
      </c>
      <c r="R149" s="42" t="s">
        <v>385</v>
      </c>
      <c r="S149" s="129">
        <v>9.4324321408533495E-7</v>
      </c>
      <c r="T149" s="41" t="s">
        <v>136</v>
      </c>
      <c r="U149" s="42" t="s">
        <v>386</v>
      </c>
      <c r="V149" s="41" t="s">
        <v>387</v>
      </c>
      <c r="W149" s="41" t="s">
        <v>178</v>
      </c>
      <c r="X149" s="42" t="s">
        <v>388</v>
      </c>
      <c r="Y149" s="97" t="s">
        <v>389</v>
      </c>
      <c r="Z149" s="41" t="s">
        <v>97</v>
      </c>
      <c r="AA149" s="94" t="s">
        <v>388</v>
      </c>
    </row>
    <row r="150" spans="1:27" x14ac:dyDescent="0.2">
      <c r="A150" s="96" t="s">
        <v>380</v>
      </c>
      <c r="B150" s="44" t="s">
        <v>403</v>
      </c>
      <c r="C150" s="91">
        <v>227297.69</v>
      </c>
      <c r="D150" s="139">
        <v>0</v>
      </c>
      <c r="E150" s="44" t="s">
        <v>100</v>
      </c>
      <c r="F150" s="122">
        <v>0.43</v>
      </c>
      <c r="G150" s="123">
        <v>4.32</v>
      </c>
      <c r="H150" s="44" t="s">
        <v>382</v>
      </c>
      <c r="I150" s="93" t="s">
        <v>383</v>
      </c>
      <c r="J150" s="44" t="s">
        <v>182</v>
      </c>
      <c r="K150" s="44" t="s">
        <v>404</v>
      </c>
      <c r="L150" s="93" t="s">
        <v>405</v>
      </c>
      <c r="M150" s="124">
        <v>149.25</v>
      </c>
      <c r="N150" s="44" t="s">
        <v>133</v>
      </c>
      <c r="O150" s="92" t="s">
        <v>102</v>
      </c>
      <c r="P150" s="110">
        <v>0</v>
      </c>
      <c r="Q150" s="44" t="s">
        <v>134</v>
      </c>
      <c r="R150" s="92" t="s">
        <v>385</v>
      </c>
      <c r="S150" s="125">
        <v>1.130684953098629E-5</v>
      </c>
      <c r="T150" s="44" t="s">
        <v>136</v>
      </c>
      <c r="U150" s="92" t="s">
        <v>386</v>
      </c>
      <c r="V150" s="44" t="s">
        <v>387</v>
      </c>
      <c r="W150" s="44" t="s">
        <v>178</v>
      </c>
      <c r="X150" s="92" t="s">
        <v>388</v>
      </c>
      <c r="Y150" s="96" t="s">
        <v>389</v>
      </c>
      <c r="Z150" s="44" t="s">
        <v>97</v>
      </c>
      <c r="AA150" s="91" t="s">
        <v>388</v>
      </c>
    </row>
    <row r="151" spans="1:27" x14ac:dyDescent="0.2">
      <c r="A151" s="97" t="s">
        <v>380</v>
      </c>
      <c r="B151" s="41" t="s">
        <v>406</v>
      </c>
      <c r="C151" s="94">
        <v>3844.6</v>
      </c>
      <c r="D151" s="140">
        <v>0</v>
      </c>
      <c r="E151" s="41" t="s">
        <v>100</v>
      </c>
      <c r="F151" s="126">
        <v>0.01</v>
      </c>
      <c r="G151" s="127">
        <v>3</v>
      </c>
      <c r="H151" s="41" t="s">
        <v>382</v>
      </c>
      <c r="I151" s="95" t="s">
        <v>383</v>
      </c>
      <c r="J151" s="41" t="s">
        <v>182</v>
      </c>
      <c r="K151" s="41" t="s">
        <v>407</v>
      </c>
      <c r="L151" s="95" t="s">
        <v>364</v>
      </c>
      <c r="M151" s="128">
        <v>2.52</v>
      </c>
      <c r="N151" s="41" t="s">
        <v>133</v>
      </c>
      <c r="O151" s="42" t="s">
        <v>102</v>
      </c>
      <c r="P151" s="52">
        <v>0</v>
      </c>
      <c r="Q151" s="41" t="s">
        <v>134</v>
      </c>
      <c r="R151" s="42" t="s">
        <v>385</v>
      </c>
      <c r="S151" s="129">
        <v>1.9124813237164121E-7</v>
      </c>
      <c r="T151" s="41" t="s">
        <v>136</v>
      </c>
      <c r="U151" s="42" t="s">
        <v>386</v>
      </c>
      <c r="V151" s="41" t="s">
        <v>387</v>
      </c>
      <c r="W151" s="41" t="s">
        <v>178</v>
      </c>
      <c r="X151" s="42" t="s">
        <v>388</v>
      </c>
      <c r="Y151" s="97" t="s">
        <v>389</v>
      </c>
      <c r="Z151" s="41" t="s">
        <v>97</v>
      </c>
      <c r="AA151" s="94" t="s">
        <v>388</v>
      </c>
    </row>
    <row r="152" spans="1:27" x14ac:dyDescent="0.2">
      <c r="A152" s="96" t="s">
        <v>380</v>
      </c>
      <c r="B152" s="44" t="s">
        <v>406</v>
      </c>
      <c r="C152" s="91">
        <v>38576.589999999997</v>
      </c>
      <c r="D152" s="139">
        <v>0</v>
      </c>
      <c r="E152" s="44" t="s">
        <v>100</v>
      </c>
      <c r="F152" s="122">
        <v>0.01</v>
      </c>
      <c r="G152" s="123">
        <v>3.72</v>
      </c>
      <c r="H152" s="44" t="s">
        <v>382</v>
      </c>
      <c r="I152" s="93" t="s">
        <v>383</v>
      </c>
      <c r="J152" s="44" t="s">
        <v>182</v>
      </c>
      <c r="K152" s="44" t="s">
        <v>407</v>
      </c>
      <c r="L152" s="93" t="s">
        <v>364</v>
      </c>
      <c r="M152" s="124">
        <v>25.33</v>
      </c>
      <c r="N152" s="44" t="s">
        <v>133</v>
      </c>
      <c r="O152" s="92" t="s">
        <v>102</v>
      </c>
      <c r="P152" s="110">
        <v>0</v>
      </c>
      <c r="Q152" s="44" t="s">
        <v>134</v>
      </c>
      <c r="R152" s="92" t="s">
        <v>385</v>
      </c>
      <c r="S152" s="125">
        <v>1.9189800476028476E-6</v>
      </c>
      <c r="T152" s="44" t="s">
        <v>136</v>
      </c>
      <c r="U152" s="92" t="s">
        <v>386</v>
      </c>
      <c r="V152" s="44" t="s">
        <v>387</v>
      </c>
      <c r="W152" s="44" t="s">
        <v>178</v>
      </c>
      <c r="X152" s="92" t="s">
        <v>388</v>
      </c>
      <c r="Y152" s="96" t="s">
        <v>389</v>
      </c>
      <c r="Z152" s="44" t="s">
        <v>97</v>
      </c>
      <c r="AA152" s="91" t="s">
        <v>388</v>
      </c>
    </row>
    <row r="153" spans="1:27" x14ac:dyDescent="0.2">
      <c r="A153" s="96" t="s">
        <v>380</v>
      </c>
      <c r="B153" s="44" t="s">
        <v>406</v>
      </c>
      <c r="C153" s="91">
        <v>77153.19</v>
      </c>
      <c r="D153" s="139">
        <v>0</v>
      </c>
      <c r="E153" s="44" t="s">
        <v>100</v>
      </c>
      <c r="F153" s="122">
        <v>0.02</v>
      </c>
      <c r="G153" s="123">
        <v>3.96</v>
      </c>
      <c r="H153" s="44" t="s">
        <v>382</v>
      </c>
      <c r="I153" s="93" t="s">
        <v>383</v>
      </c>
      <c r="J153" s="44" t="s">
        <v>182</v>
      </c>
      <c r="K153" s="44" t="s">
        <v>407</v>
      </c>
      <c r="L153" s="93" t="s">
        <v>364</v>
      </c>
      <c r="M153" s="124">
        <v>50.66</v>
      </c>
      <c r="N153" s="44" t="s">
        <v>133</v>
      </c>
      <c r="O153" s="92" t="s">
        <v>102</v>
      </c>
      <c r="P153" s="110">
        <v>0</v>
      </c>
      <c r="Q153" s="44" t="s">
        <v>134</v>
      </c>
      <c r="R153" s="92" t="s">
        <v>385</v>
      </c>
      <c r="S153" s="125">
        <v>3.8379600902312275E-6</v>
      </c>
      <c r="T153" s="44" t="s">
        <v>136</v>
      </c>
      <c r="U153" s="92" t="s">
        <v>386</v>
      </c>
      <c r="V153" s="44" t="s">
        <v>387</v>
      </c>
      <c r="W153" s="44" t="s">
        <v>178</v>
      </c>
      <c r="X153" s="92" t="s">
        <v>388</v>
      </c>
      <c r="Y153" s="96" t="s">
        <v>389</v>
      </c>
      <c r="Z153" s="44" t="s">
        <v>97</v>
      </c>
      <c r="AA153" s="91" t="s">
        <v>388</v>
      </c>
    </row>
    <row r="154" spans="1:27" x14ac:dyDescent="0.2">
      <c r="A154" s="97" t="s">
        <v>380</v>
      </c>
      <c r="B154" s="41" t="s">
        <v>406</v>
      </c>
      <c r="C154" s="94">
        <v>38501.94</v>
      </c>
      <c r="D154" s="140">
        <v>0</v>
      </c>
      <c r="E154" s="41" t="s">
        <v>100</v>
      </c>
      <c r="F154" s="126">
        <v>0.06</v>
      </c>
      <c r="G154" s="127">
        <v>3.84</v>
      </c>
      <c r="H154" s="41" t="s">
        <v>382</v>
      </c>
      <c r="I154" s="95" t="s">
        <v>383</v>
      </c>
      <c r="J154" s="41" t="s">
        <v>182</v>
      </c>
      <c r="K154" s="41" t="s">
        <v>407</v>
      </c>
      <c r="L154" s="95" t="s">
        <v>364</v>
      </c>
      <c r="M154" s="128">
        <v>25.28</v>
      </c>
      <c r="N154" s="41" t="s">
        <v>133</v>
      </c>
      <c r="O154" s="42" t="s">
        <v>102</v>
      </c>
      <c r="P154" s="52">
        <v>0</v>
      </c>
      <c r="Q154" s="41" t="s">
        <v>134</v>
      </c>
      <c r="R154" s="42" t="s">
        <v>385</v>
      </c>
      <c r="S154" s="129">
        <v>1.9152664882537602E-6</v>
      </c>
      <c r="T154" s="41" t="s">
        <v>136</v>
      </c>
      <c r="U154" s="42" t="s">
        <v>386</v>
      </c>
      <c r="V154" s="41" t="s">
        <v>387</v>
      </c>
      <c r="W154" s="41" t="s">
        <v>178</v>
      </c>
      <c r="X154" s="42" t="s">
        <v>388</v>
      </c>
      <c r="Y154" s="97" t="s">
        <v>389</v>
      </c>
      <c r="Z154" s="41" t="s">
        <v>97</v>
      </c>
      <c r="AA154" s="94" t="s">
        <v>388</v>
      </c>
    </row>
    <row r="155" spans="1:27" x14ac:dyDescent="0.2">
      <c r="A155" s="96" t="s">
        <v>380</v>
      </c>
      <c r="B155" s="44" t="s">
        <v>406</v>
      </c>
      <c r="C155" s="91">
        <v>72935.33</v>
      </c>
      <c r="D155" s="139">
        <v>0</v>
      </c>
      <c r="E155" s="44" t="s">
        <v>100</v>
      </c>
      <c r="F155" s="122">
        <v>0.08</v>
      </c>
      <c r="G155" s="123">
        <v>3.96</v>
      </c>
      <c r="H155" s="44" t="s">
        <v>382</v>
      </c>
      <c r="I155" s="93" t="s">
        <v>383</v>
      </c>
      <c r="J155" s="44" t="s">
        <v>182</v>
      </c>
      <c r="K155" s="44" t="s">
        <v>407</v>
      </c>
      <c r="L155" s="93" t="s">
        <v>364</v>
      </c>
      <c r="M155" s="124">
        <v>47.89</v>
      </c>
      <c r="N155" s="44" t="s">
        <v>133</v>
      </c>
      <c r="O155" s="92" t="s">
        <v>102</v>
      </c>
      <c r="P155" s="110">
        <v>0</v>
      </c>
      <c r="Q155" s="44" t="s">
        <v>134</v>
      </c>
      <c r="R155" s="92" t="s">
        <v>385</v>
      </c>
      <c r="S155" s="125">
        <v>3.6281441810120191E-6</v>
      </c>
      <c r="T155" s="44" t="s">
        <v>136</v>
      </c>
      <c r="U155" s="92" t="s">
        <v>386</v>
      </c>
      <c r="V155" s="44" t="s">
        <v>387</v>
      </c>
      <c r="W155" s="44" t="s">
        <v>178</v>
      </c>
      <c r="X155" s="92" t="s">
        <v>388</v>
      </c>
      <c r="Y155" s="96" t="s">
        <v>389</v>
      </c>
      <c r="Z155" s="44" t="s">
        <v>97</v>
      </c>
      <c r="AA155" s="91" t="s">
        <v>388</v>
      </c>
    </row>
    <row r="156" spans="1:27" x14ac:dyDescent="0.2">
      <c r="A156" s="96" t="s">
        <v>380</v>
      </c>
      <c r="B156" s="44" t="s">
        <v>406</v>
      </c>
      <c r="C156" s="91">
        <v>155202.20000000001</v>
      </c>
      <c r="D156" s="139">
        <v>0</v>
      </c>
      <c r="E156" s="44" t="s">
        <v>100</v>
      </c>
      <c r="F156" s="122">
        <v>0.09</v>
      </c>
      <c r="G156" s="123">
        <v>3.9</v>
      </c>
      <c r="H156" s="44" t="s">
        <v>382</v>
      </c>
      <c r="I156" s="93" t="s">
        <v>383</v>
      </c>
      <c r="J156" s="44" t="s">
        <v>182</v>
      </c>
      <c r="K156" s="44" t="s">
        <v>407</v>
      </c>
      <c r="L156" s="93" t="s">
        <v>364</v>
      </c>
      <c r="M156" s="124">
        <v>101.91</v>
      </c>
      <c r="N156" s="44" t="s">
        <v>133</v>
      </c>
      <c r="O156" s="92" t="s">
        <v>102</v>
      </c>
      <c r="P156" s="110">
        <v>0</v>
      </c>
      <c r="Q156" s="44" t="s">
        <v>134</v>
      </c>
      <c r="R156" s="92" t="s">
        <v>385</v>
      </c>
      <c r="S156" s="125">
        <v>7.7204828528557642E-6</v>
      </c>
      <c r="T156" s="44" t="s">
        <v>136</v>
      </c>
      <c r="U156" s="92" t="s">
        <v>386</v>
      </c>
      <c r="V156" s="44" t="s">
        <v>387</v>
      </c>
      <c r="W156" s="44" t="s">
        <v>178</v>
      </c>
      <c r="X156" s="92" t="s">
        <v>388</v>
      </c>
      <c r="Y156" s="96" t="s">
        <v>389</v>
      </c>
      <c r="Z156" s="44" t="s">
        <v>97</v>
      </c>
      <c r="AA156" s="91" t="s">
        <v>388</v>
      </c>
    </row>
    <row r="157" spans="1:27" x14ac:dyDescent="0.2">
      <c r="A157" s="97" t="s">
        <v>380</v>
      </c>
      <c r="B157" s="41" t="s">
        <v>406</v>
      </c>
      <c r="C157" s="94">
        <v>11533.79</v>
      </c>
      <c r="D157" s="140">
        <v>0</v>
      </c>
      <c r="E157" s="41" t="s">
        <v>100</v>
      </c>
      <c r="F157" s="126">
        <v>0.09</v>
      </c>
      <c r="G157" s="127">
        <v>3.96</v>
      </c>
      <c r="H157" s="41" t="s">
        <v>382</v>
      </c>
      <c r="I157" s="95" t="s">
        <v>383</v>
      </c>
      <c r="J157" s="41" t="s">
        <v>182</v>
      </c>
      <c r="K157" s="41" t="s">
        <v>407</v>
      </c>
      <c r="L157" s="95" t="s">
        <v>364</v>
      </c>
      <c r="M157" s="128">
        <v>7.57</v>
      </c>
      <c r="N157" s="41" t="s">
        <v>133</v>
      </c>
      <c r="O157" s="42" t="s">
        <v>102</v>
      </c>
      <c r="P157" s="52">
        <v>0</v>
      </c>
      <c r="Q157" s="41" t="s">
        <v>134</v>
      </c>
      <c r="R157" s="42" t="s">
        <v>385</v>
      </c>
      <c r="S157" s="129">
        <v>5.7374439711492365E-7</v>
      </c>
      <c r="T157" s="41" t="s">
        <v>136</v>
      </c>
      <c r="U157" s="42" t="s">
        <v>386</v>
      </c>
      <c r="V157" s="41" t="s">
        <v>387</v>
      </c>
      <c r="W157" s="41" t="s">
        <v>178</v>
      </c>
      <c r="X157" s="42" t="s">
        <v>388</v>
      </c>
      <c r="Y157" s="97" t="s">
        <v>389</v>
      </c>
      <c r="Z157" s="41" t="s">
        <v>97</v>
      </c>
      <c r="AA157" s="94" t="s">
        <v>388</v>
      </c>
    </row>
    <row r="158" spans="1:27" x14ac:dyDescent="0.2">
      <c r="A158" s="97" t="s">
        <v>380</v>
      </c>
      <c r="B158" s="41" t="s">
        <v>406</v>
      </c>
      <c r="C158" s="94">
        <v>383638.33</v>
      </c>
      <c r="D158" s="140">
        <v>0</v>
      </c>
      <c r="E158" s="41" t="s">
        <v>100</v>
      </c>
      <c r="F158" s="126">
        <v>0.16</v>
      </c>
      <c r="G158" s="127">
        <v>3.72</v>
      </c>
      <c r="H158" s="41" t="s">
        <v>382</v>
      </c>
      <c r="I158" s="95" t="s">
        <v>383</v>
      </c>
      <c r="J158" s="41" t="s">
        <v>182</v>
      </c>
      <c r="K158" s="41" t="s">
        <v>407</v>
      </c>
      <c r="L158" s="95" t="s">
        <v>364</v>
      </c>
      <c r="M158" s="128">
        <v>251.9</v>
      </c>
      <c r="N158" s="41" t="s">
        <v>133</v>
      </c>
      <c r="O158" s="42" t="s">
        <v>102</v>
      </c>
      <c r="P158" s="52">
        <v>0</v>
      </c>
      <c r="Q158" s="41" t="s">
        <v>134</v>
      </c>
      <c r="R158" s="42" t="s">
        <v>385</v>
      </c>
      <c r="S158" s="129">
        <v>1.9083964109196496E-5</v>
      </c>
      <c r="T158" s="41" t="s">
        <v>136</v>
      </c>
      <c r="U158" s="42" t="s">
        <v>386</v>
      </c>
      <c r="V158" s="41" t="s">
        <v>387</v>
      </c>
      <c r="W158" s="41" t="s">
        <v>178</v>
      </c>
      <c r="X158" s="42" t="s">
        <v>388</v>
      </c>
      <c r="Y158" s="97" t="s">
        <v>389</v>
      </c>
      <c r="Z158" s="41" t="s">
        <v>97</v>
      </c>
      <c r="AA158" s="94" t="s">
        <v>388</v>
      </c>
    </row>
    <row r="159" spans="1:27" x14ac:dyDescent="0.2">
      <c r="A159" s="96" t="s">
        <v>380</v>
      </c>
      <c r="B159" s="44" t="s">
        <v>406</v>
      </c>
      <c r="C159" s="91">
        <v>76462.649999999994</v>
      </c>
      <c r="D159" s="139">
        <v>0</v>
      </c>
      <c r="E159" s="44" t="s">
        <v>100</v>
      </c>
      <c r="F159" s="122">
        <v>0.24</v>
      </c>
      <c r="G159" s="123">
        <v>3.96</v>
      </c>
      <c r="H159" s="44" t="s">
        <v>382</v>
      </c>
      <c r="I159" s="93" t="s">
        <v>383</v>
      </c>
      <c r="J159" s="44" t="s">
        <v>182</v>
      </c>
      <c r="K159" s="44" t="s">
        <v>407</v>
      </c>
      <c r="L159" s="93" t="s">
        <v>364</v>
      </c>
      <c r="M159" s="124">
        <v>50.21</v>
      </c>
      <c r="N159" s="44" t="s">
        <v>133</v>
      </c>
      <c r="O159" s="92" t="s">
        <v>102</v>
      </c>
      <c r="P159" s="110">
        <v>0</v>
      </c>
      <c r="Q159" s="44" t="s">
        <v>134</v>
      </c>
      <c r="R159" s="92" t="s">
        <v>385</v>
      </c>
      <c r="S159" s="125">
        <v>3.8036097010734414E-6</v>
      </c>
      <c r="T159" s="44" t="s">
        <v>136</v>
      </c>
      <c r="U159" s="92" t="s">
        <v>386</v>
      </c>
      <c r="V159" s="44" t="s">
        <v>387</v>
      </c>
      <c r="W159" s="44" t="s">
        <v>178</v>
      </c>
      <c r="X159" s="92" t="s">
        <v>388</v>
      </c>
      <c r="Y159" s="96" t="s">
        <v>389</v>
      </c>
      <c r="Z159" s="44" t="s">
        <v>97</v>
      </c>
      <c r="AA159" s="91" t="s">
        <v>388</v>
      </c>
    </row>
    <row r="160" spans="1:27" x14ac:dyDescent="0.2">
      <c r="A160" s="96" t="s">
        <v>380</v>
      </c>
      <c r="B160" s="44" t="s">
        <v>406</v>
      </c>
      <c r="C160" s="91">
        <v>343960.62</v>
      </c>
      <c r="D160" s="139">
        <v>0</v>
      </c>
      <c r="E160" s="44" t="s">
        <v>100</v>
      </c>
      <c r="F160" s="122">
        <v>0.25</v>
      </c>
      <c r="G160" s="123">
        <v>3.96</v>
      </c>
      <c r="H160" s="44" t="s">
        <v>382</v>
      </c>
      <c r="I160" s="93" t="s">
        <v>383</v>
      </c>
      <c r="J160" s="44" t="s">
        <v>182</v>
      </c>
      <c r="K160" s="44" t="s">
        <v>407</v>
      </c>
      <c r="L160" s="93" t="s">
        <v>364</v>
      </c>
      <c r="M160" s="124">
        <v>225.85</v>
      </c>
      <c r="N160" s="44" t="s">
        <v>133</v>
      </c>
      <c r="O160" s="92" t="s">
        <v>102</v>
      </c>
      <c r="P160" s="110">
        <v>0</v>
      </c>
      <c r="Q160" s="44" t="s">
        <v>134</v>
      </c>
      <c r="R160" s="92" t="s">
        <v>385</v>
      </c>
      <c r="S160" s="125">
        <v>1.7110209115913751E-5</v>
      </c>
      <c r="T160" s="44" t="s">
        <v>136</v>
      </c>
      <c r="U160" s="92" t="s">
        <v>386</v>
      </c>
      <c r="V160" s="44" t="s">
        <v>387</v>
      </c>
      <c r="W160" s="44" t="s">
        <v>178</v>
      </c>
      <c r="X160" s="92" t="s">
        <v>388</v>
      </c>
      <c r="Y160" s="96" t="s">
        <v>389</v>
      </c>
      <c r="Z160" s="44" t="s">
        <v>97</v>
      </c>
      <c r="AA160" s="91" t="s">
        <v>388</v>
      </c>
    </row>
    <row r="161" spans="1:27" x14ac:dyDescent="0.2">
      <c r="A161" s="97" t="s">
        <v>380</v>
      </c>
      <c r="B161" s="41" t="s">
        <v>406</v>
      </c>
      <c r="C161" s="94">
        <v>152608.03</v>
      </c>
      <c r="D161" s="140">
        <v>0</v>
      </c>
      <c r="E161" s="41" t="s">
        <v>100</v>
      </c>
      <c r="F161" s="126">
        <v>0.28999999999999998</v>
      </c>
      <c r="G161" s="127">
        <v>3.96</v>
      </c>
      <c r="H161" s="41" t="s">
        <v>382</v>
      </c>
      <c r="I161" s="95" t="s">
        <v>383</v>
      </c>
      <c r="J161" s="41" t="s">
        <v>182</v>
      </c>
      <c r="K161" s="41" t="s">
        <v>407</v>
      </c>
      <c r="L161" s="95" t="s">
        <v>364</v>
      </c>
      <c r="M161" s="128">
        <v>100.2</v>
      </c>
      <c r="N161" s="41" t="s">
        <v>133</v>
      </c>
      <c r="O161" s="42" t="s">
        <v>102</v>
      </c>
      <c r="P161" s="52">
        <v>0</v>
      </c>
      <c r="Q161" s="41" t="s">
        <v>134</v>
      </c>
      <c r="R161" s="42" t="s">
        <v>385</v>
      </c>
      <c r="S161" s="129">
        <v>7.591436784862196E-6</v>
      </c>
      <c r="T161" s="41" t="s">
        <v>136</v>
      </c>
      <c r="U161" s="42" t="s">
        <v>386</v>
      </c>
      <c r="V161" s="41" t="s">
        <v>387</v>
      </c>
      <c r="W161" s="41" t="s">
        <v>178</v>
      </c>
      <c r="X161" s="42" t="s">
        <v>388</v>
      </c>
      <c r="Y161" s="97" t="s">
        <v>389</v>
      </c>
      <c r="Z161" s="41" t="s">
        <v>97</v>
      </c>
      <c r="AA161" s="94" t="s">
        <v>388</v>
      </c>
    </row>
    <row r="162" spans="1:27" x14ac:dyDescent="0.2">
      <c r="A162" s="87" t="s">
        <v>380</v>
      </c>
      <c r="B162" s="87" t="s">
        <v>406</v>
      </c>
      <c r="C162" s="88">
        <v>305197.40000000002</v>
      </c>
      <c r="D162" s="138">
        <v>0</v>
      </c>
      <c r="E162" s="87" t="s">
        <v>100</v>
      </c>
      <c r="F162" s="118">
        <v>0.3</v>
      </c>
      <c r="G162" s="119">
        <v>3.96</v>
      </c>
      <c r="H162" s="87" t="s">
        <v>382</v>
      </c>
      <c r="I162" s="90" t="s">
        <v>383</v>
      </c>
      <c r="J162" s="87" t="s">
        <v>182</v>
      </c>
      <c r="K162" s="87" t="s">
        <v>407</v>
      </c>
      <c r="L162" s="90" t="s">
        <v>364</v>
      </c>
      <c r="M162" s="120">
        <v>200.39</v>
      </c>
      <c r="N162" s="87" t="s">
        <v>133</v>
      </c>
      <c r="O162" s="89" t="s">
        <v>102</v>
      </c>
      <c r="P162" s="130">
        <v>0</v>
      </c>
      <c r="Q162" s="87" t="s">
        <v>134</v>
      </c>
      <c r="R162" s="89" t="s">
        <v>385</v>
      </c>
      <c r="S162" s="121">
        <v>1.518194517988712E-5</v>
      </c>
      <c r="T162" s="87" t="s">
        <v>136</v>
      </c>
      <c r="U162" s="89" t="s">
        <v>386</v>
      </c>
      <c r="V162" s="87" t="s">
        <v>387</v>
      </c>
      <c r="W162" s="87" t="s">
        <v>178</v>
      </c>
      <c r="X162" s="89" t="s">
        <v>388</v>
      </c>
      <c r="Y162" s="87" t="s">
        <v>389</v>
      </c>
      <c r="Z162" s="87" t="s">
        <v>97</v>
      </c>
      <c r="AA162" s="88" t="s">
        <v>388</v>
      </c>
    </row>
    <row r="163" spans="1:27" x14ac:dyDescent="0.2">
      <c r="A163" s="44" t="s">
        <v>380</v>
      </c>
      <c r="B163" s="44" t="s">
        <v>406</v>
      </c>
      <c r="C163" s="91">
        <v>381156.14</v>
      </c>
      <c r="D163" s="139">
        <v>0</v>
      </c>
      <c r="E163" s="44" t="s">
        <v>100</v>
      </c>
      <c r="F163" s="122">
        <v>0.32</v>
      </c>
      <c r="G163" s="123">
        <v>3.96</v>
      </c>
      <c r="H163" s="44" t="s">
        <v>382</v>
      </c>
      <c r="I163" s="93" t="s">
        <v>383</v>
      </c>
      <c r="J163" s="44" t="s">
        <v>182</v>
      </c>
      <c r="K163" s="44" t="s">
        <v>407</v>
      </c>
      <c r="L163" s="93" t="s">
        <v>364</v>
      </c>
      <c r="M163" s="124">
        <v>250.27</v>
      </c>
      <c r="N163" s="44" t="s">
        <v>133</v>
      </c>
      <c r="O163" s="92" t="s">
        <v>102</v>
      </c>
      <c r="P163" s="110">
        <v>0</v>
      </c>
      <c r="Q163" s="44" t="s">
        <v>134</v>
      </c>
      <c r="R163" s="92" t="s">
        <v>385</v>
      </c>
      <c r="S163" s="125">
        <v>1.8960488375252092E-5</v>
      </c>
      <c r="T163" s="44" t="s">
        <v>136</v>
      </c>
      <c r="U163" s="92" t="s">
        <v>386</v>
      </c>
      <c r="V163" s="44" t="s">
        <v>387</v>
      </c>
      <c r="W163" s="44" t="s">
        <v>178</v>
      </c>
      <c r="X163" s="92" t="s">
        <v>388</v>
      </c>
      <c r="Y163" s="44" t="s">
        <v>389</v>
      </c>
      <c r="Z163" s="44" t="s">
        <v>97</v>
      </c>
      <c r="AA163" s="91" t="s">
        <v>388</v>
      </c>
    </row>
    <row r="164" spans="1:27" x14ac:dyDescent="0.2">
      <c r="A164" s="41" t="s">
        <v>380</v>
      </c>
      <c r="B164" s="41" t="s">
        <v>406</v>
      </c>
      <c r="C164" s="94">
        <v>152328.07999999999</v>
      </c>
      <c r="D164" s="140">
        <v>0</v>
      </c>
      <c r="E164" s="41" t="s">
        <v>100</v>
      </c>
      <c r="F164" s="126">
        <v>0.34</v>
      </c>
      <c r="G164" s="127">
        <v>3.96</v>
      </c>
      <c r="H164" s="41" t="s">
        <v>382</v>
      </c>
      <c r="I164" s="95" t="s">
        <v>383</v>
      </c>
      <c r="J164" s="41" t="s">
        <v>182</v>
      </c>
      <c r="K164" s="41" t="s">
        <v>407</v>
      </c>
      <c r="L164" s="95" t="s">
        <v>364</v>
      </c>
      <c r="M164" s="128">
        <v>100.02</v>
      </c>
      <c r="N164" s="41" t="s">
        <v>133</v>
      </c>
      <c r="O164" s="42" t="s">
        <v>102</v>
      </c>
      <c r="P164" s="52">
        <v>0</v>
      </c>
      <c r="Q164" s="41" t="s">
        <v>134</v>
      </c>
      <c r="R164" s="42" t="s">
        <v>385</v>
      </c>
      <c r="S164" s="129">
        <v>7.5775109472520532E-6</v>
      </c>
      <c r="T164" s="41" t="s">
        <v>136</v>
      </c>
      <c r="U164" s="42" t="s">
        <v>386</v>
      </c>
      <c r="V164" s="41" t="s">
        <v>387</v>
      </c>
      <c r="W164" s="41" t="s">
        <v>178</v>
      </c>
      <c r="X164" s="42" t="s">
        <v>388</v>
      </c>
      <c r="Y164" s="41" t="s">
        <v>389</v>
      </c>
      <c r="Z164" s="41" t="s">
        <v>97</v>
      </c>
      <c r="AA164" s="94" t="s">
        <v>388</v>
      </c>
    </row>
    <row r="165" spans="1:27" x14ac:dyDescent="0.2">
      <c r="A165" s="44" t="s">
        <v>380</v>
      </c>
      <c r="B165" s="44" t="s">
        <v>406</v>
      </c>
      <c r="C165" s="91">
        <v>76052.06</v>
      </c>
      <c r="D165" s="139">
        <v>0</v>
      </c>
      <c r="E165" s="44" t="s">
        <v>100</v>
      </c>
      <c r="F165" s="122">
        <v>0.38</v>
      </c>
      <c r="G165" s="123">
        <v>3.96</v>
      </c>
      <c r="H165" s="44" t="s">
        <v>382</v>
      </c>
      <c r="I165" s="93" t="s">
        <v>383</v>
      </c>
      <c r="J165" s="44" t="s">
        <v>182</v>
      </c>
      <c r="K165" s="44" t="s">
        <v>407</v>
      </c>
      <c r="L165" s="93" t="s">
        <v>364</v>
      </c>
      <c r="M165" s="124">
        <v>49.94</v>
      </c>
      <c r="N165" s="44" t="s">
        <v>133</v>
      </c>
      <c r="O165" s="92" t="s">
        <v>102</v>
      </c>
      <c r="P165" s="110">
        <v>0</v>
      </c>
      <c r="Q165" s="44" t="s">
        <v>134</v>
      </c>
      <c r="R165" s="92" t="s">
        <v>385</v>
      </c>
      <c r="S165" s="125">
        <v>3.7831851395768629E-6</v>
      </c>
      <c r="T165" s="44" t="s">
        <v>136</v>
      </c>
      <c r="U165" s="92" t="s">
        <v>386</v>
      </c>
      <c r="V165" s="44" t="s">
        <v>387</v>
      </c>
      <c r="W165" s="44" t="s">
        <v>178</v>
      </c>
      <c r="X165" s="92" t="s">
        <v>388</v>
      </c>
      <c r="Y165" s="44" t="s">
        <v>389</v>
      </c>
      <c r="Z165" s="44" t="s">
        <v>97</v>
      </c>
      <c r="AA165" s="91" t="s">
        <v>388</v>
      </c>
    </row>
    <row r="166" spans="1:27" x14ac:dyDescent="0.2">
      <c r="A166" s="87" t="s">
        <v>380</v>
      </c>
      <c r="B166" s="87" t="s">
        <v>406</v>
      </c>
      <c r="C166" s="88">
        <v>37998.04</v>
      </c>
      <c r="D166" s="138">
        <v>0</v>
      </c>
      <c r="E166" s="87" t="s">
        <v>100</v>
      </c>
      <c r="F166" s="118">
        <v>0.39</v>
      </c>
      <c r="G166" s="119">
        <v>3.96</v>
      </c>
      <c r="H166" s="87" t="s">
        <v>382</v>
      </c>
      <c r="I166" s="90" t="s">
        <v>383</v>
      </c>
      <c r="J166" s="87" t="s">
        <v>182</v>
      </c>
      <c r="K166" s="87" t="s">
        <v>407</v>
      </c>
      <c r="L166" s="90" t="s">
        <v>364</v>
      </c>
      <c r="M166" s="120">
        <v>24.95</v>
      </c>
      <c r="N166" s="87" t="s">
        <v>133</v>
      </c>
      <c r="O166" s="89" t="s">
        <v>102</v>
      </c>
      <c r="P166" s="180">
        <v>0</v>
      </c>
      <c r="Q166" s="87" t="s">
        <v>134</v>
      </c>
      <c r="R166" s="89" t="s">
        <v>385</v>
      </c>
      <c r="S166" s="121">
        <v>1.8901999875197574E-6</v>
      </c>
      <c r="T166" s="87" t="s">
        <v>136</v>
      </c>
      <c r="U166" s="89" t="s">
        <v>386</v>
      </c>
      <c r="V166" s="87" t="s">
        <v>387</v>
      </c>
      <c r="W166" s="87" t="s">
        <v>178</v>
      </c>
      <c r="X166" s="89" t="s">
        <v>388</v>
      </c>
      <c r="Y166" s="87" t="s">
        <v>389</v>
      </c>
      <c r="Z166" s="87" t="s">
        <v>97</v>
      </c>
      <c r="AA166" s="88" t="s">
        <v>388</v>
      </c>
    </row>
    <row r="167" spans="1:27" x14ac:dyDescent="0.2">
      <c r="A167" s="44" t="s">
        <v>380</v>
      </c>
      <c r="B167" s="44" t="s">
        <v>408</v>
      </c>
      <c r="C167" s="91">
        <v>4628.4399999999996</v>
      </c>
      <c r="D167" s="139">
        <v>0</v>
      </c>
      <c r="E167" s="44" t="s">
        <v>100</v>
      </c>
      <c r="F167" s="122">
        <v>0.04</v>
      </c>
      <c r="G167" s="123">
        <v>3.84</v>
      </c>
      <c r="H167" s="44" t="s">
        <v>382</v>
      </c>
      <c r="I167" s="93" t="s">
        <v>383</v>
      </c>
      <c r="J167" s="44" t="s">
        <v>182</v>
      </c>
      <c r="K167" s="44" t="s">
        <v>409</v>
      </c>
      <c r="L167" s="93" t="s">
        <v>341</v>
      </c>
      <c r="M167" s="124">
        <v>3.04</v>
      </c>
      <c r="N167" s="44" t="s">
        <v>133</v>
      </c>
      <c r="O167" s="92" t="s">
        <v>102</v>
      </c>
      <c r="P167" s="110">
        <v>0</v>
      </c>
      <c r="Q167" s="44" t="s">
        <v>134</v>
      </c>
      <c r="R167" s="92" t="s">
        <v>385</v>
      </c>
      <c r="S167" s="125">
        <v>2.3024047071578693E-7</v>
      </c>
      <c r="T167" s="44" t="s">
        <v>136</v>
      </c>
      <c r="U167" s="92" t="s">
        <v>386</v>
      </c>
      <c r="V167" s="44" t="s">
        <v>387</v>
      </c>
      <c r="W167" s="44" t="s">
        <v>178</v>
      </c>
      <c r="X167" s="92" t="s">
        <v>388</v>
      </c>
      <c r="Y167" s="44" t="s">
        <v>389</v>
      </c>
      <c r="Z167" s="44" t="s">
        <v>97</v>
      </c>
      <c r="AA167" s="91" t="s">
        <v>388</v>
      </c>
    </row>
    <row r="168" spans="1:27" x14ac:dyDescent="0.2">
      <c r="A168" s="41" t="s">
        <v>380</v>
      </c>
      <c r="B168" s="41" t="s">
        <v>408</v>
      </c>
      <c r="C168" s="94">
        <v>76761.259999999995</v>
      </c>
      <c r="D168" s="140">
        <v>0</v>
      </c>
      <c r="E168" s="41" t="s">
        <v>100</v>
      </c>
      <c r="F168" s="126">
        <v>0.14000000000000001</v>
      </c>
      <c r="G168" s="127">
        <v>3.96</v>
      </c>
      <c r="H168" s="41" t="s">
        <v>382</v>
      </c>
      <c r="I168" s="95" t="s">
        <v>383</v>
      </c>
      <c r="J168" s="41" t="s">
        <v>182</v>
      </c>
      <c r="K168" s="41" t="s">
        <v>409</v>
      </c>
      <c r="L168" s="95" t="s">
        <v>341</v>
      </c>
      <c r="M168" s="128">
        <v>50.4</v>
      </c>
      <c r="N168" s="41" t="s">
        <v>133</v>
      </c>
      <c r="O168" s="42" t="s">
        <v>102</v>
      </c>
      <c r="P168" s="52">
        <v>0</v>
      </c>
      <c r="Q168" s="41" t="s">
        <v>134</v>
      </c>
      <c r="R168" s="42" t="s">
        <v>385</v>
      </c>
      <c r="S168" s="129">
        <v>3.8184639235463884E-6</v>
      </c>
      <c r="T168" s="41" t="s">
        <v>136</v>
      </c>
      <c r="U168" s="42" t="s">
        <v>386</v>
      </c>
      <c r="V168" s="41" t="s">
        <v>387</v>
      </c>
      <c r="W168" s="41" t="s">
        <v>178</v>
      </c>
      <c r="X168" s="42" t="s">
        <v>388</v>
      </c>
      <c r="Y168" s="41" t="s">
        <v>389</v>
      </c>
      <c r="Z168" s="41" t="s">
        <v>97</v>
      </c>
      <c r="AA168" s="94" t="s">
        <v>388</v>
      </c>
    </row>
    <row r="169" spans="1:27" x14ac:dyDescent="0.2">
      <c r="A169" s="44" t="s">
        <v>380</v>
      </c>
      <c r="B169" s="44" t="s">
        <v>408</v>
      </c>
      <c r="C169" s="91">
        <v>76630.62</v>
      </c>
      <c r="D169" s="139">
        <v>0</v>
      </c>
      <c r="E169" s="44" t="s">
        <v>100</v>
      </c>
      <c r="F169" s="122">
        <v>0.18</v>
      </c>
      <c r="G169" s="123">
        <v>3.96</v>
      </c>
      <c r="H169" s="44" t="s">
        <v>382</v>
      </c>
      <c r="I169" s="93" t="s">
        <v>383</v>
      </c>
      <c r="J169" s="44" t="s">
        <v>182</v>
      </c>
      <c r="K169" s="44" t="s">
        <v>409</v>
      </c>
      <c r="L169" s="93" t="s">
        <v>341</v>
      </c>
      <c r="M169" s="124">
        <v>50.32</v>
      </c>
      <c r="N169" s="44" t="s">
        <v>133</v>
      </c>
      <c r="O169" s="92" t="s">
        <v>102</v>
      </c>
      <c r="P169" s="110">
        <v>0</v>
      </c>
      <c r="Q169" s="44" t="s">
        <v>134</v>
      </c>
      <c r="R169" s="92" t="s">
        <v>385</v>
      </c>
      <c r="S169" s="125">
        <v>3.8119651996599532E-6</v>
      </c>
      <c r="T169" s="44" t="s">
        <v>136</v>
      </c>
      <c r="U169" s="92" t="s">
        <v>386</v>
      </c>
      <c r="V169" s="44" t="s">
        <v>387</v>
      </c>
      <c r="W169" s="44" t="s">
        <v>178</v>
      </c>
      <c r="X169" s="92" t="s">
        <v>388</v>
      </c>
      <c r="Y169" s="44" t="s">
        <v>389</v>
      </c>
      <c r="Z169" s="44" t="s">
        <v>97</v>
      </c>
      <c r="AA169" s="91" t="s">
        <v>388</v>
      </c>
    </row>
    <row r="170" spans="1:27" x14ac:dyDescent="0.2">
      <c r="A170" s="41" t="s">
        <v>380</v>
      </c>
      <c r="B170" s="41" t="s">
        <v>408</v>
      </c>
      <c r="C170" s="94">
        <v>38277.980000000003</v>
      </c>
      <c r="D170" s="140">
        <v>0</v>
      </c>
      <c r="E170" s="41" t="s">
        <v>100</v>
      </c>
      <c r="F170" s="126">
        <v>0.2</v>
      </c>
      <c r="G170" s="127">
        <v>3.96</v>
      </c>
      <c r="H170" s="41" t="s">
        <v>382</v>
      </c>
      <c r="I170" s="95" t="s">
        <v>383</v>
      </c>
      <c r="J170" s="41" t="s">
        <v>182</v>
      </c>
      <c r="K170" s="41" t="s">
        <v>409</v>
      </c>
      <c r="L170" s="95" t="s">
        <v>341</v>
      </c>
      <c r="M170" s="128">
        <v>25.13</v>
      </c>
      <c r="N170" s="41" t="s">
        <v>133</v>
      </c>
      <c r="O170" s="42" t="s">
        <v>102</v>
      </c>
      <c r="P170" s="52">
        <v>0</v>
      </c>
      <c r="Q170" s="41" t="s">
        <v>134</v>
      </c>
      <c r="R170" s="42" t="s">
        <v>385</v>
      </c>
      <c r="S170" s="129">
        <v>1.9041258201554328E-6</v>
      </c>
      <c r="T170" s="41" t="s">
        <v>136</v>
      </c>
      <c r="U170" s="42" t="s">
        <v>386</v>
      </c>
      <c r="V170" s="41" t="s">
        <v>387</v>
      </c>
      <c r="W170" s="41" t="s">
        <v>178</v>
      </c>
      <c r="X170" s="42" t="s">
        <v>388</v>
      </c>
      <c r="Y170" s="41" t="s">
        <v>389</v>
      </c>
      <c r="Z170" s="41" t="s">
        <v>97</v>
      </c>
      <c r="AA170" s="94" t="s">
        <v>388</v>
      </c>
    </row>
    <row r="171" spans="1:27" x14ac:dyDescent="0.2">
      <c r="A171" s="44" t="s">
        <v>380</v>
      </c>
      <c r="B171" s="44" t="s">
        <v>408</v>
      </c>
      <c r="C171" s="91">
        <v>76388</v>
      </c>
      <c r="D171" s="139">
        <v>0</v>
      </c>
      <c r="E171" s="44" t="s">
        <v>100</v>
      </c>
      <c r="F171" s="122">
        <v>0.27</v>
      </c>
      <c r="G171" s="123">
        <v>3.96</v>
      </c>
      <c r="H171" s="44" t="s">
        <v>382</v>
      </c>
      <c r="I171" s="93" t="s">
        <v>383</v>
      </c>
      <c r="J171" s="44" t="s">
        <v>182</v>
      </c>
      <c r="K171" s="44" t="s">
        <v>409</v>
      </c>
      <c r="L171" s="93" t="s">
        <v>341</v>
      </c>
      <c r="M171" s="124">
        <v>50.16</v>
      </c>
      <c r="N171" s="44" t="s">
        <v>133</v>
      </c>
      <c r="O171" s="92" t="s">
        <v>102</v>
      </c>
      <c r="P171" s="110">
        <v>0</v>
      </c>
      <c r="Q171" s="44" t="s">
        <v>134</v>
      </c>
      <c r="R171" s="92" t="s">
        <v>385</v>
      </c>
      <c r="S171" s="125">
        <v>3.7998961417243539E-6</v>
      </c>
      <c r="T171" s="44" t="s">
        <v>136</v>
      </c>
      <c r="U171" s="92" t="s">
        <v>386</v>
      </c>
      <c r="V171" s="44" t="s">
        <v>387</v>
      </c>
      <c r="W171" s="44" t="s">
        <v>178</v>
      </c>
      <c r="X171" s="92" t="s">
        <v>388</v>
      </c>
      <c r="Y171" s="44" t="s">
        <v>389</v>
      </c>
      <c r="Z171" s="44" t="s">
        <v>97</v>
      </c>
      <c r="AA171" s="91" t="s">
        <v>388</v>
      </c>
    </row>
    <row r="172" spans="1:27" x14ac:dyDescent="0.2">
      <c r="A172" s="41" t="s">
        <v>380</v>
      </c>
      <c r="B172" s="41" t="s">
        <v>408</v>
      </c>
      <c r="C172" s="94">
        <v>419882.04</v>
      </c>
      <c r="D172" s="140">
        <v>0</v>
      </c>
      <c r="E172" s="41" t="s">
        <v>100</v>
      </c>
      <c r="F172" s="126">
        <v>0.28000000000000003</v>
      </c>
      <c r="G172" s="127">
        <v>4</v>
      </c>
      <c r="H172" s="41" t="s">
        <v>382</v>
      </c>
      <c r="I172" s="95" t="s">
        <v>383</v>
      </c>
      <c r="J172" s="41" t="s">
        <v>182</v>
      </c>
      <c r="K172" s="41" t="s">
        <v>409</v>
      </c>
      <c r="L172" s="95" t="s">
        <v>341</v>
      </c>
      <c r="M172" s="128">
        <v>275.7</v>
      </c>
      <c r="N172" s="41" t="s">
        <v>133</v>
      </c>
      <c r="O172" s="42" t="s">
        <v>102</v>
      </c>
      <c r="P172" s="52">
        <v>0</v>
      </c>
      <c r="Q172" s="41" t="s">
        <v>134</v>
      </c>
      <c r="R172" s="42" t="s">
        <v>385</v>
      </c>
      <c r="S172" s="129">
        <v>2.0886895531604177E-5</v>
      </c>
      <c r="T172" s="41" t="s">
        <v>136</v>
      </c>
      <c r="U172" s="42" t="s">
        <v>386</v>
      </c>
      <c r="V172" s="41" t="s">
        <v>387</v>
      </c>
      <c r="W172" s="41" t="s">
        <v>178</v>
      </c>
      <c r="X172" s="42" t="s">
        <v>388</v>
      </c>
      <c r="Y172" s="41" t="s">
        <v>389</v>
      </c>
      <c r="Z172" s="41" t="s">
        <v>97</v>
      </c>
      <c r="AA172" s="94" t="s">
        <v>388</v>
      </c>
    </row>
    <row r="173" spans="1:27" x14ac:dyDescent="0.2">
      <c r="A173" s="44" t="s">
        <v>380</v>
      </c>
      <c r="B173" s="44" t="s">
        <v>408</v>
      </c>
      <c r="C173" s="91">
        <v>267068.71999999997</v>
      </c>
      <c r="D173" s="139">
        <v>0</v>
      </c>
      <c r="E173" s="44" t="s">
        <v>100</v>
      </c>
      <c r="F173" s="122">
        <v>0.28999999999999998</v>
      </c>
      <c r="G173" s="123">
        <v>3.96</v>
      </c>
      <c r="H173" s="44" t="s">
        <v>382</v>
      </c>
      <c r="I173" s="93" t="s">
        <v>383</v>
      </c>
      <c r="J173" s="44" t="s">
        <v>182</v>
      </c>
      <c r="K173" s="44" t="s">
        <v>409</v>
      </c>
      <c r="L173" s="93" t="s">
        <v>341</v>
      </c>
      <c r="M173" s="124">
        <v>175.36</v>
      </c>
      <c r="N173" s="44" t="s">
        <v>133</v>
      </c>
      <c r="O173" s="92" t="s">
        <v>102</v>
      </c>
      <c r="P173" s="110">
        <v>0</v>
      </c>
      <c r="Q173" s="44" t="s">
        <v>134</v>
      </c>
      <c r="R173" s="92" t="s">
        <v>385</v>
      </c>
      <c r="S173" s="125">
        <v>1.3285246468480927E-5</v>
      </c>
      <c r="T173" s="44" t="s">
        <v>136</v>
      </c>
      <c r="U173" s="92" t="s">
        <v>386</v>
      </c>
      <c r="V173" s="44" t="s">
        <v>387</v>
      </c>
      <c r="W173" s="44" t="s">
        <v>178</v>
      </c>
      <c r="X173" s="92" t="s">
        <v>388</v>
      </c>
      <c r="Y173" s="44" t="s">
        <v>389</v>
      </c>
      <c r="Z173" s="44" t="s">
        <v>97</v>
      </c>
      <c r="AA173" s="91" t="s">
        <v>388</v>
      </c>
    </row>
    <row r="174" spans="1:27" x14ac:dyDescent="0.2">
      <c r="A174" s="41" t="s">
        <v>380</v>
      </c>
      <c r="B174" s="41" t="s">
        <v>408</v>
      </c>
      <c r="C174" s="94">
        <v>75604.149999999994</v>
      </c>
      <c r="D174" s="140">
        <v>0</v>
      </c>
      <c r="E174" s="41" t="s">
        <v>100</v>
      </c>
      <c r="F174" s="126">
        <v>0.51</v>
      </c>
      <c r="G174" s="127">
        <v>4.08</v>
      </c>
      <c r="H174" s="41" t="s">
        <v>382</v>
      </c>
      <c r="I174" s="95" t="s">
        <v>383</v>
      </c>
      <c r="J174" s="41" t="s">
        <v>182</v>
      </c>
      <c r="K174" s="41" t="s">
        <v>409</v>
      </c>
      <c r="L174" s="95" t="s">
        <v>341</v>
      </c>
      <c r="M174" s="128">
        <v>49.64</v>
      </c>
      <c r="N174" s="41" t="s">
        <v>133</v>
      </c>
      <c r="O174" s="42" t="s">
        <v>102</v>
      </c>
      <c r="P174" s="52">
        <v>0</v>
      </c>
      <c r="Q174" s="41" t="s">
        <v>134</v>
      </c>
      <c r="R174" s="42" t="s">
        <v>385</v>
      </c>
      <c r="S174" s="129">
        <v>3.7609038033802083E-6</v>
      </c>
      <c r="T174" s="41" t="s">
        <v>136</v>
      </c>
      <c r="U174" s="42" t="s">
        <v>386</v>
      </c>
      <c r="V174" s="41" t="s">
        <v>387</v>
      </c>
      <c r="W174" s="41" t="s">
        <v>178</v>
      </c>
      <c r="X174" s="42" t="s">
        <v>388</v>
      </c>
      <c r="Y174" s="41" t="s">
        <v>389</v>
      </c>
      <c r="Z174" s="41" t="s">
        <v>97</v>
      </c>
      <c r="AA174" s="94" t="s">
        <v>388</v>
      </c>
    </row>
    <row r="175" spans="1:27" x14ac:dyDescent="0.2">
      <c r="A175" s="44" t="s">
        <v>380</v>
      </c>
      <c r="B175" s="44" t="s">
        <v>196</v>
      </c>
      <c r="C175" s="91">
        <v>157665.73000000001</v>
      </c>
      <c r="D175" s="139">
        <v>0</v>
      </c>
      <c r="E175" s="44" t="s">
        <v>100</v>
      </c>
      <c r="F175" s="122">
        <v>0.01</v>
      </c>
      <c r="G175" s="123">
        <v>3.84</v>
      </c>
      <c r="H175" s="44" t="s">
        <v>382</v>
      </c>
      <c r="I175" s="93" t="s">
        <v>383</v>
      </c>
      <c r="J175" s="44" t="s">
        <v>182</v>
      </c>
      <c r="K175" s="44" t="s">
        <v>410</v>
      </c>
      <c r="L175" s="93" t="s">
        <v>196</v>
      </c>
      <c r="M175" s="124">
        <v>103.52</v>
      </c>
      <c r="N175" s="44" t="s">
        <v>133</v>
      </c>
      <c r="O175" s="92" t="s">
        <v>102</v>
      </c>
      <c r="P175" s="110">
        <v>0</v>
      </c>
      <c r="Q175" s="44" t="s">
        <v>134</v>
      </c>
      <c r="R175" s="92" t="s">
        <v>385</v>
      </c>
      <c r="S175" s="125">
        <v>7.8430302019373655E-6</v>
      </c>
      <c r="T175" s="44" t="s">
        <v>136</v>
      </c>
      <c r="U175" s="92" t="s">
        <v>386</v>
      </c>
      <c r="V175" s="44" t="s">
        <v>387</v>
      </c>
      <c r="W175" s="44" t="s">
        <v>178</v>
      </c>
      <c r="X175" s="92" t="s">
        <v>388</v>
      </c>
      <c r="Y175" s="44" t="s">
        <v>389</v>
      </c>
      <c r="Z175" s="44" t="s">
        <v>97</v>
      </c>
      <c r="AA175" s="91" t="s">
        <v>388</v>
      </c>
    </row>
    <row r="176" spans="1:27" x14ac:dyDescent="0.2">
      <c r="A176" s="41" t="s">
        <v>380</v>
      </c>
      <c r="B176" s="41" t="s">
        <v>196</v>
      </c>
      <c r="C176" s="94">
        <v>462937.77</v>
      </c>
      <c r="D176" s="140">
        <v>0</v>
      </c>
      <c r="E176" s="41" t="s">
        <v>100</v>
      </c>
      <c r="F176" s="126">
        <v>0.02</v>
      </c>
      <c r="G176" s="127">
        <v>3.72</v>
      </c>
      <c r="H176" s="41" t="s">
        <v>382</v>
      </c>
      <c r="I176" s="95" t="s">
        <v>383</v>
      </c>
      <c r="J176" s="41" t="s">
        <v>182</v>
      </c>
      <c r="K176" s="41" t="s">
        <v>410</v>
      </c>
      <c r="L176" s="95" t="s">
        <v>196</v>
      </c>
      <c r="M176" s="128">
        <v>303.97000000000003</v>
      </c>
      <c r="N176" s="41" t="s">
        <v>133</v>
      </c>
      <c r="O176" s="42" t="s">
        <v>102</v>
      </c>
      <c r="P176" s="52">
        <v>0</v>
      </c>
      <c r="Q176" s="41" t="s">
        <v>134</v>
      </c>
      <c r="R176" s="42" t="s">
        <v>385</v>
      </c>
      <c r="S176" s="129">
        <v>2.3028688936199105E-5</v>
      </c>
      <c r="T176" s="41" t="s">
        <v>136</v>
      </c>
      <c r="U176" s="42" t="s">
        <v>386</v>
      </c>
      <c r="V176" s="41" t="s">
        <v>387</v>
      </c>
      <c r="W176" s="41" t="s">
        <v>178</v>
      </c>
      <c r="X176" s="42" t="s">
        <v>388</v>
      </c>
      <c r="Y176" s="41" t="s">
        <v>389</v>
      </c>
      <c r="Z176" s="41" t="s">
        <v>97</v>
      </c>
      <c r="AA176" s="94" t="s">
        <v>388</v>
      </c>
    </row>
    <row r="177" spans="1:27" x14ac:dyDescent="0.2">
      <c r="A177" s="44" t="s">
        <v>380</v>
      </c>
      <c r="B177" s="44" t="s">
        <v>196</v>
      </c>
      <c r="C177" s="91">
        <v>57799.57</v>
      </c>
      <c r="D177" s="139">
        <v>0</v>
      </c>
      <c r="E177" s="44" t="s">
        <v>100</v>
      </c>
      <c r="F177" s="122">
        <v>0.04</v>
      </c>
      <c r="G177" s="123">
        <v>3.88</v>
      </c>
      <c r="H177" s="44" t="s">
        <v>382</v>
      </c>
      <c r="I177" s="93" t="s">
        <v>383</v>
      </c>
      <c r="J177" s="44" t="s">
        <v>182</v>
      </c>
      <c r="K177" s="44" t="s">
        <v>410</v>
      </c>
      <c r="L177" s="93" t="s">
        <v>196</v>
      </c>
      <c r="M177" s="124">
        <v>37.950000000000003</v>
      </c>
      <c r="N177" s="44" t="s">
        <v>133</v>
      </c>
      <c r="O177" s="92" t="s">
        <v>102</v>
      </c>
      <c r="P177" s="110">
        <v>0</v>
      </c>
      <c r="Q177" s="44" t="s">
        <v>134</v>
      </c>
      <c r="R177" s="92" t="s">
        <v>385</v>
      </c>
      <c r="S177" s="125">
        <v>2.8752207094610537E-6</v>
      </c>
      <c r="T177" s="44" t="s">
        <v>136</v>
      </c>
      <c r="U177" s="92" t="s">
        <v>386</v>
      </c>
      <c r="V177" s="44" t="s">
        <v>387</v>
      </c>
      <c r="W177" s="44" t="s">
        <v>178</v>
      </c>
      <c r="X177" s="92" t="s">
        <v>388</v>
      </c>
      <c r="Y177" s="44" t="s">
        <v>389</v>
      </c>
      <c r="Z177" s="44" t="s">
        <v>97</v>
      </c>
      <c r="AA177" s="91" t="s">
        <v>388</v>
      </c>
    </row>
    <row r="178" spans="1:27" x14ac:dyDescent="0.2">
      <c r="A178" s="41" t="s">
        <v>380</v>
      </c>
      <c r="B178" s="41" t="s">
        <v>196</v>
      </c>
      <c r="C178" s="94">
        <v>195850.39</v>
      </c>
      <c r="D178" s="140">
        <v>0</v>
      </c>
      <c r="E178" s="41" t="s">
        <v>100</v>
      </c>
      <c r="F178" s="126">
        <v>0.06</v>
      </c>
      <c r="G178" s="127">
        <v>3.96</v>
      </c>
      <c r="H178" s="41" t="s">
        <v>382</v>
      </c>
      <c r="I178" s="95" t="s">
        <v>383</v>
      </c>
      <c r="J178" s="41" t="s">
        <v>182</v>
      </c>
      <c r="K178" s="41" t="s">
        <v>410</v>
      </c>
      <c r="L178" s="95" t="s">
        <v>196</v>
      </c>
      <c r="M178" s="128">
        <v>128.6</v>
      </c>
      <c r="N178" s="41" t="s">
        <v>133</v>
      </c>
      <c r="O178" s="42" t="s">
        <v>102</v>
      </c>
      <c r="P178" s="52">
        <v>0</v>
      </c>
      <c r="Q178" s="41" t="s">
        <v>134</v>
      </c>
      <c r="R178" s="42" t="s">
        <v>385</v>
      </c>
      <c r="S178" s="129">
        <v>9.7425140778809071E-6</v>
      </c>
      <c r="T178" s="41" t="s">
        <v>136</v>
      </c>
      <c r="U178" s="42" t="s">
        <v>386</v>
      </c>
      <c r="V178" s="41" t="s">
        <v>387</v>
      </c>
      <c r="W178" s="41" t="s">
        <v>178</v>
      </c>
      <c r="X178" s="42" t="s">
        <v>388</v>
      </c>
      <c r="Y178" s="41" t="s">
        <v>389</v>
      </c>
      <c r="Z178" s="41" t="s">
        <v>97</v>
      </c>
      <c r="AA178" s="94" t="s">
        <v>388</v>
      </c>
    </row>
    <row r="179" spans="1:27" x14ac:dyDescent="0.2">
      <c r="A179" s="44" t="s">
        <v>380</v>
      </c>
      <c r="B179" s="44" t="s">
        <v>196</v>
      </c>
      <c r="C179" s="91">
        <v>142287.34</v>
      </c>
      <c r="D179" s="139">
        <v>0</v>
      </c>
      <c r="E179" s="44" t="s">
        <v>100</v>
      </c>
      <c r="F179" s="122">
        <v>7.0000000000000007E-2</v>
      </c>
      <c r="G179" s="123">
        <v>3.84</v>
      </c>
      <c r="H179" s="44" t="s">
        <v>382</v>
      </c>
      <c r="I179" s="93" t="s">
        <v>383</v>
      </c>
      <c r="J179" s="44" t="s">
        <v>182</v>
      </c>
      <c r="K179" s="44" t="s">
        <v>410</v>
      </c>
      <c r="L179" s="93" t="s">
        <v>196</v>
      </c>
      <c r="M179" s="124">
        <v>93.43</v>
      </c>
      <c r="N179" s="44" t="s">
        <v>133</v>
      </c>
      <c r="O179" s="92" t="s">
        <v>102</v>
      </c>
      <c r="P179" s="110">
        <v>0</v>
      </c>
      <c r="Q179" s="44" t="s">
        <v>134</v>
      </c>
      <c r="R179" s="92" t="s">
        <v>385</v>
      </c>
      <c r="S179" s="125">
        <v>7.0780376674763334E-6</v>
      </c>
      <c r="T179" s="44" t="s">
        <v>136</v>
      </c>
      <c r="U179" s="92" t="s">
        <v>386</v>
      </c>
      <c r="V179" s="44" t="s">
        <v>387</v>
      </c>
      <c r="W179" s="44" t="s">
        <v>178</v>
      </c>
      <c r="X179" s="92" t="s">
        <v>388</v>
      </c>
      <c r="Y179" s="44" t="s">
        <v>389</v>
      </c>
      <c r="Z179" s="44" t="s">
        <v>97</v>
      </c>
      <c r="AA179" s="91" t="s">
        <v>388</v>
      </c>
    </row>
    <row r="180" spans="1:27" x14ac:dyDescent="0.2">
      <c r="A180" s="41" t="s">
        <v>380</v>
      </c>
      <c r="B180" s="41" t="s">
        <v>196</v>
      </c>
      <c r="C180" s="94">
        <v>480238.45</v>
      </c>
      <c r="D180" s="140">
        <v>0</v>
      </c>
      <c r="E180" s="41" t="s">
        <v>100</v>
      </c>
      <c r="F180" s="126">
        <v>7.0000000000000007E-2</v>
      </c>
      <c r="G180" s="127">
        <v>3.9</v>
      </c>
      <c r="H180" s="41" t="s">
        <v>382</v>
      </c>
      <c r="I180" s="95" t="s">
        <v>383</v>
      </c>
      <c r="J180" s="41" t="s">
        <v>182</v>
      </c>
      <c r="K180" s="41" t="s">
        <v>410</v>
      </c>
      <c r="L180" s="95" t="s">
        <v>196</v>
      </c>
      <c r="M180" s="128">
        <v>315.33</v>
      </c>
      <c r="N180" s="41" t="s">
        <v>133</v>
      </c>
      <c r="O180" s="42" t="s">
        <v>102</v>
      </c>
      <c r="P180" s="52">
        <v>0</v>
      </c>
      <c r="Q180" s="41" t="s">
        <v>134</v>
      </c>
      <c r="R180" s="42" t="s">
        <v>385</v>
      </c>
      <c r="S180" s="129">
        <v>2.3889305534358726E-5</v>
      </c>
      <c r="T180" s="41" t="s">
        <v>136</v>
      </c>
      <c r="U180" s="42" t="s">
        <v>386</v>
      </c>
      <c r="V180" s="41" t="s">
        <v>387</v>
      </c>
      <c r="W180" s="41" t="s">
        <v>178</v>
      </c>
      <c r="X180" s="42" t="s">
        <v>388</v>
      </c>
      <c r="Y180" s="41" t="s">
        <v>389</v>
      </c>
      <c r="Z180" s="41" t="s">
        <v>97</v>
      </c>
      <c r="AA180" s="94" t="s">
        <v>388</v>
      </c>
    </row>
    <row r="181" spans="1:27" x14ac:dyDescent="0.2">
      <c r="A181" s="44" t="s">
        <v>380</v>
      </c>
      <c r="B181" s="44" t="s">
        <v>196</v>
      </c>
      <c r="C181" s="91">
        <v>49121.23</v>
      </c>
      <c r="D181" s="139">
        <v>0</v>
      </c>
      <c r="E181" s="44" t="s">
        <v>100</v>
      </c>
      <c r="F181" s="122">
        <v>0.09</v>
      </c>
      <c r="G181" s="123">
        <v>3.84</v>
      </c>
      <c r="H181" s="44" t="s">
        <v>382</v>
      </c>
      <c r="I181" s="93" t="s">
        <v>383</v>
      </c>
      <c r="J181" s="44" t="s">
        <v>182</v>
      </c>
      <c r="K181" s="44" t="s">
        <v>410</v>
      </c>
      <c r="L181" s="93" t="s">
        <v>196</v>
      </c>
      <c r="M181" s="124">
        <v>32.25</v>
      </c>
      <c r="N181" s="44" t="s">
        <v>133</v>
      </c>
      <c r="O181" s="92" t="s">
        <v>102</v>
      </c>
      <c r="P181" s="110">
        <v>0</v>
      </c>
      <c r="Q181" s="44" t="s">
        <v>134</v>
      </c>
      <c r="R181" s="92" t="s">
        <v>385</v>
      </c>
      <c r="S181" s="125">
        <v>2.4435198281125702E-6</v>
      </c>
      <c r="T181" s="44" t="s">
        <v>136</v>
      </c>
      <c r="U181" s="92" t="s">
        <v>386</v>
      </c>
      <c r="V181" s="44" t="s">
        <v>387</v>
      </c>
      <c r="W181" s="44" t="s">
        <v>178</v>
      </c>
      <c r="X181" s="92" t="s">
        <v>388</v>
      </c>
      <c r="Y181" s="44" t="s">
        <v>389</v>
      </c>
      <c r="Z181" s="44" t="s">
        <v>97</v>
      </c>
      <c r="AA181" s="91" t="s">
        <v>388</v>
      </c>
    </row>
    <row r="182" spans="1:27" x14ac:dyDescent="0.2">
      <c r="A182" s="41" t="s">
        <v>380</v>
      </c>
      <c r="B182" s="41" t="s">
        <v>196</v>
      </c>
      <c r="C182" s="94">
        <v>13922.66</v>
      </c>
      <c r="D182" s="140">
        <v>0</v>
      </c>
      <c r="E182" s="41" t="s">
        <v>100</v>
      </c>
      <c r="F182" s="126">
        <v>0.09</v>
      </c>
      <c r="G182" s="127">
        <v>3.96</v>
      </c>
      <c r="H182" s="41" t="s">
        <v>382</v>
      </c>
      <c r="I182" s="95" t="s">
        <v>383</v>
      </c>
      <c r="J182" s="41" t="s">
        <v>182</v>
      </c>
      <c r="K182" s="41" t="s">
        <v>410</v>
      </c>
      <c r="L182" s="95" t="s">
        <v>196</v>
      </c>
      <c r="M182" s="128">
        <v>9.14</v>
      </c>
      <c r="N182" s="41" t="s">
        <v>133</v>
      </c>
      <c r="O182" s="42" t="s">
        <v>102</v>
      </c>
      <c r="P182" s="52">
        <v>0</v>
      </c>
      <c r="Q182" s="41" t="s">
        <v>134</v>
      </c>
      <c r="R182" s="42" t="s">
        <v>385</v>
      </c>
      <c r="S182" s="129">
        <v>6.925781868474371E-7</v>
      </c>
      <c r="T182" s="41" t="s">
        <v>136</v>
      </c>
      <c r="U182" s="42" t="s">
        <v>386</v>
      </c>
      <c r="V182" s="41" t="s">
        <v>387</v>
      </c>
      <c r="W182" s="41" t="s">
        <v>178</v>
      </c>
      <c r="X182" s="42" t="s">
        <v>388</v>
      </c>
      <c r="Y182" s="41" t="s">
        <v>389</v>
      </c>
      <c r="Z182" s="41" t="s">
        <v>97</v>
      </c>
      <c r="AA182" s="94" t="s">
        <v>388</v>
      </c>
    </row>
    <row r="183" spans="1:27" x14ac:dyDescent="0.2">
      <c r="A183" s="44" t="s">
        <v>380</v>
      </c>
      <c r="B183" s="44" t="s">
        <v>196</v>
      </c>
      <c r="C183" s="91">
        <v>155706.1</v>
      </c>
      <c r="D183" s="139">
        <v>0</v>
      </c>
      <c r="E183" s="44" t="s">
        <v>100</v>
      </c>
      <c r="F183" s="122">
        <v>0.1</v>
      </c>
      <c r="G183" s="123">
        <v>3.96</v>
      </c>
      <c r="H183" s="44" t="s">
        <v>382</v>
      </c>
      <c r="I183" s="93" t="s">
        <v>383</v>
      </c>
      <c r="J183" s="44" t="s">
        <v>182</v>
      </c>
      <c r="K183" s="44" t="s">
        <v>410</v>
      </c>
      <c r="L183" s="93" t="s">
        <v>196</v>
      </c>
      <c r="M183" s="124">
        <v>102.24</v>
      </c>
      <c r="N183" s="44" t="s">
        <v>133</v>
      </c>
      <c r="O183" s="92" t="s">
        <v>102</v>
      </c>
      <c r="P183" s="110">
        <v>0</v>
      </c>
      <c r="Q183" s="44" t="s">
        <v>134</v>
      </c>
      <c r="R183" s="92" t="s">
        <v>385</v>
      </c>
      <c r="S183" s="125">
        <v>7.7455493585642352E-6</v>
      </c>
      <c r="T183" s="44" t="s">
        <v>136</v>
      </c>
      <c r="U183" s="92" t="s">
        <v>386</v>
      </c>
      <c r="V183" s="44" t="s">
        <v>387</v>
      </c>
      <c r="W183" s="44" t="s">
        <v>178</v>
      </c>
      <c r="X183" s="92" t="s">
        <v>388</v>
      </c>
      <c r="Y183" s="44" t="s">
        <v>389</v>
      </c>
      <c r="Z183" s="44" t="s">
        <v>97</v>
      </c>
      <c r="AA183" s="91" t="s">
        <v>388</v>
      </c>
    </row>
    <row r="184" spans="1:27" x14ac:dyDescent="0.2">
      <c r="A184" s="41" t="s">
        <v>380</v>
      </c>
      <c r="B184" s="41" t="s">
        <v>196</v>
      </c>
      <c r="C184" s="94">
        <v>15359.72</v>
      </c>
      <c r="D184" s="140">
        <v>0</v>
      </c>
      <c r="E184" s="41" t="s">
        <v>100</v>
      </c>
      <c r="F184" s="127">
        <v>0.11</v>
      </c>
      <c r="G184" s="127">
        <v>4.08</v>
      </c>
      <c r="H184" s="41" t="s">
        <v>382</v>
      </c>
      <c r="I184" s="95" t="s">
        <v>383</v>
      </c>
      <c r="J184" s="41" t="s">
        <v>182</v>
      </c>
      <c r="K184" s="41" t="s">
        <v>410</v>
      </c>
      <c r="L184" s="95" t="s">
        <v>196</v>
      </c>
      <c r="M184" s="128">
        <v>10.09</v>
      </c>
      <c r="N184" s="41" t="s">
        <v>133</v>
      </c>
      <c r="O184" s="42" t="s">
        <v>102</v>
      </c>
      <c r="P184" s="52">
        <v>0</v>
      </c>
      <c r="Q184" s="41" t="s">
        <v>134</v>
      </c>
      <c r="R184" s="42" t="s">
        <v>385</v>
      </c>
      <c r="S184" s="129">
        <v>7.6406413964929295E-7</v>
      </c>
      <c r="T184" s="41" t="s">
        <v>136</v>
      </c>
      <c r="U184" s="42" t="s">
        <v>386</v>
      </c>
      <c r="V184" s="41" t="s">
        <v>387</v>
      </c>
      <c r="W184" s="41" t="s">
        <v>178</v>
      </c>
      <c r="X184" s="42" t="s">
        <v>388</v>
      </c>
      <c r="Y184" s="41" t="s">
        <v>389</v>
      </c>
      <c r="Z184" s="41" t="s">
        <v>97</v>
      </c>
      <c r="AA184" s="94" t="s">
        <v>388</v>
      </c>
    </row>
    <row r="185" spans="1:27" x14ac:dyDescent="0.2">
      <c r="A185" s="44" t="s">
        <v>380</v>
      </c>
      <c r="B185" s="44" t="s">
        <v>196</v>
      </c>
      <c r="C185" s="91">
        <v>233736.45</v>
      </c>
      <c r="D185" s="139">
        <v>0</v>
      </c>
      <c r="E185" s="44" t="s">
        <v>100</v>
      </c>
      <c r="F185" s="122">
        <v>0.16</v>
      </c>
      <c r="G185" s="123">
        <v>3.96</v>
      </c>
      <c r="H185" s="44" t="s">
        <v>382</v>
      </c>
      <c r="I185" s="93" t="s">
        <v>383</v>
      </c>
      <c r="J185" s="44" t="s">
        <v>182</v>
      </c>
      <c r="K185" s="44" t="s">
        <v>410</v>
      </c>
      <c r="L185" s="93" t="s">
        <v>196</v>
      </c>
      <c r="M185" s="124">
        <v>153.47</v>
      </c>
      <c r="N185" s="44" t="s">
        <v>133</v>
      </c>
      <c r="O185" s="92" t="s">
        <v>102</v>
      </c>
      <c r="P185" s="110">
        <v>0</v>
      </c>
      <c r="Q185" s="44" t="s">
        <v>134</v>
      </c>
      <c r="R185" s="92" t="s">
        <v>385</v>
      </c>
      <c r="S185" s="125">
        <v>1.16271437313515E-5</v>
      </c>
      <c r="T185" s="44" t="s">
        <v>136</v>
      </c>
      <c r="U185" s="92" t="s">
        <v>386</v>
      </c>
      <c r="V185" s="44" t="s">
        <v>387</v>
      </c>
      <c r="W185" s="44" t="s">
        <v>178</v>
      </c>
      <c r="X185" s="92" t="s">
        <v>388</v>
      </c>
      <c r="Y185" s="44" t="s">
        <v>389</v>
      </c>
      <c r="Z185" s="44" t="s">
        <v>97</v>
      </c>
      <c r="AA185" s="91" t="s">
        <v>388</v>
      </c>
    </row>
    <row r="186" spans="1:27" x14ac:dyDescent="0.2">
      <c r="A186" s="41" t="s">
        <v>380</v>
      </c>
      <c r="B186" s="41" t="s">
        <v>196</v>
      </c>
      <c r="C186" s="94">
        <v>77787.73</v>
      </c>
      <c r="D186" s="140">
        <v>0</v>
      </c>
      <c r="E186" s="41" t="s">
        <v>100</v>
      </c>
      <c r="F186" s="126">
        <v>0.21</v>
      </c>
      <c r="G186" s="127">
        <v>3.96</v>
      </c>
      <c r="H186" s="41" t="s">
        <v>382</v>
      </c>
      <c r="I186" s="95" t="s">
        <v>383</v>
      </c>
      <c r="J186" s="41" t="s">
        <v>182</v>
      </c>
      <c r="K186" s="41" t="s">
        <v>410</v>
      </c>
      <c r="L186" s="95" t="s">
        <v>196</v>
      </c>
      <c r="M186" s="128">
        <v>51.08</v>
      </c>
      <c r="N186" s="41" t="s">
        <v>133</v>
      </c>
      <c r="O186" s="42" t="s">
        <v>102</v>
      </c>
      <c r="P186" s="52">
        <v>0</v>
      </c>
      <c r="Q186" s="41" t="s">
        <v>134</v>
      </c>
      <c r="R186" s="42" t="s">
        <v>385</v>
      </c>
      <c r="S186" s="129">
        <v>3.8695253148516663E-6</v>
      </c>
      <c r="T186" s="41" t="s">
        <v>136</v>
      </c>
      <c r="U186" s="42" t="s">
        <v>386</v>
      </c>
      <c r="V186" s="41" t="s">
        <v>387</v>
      </c>
      <c r="W186" s="41" t="s">
        <v>178</v>
      </c>
      <c r="X186" s="42" t="s">
        <v>388</v>
      </c>
      <c r="Y186" s="41" t="s">
        <v>389</v>
      </c>
      <c r="Z186" s="41" t="s">
        <v>97</v>
      </c>
      <c r="AA186" s="94" t="s">
        <v>388</v>
      </c>
    </row>
    <row r="187" spans="1:27" x14ac:dyDescent="0.2">
      <c r="A187" s="44" t="s">
        <v>380</v>
      </c>
      <c r="B187" s="44" t="s">
        <v>196</v>
      </c>
      <c r="C187" s="91">
        <v>77955.7</v>
      </c>
      <c r="D187" s="139">
        <v>0</v>
      </c>
      <c r="E187" s="44" t="s">
        <v>100</v>
      </c>
      <c r="F187" s="122">
        <v>0.26</v>
      </c>
      <c r="G187" s="123">
        <v>3.96</v>
      </c>
      <c r="H187" s="44" t="s">
        <v>382</v>
      </c>
      <c r="I187" s="93" t="s">
        <v>383</v>
      </c>
      <c r="J187" s="44" t="s">
        <v>182</v>
      </c>
      <c r="K187" s="44" t="s">
        <v>410</v>
      </c>
      <c r="L187" s="93" t="s">
        <v>196</v>
      </c>
      <c r="M187" s="124">
        <v>51.19</v>
      </c>
      <c r="N187" s="44" t="s">
        <v>133</v>
      </c>
      <c r="O187" s="92" t="s">
        <v>102</v>
      </c>
      <c r="P187" s="110">
        <v>0</v>
      </c>
      <c r="Q187" s="44" t="s">
        <v>134</v>
      </c>
      <c r="R187" s="92" t="s">
        <v>385</v>
      </c>
      <c r="S187" s="125">
        <v>3.8778808184126451E-6</v>
      </c>
      <c r="T187" s="44" t="s">
        <v>136</v>
      </c>
      <c r="U187" s="92" t="s">
        <v>386</v>
      </c>
      <c r="V187" s="44" t="s">
        <v>387</v>
      </c>
      <c r="W187" s="44" t="s">
        <v>178</v>
      </c>
      <c r="X187" s="92" t="s">
        <v>388</v>
      </c>
      <c r="Y187" s="44" t="s">
        <v>389</v>
      </c>
      <c r="Z187" s="44" t="s">
        <v>97</v>
      </c>
      <c r="AA187" s="91" t="s">
        <v>388</v>
      </c>
    </row>
    <row r="188" spans="1:27" x14ac:dyDescent="0.2">
      <c r="A188" s="41" t="s">
        <v>380</v>
      </c>
      <c r="B188" s="41" t="s">
        <v>196</v>
      </c>
      <c r="C188" s="94">
        <v>166493.35999999999</v>
      </c>
      <c r="D188" s="140">
        <v>0</v>
      </c>
      <c r="E188" s="41" t="s">
        <v>100</v>
      </c>
      <c r="F188" s="126">
        <v>0.27</v>
      </c>
      <c r="G188" s="127">
        <v>3.96</v>
      </c>
      <c r="H188" s="41" t="s">
        <v>382</v>
      </c>
      <c r="I188" s="95" t="s">
        <v>383</v>
      </c>
      <c r="J188" s="41" t="s">
        <v>182</v>
      </c>
      <c r="K188" s="41" t="s">
        <v>410</v>
      </c>
      <c r="L188" s="95" t="s">
        <v>196</v>
      </c>
      <c r="M188" s="128">
        <v>109.32</v>
      </c>
      <c r="N188" s="41" t="s">
        <v>133</v>
      </c>
      <c r="O188" s="42" t="s">
        <v>102</v>
      </c>
      <c r="P188" s="52">
        <v>0</v>
      </c>
      <c r="Q188" s="41" t="s">
        <v>134</v>
      </c>
      <c r="R188" s="42" t="s">
        <v>385</v>
      </c>
      <c r="S188" s="129">
        <v>8.2821581920350901E-6</v>
      </c>
      <c r="T188" s="41" t="s">
        <v>136</v>
      </c>
      <c r="U188" s="42" t="s">
        <v>386</v>
      </c>
      <c r="V188" s="41" t="s">
        <v>387</v>
      </c>
      <c r="W188" s="41" t="s">
        <v>178</v>
      </c>
      <c r="X188" s="42" t="s">
        <v>388</v>
      </c>
      <c r="Y188" s="41" t="s">
        <v>389</v>
      </c>
      <c r="Z188" s="41" t="s">
        <v>97</v>
      </c>
      <c r="AA188" s="94" t="s">
        <v>388</v>
      </c>
    </row>
    <row r="189" spans="1:27" x14ac:dyDescent="0.2">
      <c r="A189" s="44" t="s">
        <v>380</v>
      </c>
      <c r="B189" s="44" t="s">
        <v>204</v>
      </c>
      <c r="C189" s="91">
        <v>34713.33</v>
      </c>
      <c r="D189" s="139">
        <v>0</v>
      </c>
      <c r="E189" s="44" t="s">
        <v>100</v>
      </c>
      <c r="F189" s="122">
        <v>0.01</v>
      </c>
      <c r="G189" s="123">
        <v>3.84</v>
      </c>
      <c r="H189" s="44" t="s">
        <v>382</v>
      </c>
      <c r="I189" s="93" t="s">
        <v>383</v>
      </c>
      <c r="J189" s="44" t="s">
        <v>182</v>
      </c>
      <c r="K189" s="44" t="s">
        <v>411</v>
      </c>
      <c r="L189" s="93" t="s">
        <v>204</v>
      </c>
      <c r="M189" s="124">
        <v>22.79</v>
      </c>
      <c r="N189" s="44" t="s">
        <v>133</v>
      </c>
      <c r="O189" s="92" t="s">
        <v>102</v>
      </c>
      <c r="P189" s="110">
        <v>0</v>
      </c>
      <c r="Q189" s="44" t="s">
        <v>134</v>
      </c>
      <c r="R189" s="92" t="s">
        <v>385</v>
      </c>
      <c r="S189" s="125">
        <v>1.7268035253939346E-6</v>
      </c>
      <c r="T189" s="44" t="s">
        <v>136</v>
      </c>
      <c r="U189" s="92" t="s">
        <v>386</v>
      </c>
      <c r="V189" s="44" t="s">
        <v>387</v>
      </c>
      <c r="W189" s="44" t="s">
        <v>178</v>
      </c>
      <c r="X189" s="92" t="s">
        <v>388</v>
      </c>
      <c r="Y189" s="44" t="s">
        <v>389</v>
      </c>
      <c r="Z189" s="44" t="s">
        <v>97</v>
      </c>
      <c r="AA189" s="91" t="s">
        <v>388</v>
      </c>
    </row>
    <row r="190" spans="1:27" x14ac:dyDescent="0.2">
      <c r="A190" s="41" t="s">
        <v>380</v>
      </c>
      <c r="B190" s="41" t="s">
        <v>204</v>
      </c>
      <c r="C190" s="94">
        <v>385784.59</v>
      </c>
      <c r="D190" s="140">
        <v>0</v>
      </c>
      <c r="E190" s="41" t="s">
        <v>100</v>
      </c>
      <c r="F190" s="126">
        <v>0.02</v>
      </c>
      <c r="G190" s="127">
        <v>3.6</v>
      </c>
      <c r="H190" s="41" t="s">
        <v>382</v>
      </c>
      <c r="I190" s="95" t="s">
        <v>383</v>
      </c>
      <c r="J190" s="41" t="s">
        <v>182</v>
      </c>
      <c r="K190" s="41" t="s">
        <v>411</v>
      </c>
      <c r="L190" s="95" t="s">
        <v>204</v>
      </c>
      <c r="M190" s="128">
        <v>253.31</v>
      </c>
      <c r="N190" s="41" t="s">
        <v>133</v>
      </c>
      <c r="O190" s="42" t="s">
        <v>102</v>
      </c>
      <c r="P190" s="52">
        <v>0</v>
      </c>
      <c r="Q190" s="41" t="s">
        <v>134</v>
      </c>
      <c r="R190" s="42" t="s">
        <v>385</v>
      </c>
      <c r="S190" s="129">
        <v>1.9190728845967877E-5</v>
      </c>
      <c r="T190" s="41" t="s">
        <v>136</v>
      </c>
      <c r="U190" s="42" t="s">
        <v>386</v>
      </c>
      <c r="V190" s="41" t="s">
        <v>387</v>
      </c>
      <c r="W190" s="41" t="s">
        <v>178</v>
      </c>
      <c r="X190" s="42" t="s">
        <v>388</v>
      </c>
      <c r="Y190" s="41" t="s">
        <v>389</v>
      </c>
      <c r="Z190" s="41" t="s">
        <v>97</v>
      </c>
      <c r="AA190" s="94" t="s">
        <v>388</v>
      </c>
    </row>
    <row r="191" spans="1:27" x14ac:dyDescent="0.2">
      <c r="A191" s="44" t="s">
        <v>380</v>
      </c>
      <c r="B191" s="44" t="s">
        <v>204</v>
      </c>
      <c r="C191" s="91">
        <v>269625.56</v>
      </c>
      <c r="D191" s="139">
        <v>0</v>
      </c>
      <c r="E191" s="44" t="s">
        <v>100</v>
      </c>
      <c r="F191" s="122">
        <v>0.05</v>
      </c>
      <c r="G191" s="123">
        <v>3.84</v>
      </c>
      <c r="H191" s="44" t="s">
        <v>382</v>
      </c>
      <c r="I191" s="93" t="s">
        <v>383</v>
      </c>
      <c r="J191" s="44" t="s">
        <v>182</v>
      </c>
      <c r="K191" s="44" t="s">
        <v>411</v>
      </c>
      <c r="L191" s="93" t="s">
        <v>204</v>
      </c>
      <c r="M191" s="124">
        <v>177.04</v>
      </c>
      <c r="N191" s="44" t="s">
        <v>133</v>
      </c>
      <c r="O191" s="92" t="s">
        <v>102</v>
      </c>
      <c r="P191" s="110">
        <v>0</v>
      </c>
      <c r="Q191" s="44" t="s">
        <v>134</v>
      </c>
      <c r="R191" s="92" t="s">
        <v>385</v>
      </c>
      <c r="S191" s="125">
        <v>1.341243576177442E-5</v>
      </c>
      <c r="T191" s="44" t="s">
        <v>136</v>
      </c>
      <c r="U191" s="92" t="s">
        <v>386</v>
      </c>
      <c r="V191" s="44" t="s">
        <v>387</v>
      </c>
      <c r="W191" s="44" t="s">
        <v>178</v>
      </c>
      <c r="X191" s="92" t="s">
        <v>388</v>
      </c>
      <c r="Y191" s="44" t="s">
        <v>389</v>
      </c>
      <c r="Z191" s="44" t="s">
        <v>97</v>
      </c>
      <c r="AA191" s="91" t="s">
        <v>388</v>
      </c>
    </row>
    <row r="192" spans="1:27" x14ac:dyDescent="0.2">
      <c r="A192" s="96" t="s">
        <v>380</v>
      </c>
      <c r="B192" s="44" t="s">
        <v>204</v>
      </c>
      <c r="C192" s="91">
        <v>76985.22</v>
      </c>
      <c r="D192" s="139">
        <v>0</v>
      </c>
      <c r="E192" s="44" t="s">
        <v>100</v>
      </c>
      <c r="F192" s="122">
        <v>7.0000000000000007E-2</v>
      </c>
      <c r="G192" s="123">
        <v>3.6</v>
      </c>
      <c r="H192" s="44" t="s">
        <v>382</v>
      </c>
      <c r="I192" s="93" t="s">
        <v>383</v>
      </c>
      <c r="J192" s="44" t="s">
        <v>182</v>
      </c>
      <c r="K192" s="44" t="s">
        <v>411</v>
      </c>
      <c r="L192" s="93" t="s">
        <v>204</v>
      </c>
      <c r="M192" s="124">
        <v>50.55</v>
      </c>
      <c r="N192" s="44" t="s">
        <v>133</v>
      </c>
      <c r="O192" s="92" t="s">
        <v>102</v>
      </c>
      <c r="P192" s="110">
        <v>0</v>
      </c>
      <c r="Q192" s="44" t="s">
        <v>134</v>
      </c>
      <c r="R192" s="92" t="s">
        <v>385</v>
      </c>
      <c r="S192" s="125">
        <v>3.8296045916447157E-6</v>
      </c>
      <c r="T192" s="44" t="s">
        <v>136</v>
      </c>
      <c r="U192" s="92" t="s">
        <v>386</v>
      </c>
      <c r="V192" s="44" t="s">
        <v>387</v>
      </c>
      <c r="W192" s="44" t="s">
        <v>178</v>
      </c>
      <c r="X192" s="92" t="s">
        <v>388</v>
      </c>
      <c r="Y192" s="96" t="s">
        <v>389</v>
      </c>
      <c r="Z192" s="44" t="s">
        <v>97</v>
      </c>
      <c r="AA192" s="91" t="s">
        <v>388</v>
      </c>
    </row>
    <row r="193" spans="1:27" x14ac:dyDescent="0.2">
      <c r="A193" s="97" t="s">
        <v>380</v>
      </c>
      <c r="B193" s="41" t="s">
        <v>204</v>
      </c>
      <c r="C193" s="94">
        <v>134616.82</v>
      </c>
      <c r="D193" s="140">
        <v>0</v>
      </c>
      <c r="E193" s="41" t="s">
        <v>100</v>
      </c>
      <c r="F193" s="126">
        <v>0.09</v>
      </c>
      <c r="G193" s="127">
        <v>3.96</v>
      </c>
      <c r="H193" s="41" t="s">
        <v>382</v>
      </c>
      <c r="I193" s="95" t="s">
        <v>383</v>
      </c>
      <c r="J193" s="41" t="s">
        <v>182</v>
      </c>
      <c r="K193" s="41" t="s">
        <v>411</v>
      </c>
      <c r="L193" s="95" t="s">
        <v>204</v>
      </c>
      <c r="M193" s="128">
        <v>88.39</v>
      </c>
      <c r="N193" s="41" t="s">
        <v>133</v>
      </c>
      <c r="O193" s="42" t="s">
        <v>102</v>
      </c>
      <c r="P193" s="52">
        <v>0</v>
      </c>
      <c r="Q193" s="41" t="s">
        <v>134</v>
      </c>
      <c r="R193" s="42" t="s">
        <v>385</v>
      </c>
      <c r="S193" s="129">
        <v>6.6964697975447902E-6</v>
      </c>
      <c r="T193" s="41" t="s">
        <v>136</v>
      </c>
      <c r="U193" s="42" t="s">
        <v>386</v>
      </c>
      <c r="V193" s="41" t="s">
        <v>387</v>
      </c>
      <c r="W193" s="41" t="s">
        <v>178</v>
      </c>
      <c r="X193" s="42" t="s">
        <v>388</v>
      </c>
      <c r="Y193" s="97" t="s">
        <v>389</v>
      </c>
      <c r="Z193" s="41" t="s">
        <v>97</v>
      </c>
      <c r="AA193" s="94" t="s">
        <v>388</v>
      </c>
    </row>
    <row r="194" spans="1:27" x14ac:dyDescent="0.2">
      <c r="A194" s="96" t="s">
        <v>380</v>
      </c>
      <c r="B194" s="44" t="s">
        <v>204</v>
      </c>
      <c r="C194" s="91">
        <v>153373.22</v>
      </c>
      <c r="D194" s="139">
        <v>0</v>
      </c>
      <c r="E194" s="44" t="s">
        <v>100</v>
      </c>
      <c r="F194" s="122">
        <v>0.17</v>
      </c>
      <c r="G194" s="123">
        <v>3.96</v>
      </c>
      <c r="H194" s="44" t="s">
        <v>382</v>
      </c>
      <c r="I194" s="93" t="s">
        <v>383</v>
      </c>
      <c r="J194" s="44" t="s">
        <v>182</v>
      </c>
      <c r="K194" s="44" t="s">
        <v>411</v>
      </c>
      <c r="L194" s="93" t="s">
        <v>204</v>
      </c>
      <c r="M194" s="124">
        <v>100.71</v>
      </c>
      <c r="N194" s="44" t="s">
        <v>133</v>
      </c>
      <c r="O194" s="92" t="s">
        <v>102</v>
      </c>
      <c r="P194" s="110">
        <v>0</v>
      </c>
      <c r="Q194" s="44" t="s">
        <v>134</v>
      </c>
      <c r="R194" s="92" t="s">
        <v>385</v>
      </c>
      <c r="S194" s="125">
        <v>7.6295007333690696E-6</v>
      </c>
      <c r="T194" s="44" t="s">
        <v>136</v>
      </c>
      <c r="U194" s="92" t="s">
        <v>386</v>
      </c>
      <c r="V194" s="44" t="s">
        <v>387</v>
      </c>
      <c r="W194" s="44" t="s">
        <v>178</v>
      </c>
      <c r="X194" s="92" t="s">
        <v>388</v>
      </c>
      <c r="Y194" s="96" t="s">
        <v>389</v>
      </c>
      <c r="Z194" s="44" t="s">
        <v>97</v>
      </c>
      <c r="AA194" s="91" t="s">
        <v>388</v>
      </c>
    </row>
    <row r="195" spans="1:27" x14ac:dyDescent="0.2">
      <c r="A195" s="97" t="s">
        <v>380</v>
      </c>
      <c r="B195" s="41" t="s">
        <v>204</v>
      </c>
      <c r="C195" s="94">
        <v>153298.56</v>
      </c>
      <c r="D195" s="140">
        <v>0</v>
      </c>
      <c r="E195" s="41" t="s">
        <v>100</v>
      </c>
      <c r="F195" s="126">
        <v>0.18</v>
      </c>
      <c r="G195" s="127">
        <v>3.96</v>
      </c>
      <c r="H195" s="41" t="s">
        <v>382</v>
      </c>
      <c r="I195" s="95" t="s">
        <v>383</v>
      </c>
      <c r="J195" s="41" t="s">
        <v>182</v>
      </c>
      <c r="K195" s="41" t="s">
        <v>411</v>
      </c>
      <c r="L195" s="95" t="s">
        <v>204</v>
      </c>
      <c r="M195" s="128">
        <v>100.66</v>
      </c>
      <c r="N195" s="41" t="s">
        <v>133</v>
      </c>
      <c r="O195" s="42" t="s">
        <v>102</v>
      </c>
      <c r="P195" s="52">
        <v>0</v>
      </c>
      <c r="Q195" s="41" t="s">
        <v>134</v>
      </c>
      <c r="R195" s="42" t="s">
        <v>385</v>
      </c>
      <c r="S195" s="129">
        <v>7.6257871789944495E-6</v>
      </c>
      <c r="T195" s="41" t="s">
        <v>136</v>
      </c>
      <c r="U195" s="42" t="s">
        <v>386</v>
      </c>
      <c r="V195" s="41" t="s">
        <v>387</v>
      </c>
      <c r="W195" s="41" t="s">
        <v>178</v>
      </c>
      <c r="X195" s="42" t="s">
        <v>388</v>
      </c>
      <c r="Y195" s="97" t="s">
        <v>389</v>
      </c>
      <c r="Z195" s="41" t="s">
        <v>97</v>
      </c>
      <c r="AA195" s="94" t="s">
        <v>388</v>
      </c>
    </row>
    <row r="196" spans="1:27" x14ac:dyDescent="0.2">
      <c r="A196" s="97" t="s">
        <v>380</v>
      </c>
      <c r="B196" s="41" t="s">
        <v>204</v>
      </c>
      <c r="C196" s="94">
        <v>3919.25</v>
      </c>
      <c r="D196" s="140">
        <v>0</v>
      </c>
      <c r="E196" s="41" t="s">
        <v>100</v>
      </c>
      <c r="F196" s="126">
        <v>0.22</v>
      </c>
      <c r="G196" s="127">
        <v>3.96</v>
      </c>
      <c r="H196" s="41" t="s">
        <v>382</v>
      </c>
      <c r="I196" s="95" t="s">
        <v>383</v>
      </c>
      <c r="J196" s="41" t="s">
        <v>182</v>
      </c>
      <c r="K196" s="41" t="s">
        <v>411</v>
      </c>
      <c r="L196" s="95" t="s">
        <v>204</v>
      </c>
      <c r="M196" s="128">
        <v>2.57</v>
      </c>
      <c r="N196" s="41" t="s">
        <v>133</v>
      </c>
      <c r="O196" s="42" t="s">
        <v>102</v>
      </c>
      <c r="P196" s="52">
        <v>0</v>
      </c>
      <c r="Q196" s="41" t="s">
        <v>134</v>
      </c>
      <c r="R196" s="42" t="s">
        <v>385</v>
      </c>
      <c r="S196" s="129">
        <v>1.9496168674626117E-7</v>
      </c>
      <c r="T196" s="41" t="s">
        <v>136</v>
      </c>
      <c r="U196" s="42" t="s">
        <v>386</v>
      </c>
      <c r="V196" s="41" t="s">
        <v>387</v>
      </c>
      <c r="W196" s="41" t="s">
        <v>178</v>
      </c>
      <c r="X196" s="42" t="s">
        <v>388</v>
      </c>
      <c r="Y196" s="97" t="s">
        <v>389</v>
      </c>
      <c r="Z196" s="41" t="s">
        <v>97</v>
      </c>
      <c r="AA196" s="94" t="s">
        <v>388</v>
      </c>
    </row>
    <row r="197" spans="1:27" x14ac:dyDescent="0.2">
      <c r="A197" s="97" t="s">
        <v>380</v>
      </c>
      <c r="B197" s="41" t="s">
        <v>204</v>
      </c>
      <c r="C197" s="94">
        <v>19969.5</v>
      </c>
      <c r="D197" s="140">
        <v>0</v>
      </c>
      <c r="E197" s="41" t="s">
        <v>100</v>
      </c>
      <c r="F197" s="126">
        <v>0.25</v>
      </c>
      <c r="G197" s="127">
        <v>3.96</v>
      </c>
      <c r="H197" s="41" t="s">
        <v>382</v>
      </c>
      <c r="I197" s="95" t="s">
        <v>383</v>
      </c>
      <c r="J197" s="41" t="s">
        <v>182</v>
      </c>
      <c r="K197" s="41" t="s">
        <v>411</v>
      </c>
      <c r="L197" s="95" t="s">
        <v>204</v>
      </c>
      <c r="M197" s="128">
        <v>13.11</v>
      </c>
      <c r="N197" s="41" t="s">
        <v>133</v>
      </c>
      <c r="O197" s="42" t="s">
        <v>102</v>
      </c>
      <c r="P197" s="52">
        <v>0</v>
      </c>
      <c r="Q197" s="41" t="s">
        <v>134</v>
      </c>
      <c r="R197" s="42" t="s">
        <v>385</v>
      </c>
      <c r="S197" s="129">
        <v>9.9337622052780806E-7</v>
      </c>
      <c r="T197" s="41" t="s">
        <v>136</v>
      </c>
      <c r="U197" s="42" t="s">
        <v>386</v>
      </c>
      <c r="V197" s="41" t="s">
        <v>387</v>
      </c>
      <c r="W197" s="41" t="s">
        <v>178</v>
      </c>
      <c r="X197" s="42" t="s">
        <v>388</v>
      </c>
      <c r="Y197" s="97" t="s">
        <v>389</v>
      </c>
      <c r="Z197" s="41" t="s">
        <v>97</v>
      </c>
      <c r="AA197" s="94" t="s">
        <v>388</v>
      </c>
    </row>
    <row r="198" spans="1:27" x14ac:dyDescent="0.2">
      <c r="A198" s="97" t="s">
        <v>380</v>
      </c>
      <c r="B198" s="41" t="s">
        <v>204</v>
      </c>
      <c r="C198" s="94">
        <v>19092.330000000002</v>
      </c>
      <c r="D198" s="140">
        <v>0</v>
      </c>
      <c r="E198" s="41" t="s">
        <v>100</v>
      </c>
      <c r="F198" s="126">
        <v>0.26</v>
      </c>
      <c r="G198" s="127">
        <v>3.96</v>
      </c>
      <c r="H198" s="41" t="s">
        <v>382</v>
      </c>
      <c r="I198" s="95" t="s">
        <v>383</v>
      </c>
      <c r="J198" s="41" t="s">
        <v>182</v>
      </c>
      <c r="K198" s="41" t="s">
        <v>411</v>
      </c>
      <c r="L198" s="95" t="s">
        <v>204</v>
      </c>
      <c r="M198" s="128">
        <v>12.54</v>
      </c>
      <c r="N198" s="41" t="s">
        <v>133</v>
      </c>
      <c r="O198" s="42" t="s">
        <v>102</v>
      </c>
      <c r="P198" s="52">
        <v>0</v>
      </c>
      <c r="Q198" s="41" t="s">
        <v>134</v>
      </c>
      <c r="R198" s="42" t="s">
        <v>385</v>
      </c>
      <c r="S198" s="129">
        <v>9.4974193797177048E-7</v>
      </c>
      <c r="T198" s="41" t="s">
        <v>136</v>
      </c>
      <c r="U198" s="42" t="s">
        <v>386</v>
      </c>
      <c r="V198" s="41" t="s">
        <v>387</v>
      </c>
      <c r="W198" s="41" t="s">
        <v>178</v>
      </c>
      <c r="X198" s="42" t="s">
        <v>388</v>
      </c>
      <c r="Y198" s="97" t="s">
        <v>389</v>
      </c>
      <c r="Z198" s="41" t="s">
        <v>97</v>
      </c>
      <c r="AA198" s="94" t="s">
        <v>388</v>
      </c>
    </row>
    <row r="199" spans="1:27" x14ac:dyDescent="0.2">
      <c r="A199" s="96" t="s">
        <v>380</v>
      </c>
      <c r="B199" s="44" t="s">
        <v>204</v>
      </c>
      <c r="C199" s="91">
        <v>124688.06</v>
      </c>
      <c r="D199" s="139">
        <v>0</v>
      </c>
      <c r="E199" s="44" t="s">
        <v>100</v>
      </c>
      <c r="F199" s="122">
        <v>0.3</v>
      </c>
      <c r="G199" s="123">
        <v>3.96</v>
      </c>
      <c r="H199" s="44" t="s">
        <v>382</v>
      </c>
      <c r="I199" s="93" t="s">
        <v>383</v>
      </c>
      <c r="J199" s="44" t="s">
        <v>182</v>
      </c>
      <c r="K199" s="44" t="s">
        <v>411</v>
      </c>
      <c r="L199" s="93" t="s">
        <v>204</v>
      </c>
      <c r="M199" s="124">
        <v>81.87</v>
      </c>
      <c r="N199" s="44" t="s">
        <v>133</v>
      </c>
      <c r="O199" s="92" t="s">
        <v>102</v>
      </c>
      <c r="P199" s="110">
        <v>0</v>
      </c>
      <c r="Q199" s="44" t="s">
        <v>134</v>
      </c>
      <c r="R199" s="92" t="s">
        <v>385</v>
      </c>
      <c r="S199" s="125">
        <v>6.2025668518182345E-6</v>
      </c>
      <c r="T199" s="44" t="s">
        <v>136</v>
      </c>
      <c r="U199" s="92" t="s">
        <v>386</v>
      </c>
      <c r="V199" s="44" t="s">
        <v>387</v>
      </c>
      <c r="W199" s="44" t="s">
        <v>178</v>
      </c>
      <c r="X199" s="92" t="s">
        <v>388</v>
      </c>
      <c r="Y199" s="96" t="s">
        <v>389</v>
      </c>
      <c r="Z199" s="44" t="s">
        <v>97</v>
      </c>
      <c r="AA199" s="91" t="s">
        <v>388</v>
      </c>
    </row>
    <row r="200" spans="1:27" x14ac:dyDescent="0.2">
      <c r="A200" s="96" t="s">
        <v>380</v>
      </c>
      <c r="B200" s="44" t="s">
        <v>204</v>
      </c>
      <c r="C200" s="91">
        <v>76126.720000000001</v>
      </c>
      <c r="D200" s="139">
        <v>0</v>
      </c>
      <c r="E200" s="44" t="s">
        <v>100</v>
      </c>
      <c r="F200" s="122">
        <v>0.35</v>
      </c>
      <c r="G200" s="123">
        <v>3.96</v>
      </c>
      <c r="H200" s="44" t="s">
        <v>382</v>
      </c>
      <c r="I200" s="93" t="s">
        <v>383</v>
      </c>
      <c r="J200" s="44" t="s">
        <v>182</v>
      </c>
      <c r="K200" s="44" t="s">
        <v>411</v>
      </c>
      <c r="L200" s="93" t="s">
        <v>204</v>
      </c>
      <c r="M200" s="124">
        <v>49.99</v>
      </c>
      <c r="N200" s="44" t="s">
        <v>133</v>
      </c>
      <c r="O200" s="92" t="s">
        <v>102</v>
      </c>
      <c r="P200" s="110">
        <v>0</v>
      </c>
      <c r="Q200" s="44" t="s">
        <v>134</v>
      </c>
      <c r="R200" s="92" t="s">
        <v>385</v>
      </c>
      <c r="S200" s="125">
        <v>3.7868986989259504E-6</v>
      </c>
      <c r="T200" s="44" t="s">
        <v>136</v>
      </c>
      <c r="U200" s="92" t="s">
        <v>386</v>
      </c>
      <c r="V200" s="44" t="s">
        <v>387</v>
      </c>
      <c r="W200" s="44" t="s">
        <v>178</v>
      </c>
      <c r="X200" s="92" t="s">
        <v>388</v>
      </c>
      <c r="Y200" s="96" t="s">
        <v>389</v>
      </c>
      <c r="Z200" s="44" t="s">
        <v>97</v>
      </c>
      <c r="AA200" s="91" t="s">
        <v>388</v>
      </c>
    </row>
    <row r="201" spans="1:27" x14ac:dyDescent="0.2">
      <c r="A201" s="96" t="s">
        <v>380</v>
      </c>
      <c r="B201" s="44" t="s">
        <v>204</v>
      </c>
      <c r="C201" s="91">
        <v>53003.16</v>
      </c>
      <c r="D201" s="139">
        <v>0</v>
      </c>
      <c r="E201" s="44" t="s">
        <v>100</v>
      </c>
      <c r="F201" s="122">
        <v>0.38</v>
      </c>
      <c r="G201" s="123">
        <v>4.08</v>
      </c>
      <c r="H201" s="44" t="s">
        <v>382</v>
      </c>
      <c r="I201" s="93" t="s">
        <v>383</v>
      </c>
      <c r="J201" s="44" t="s">
        <v>182</v>
      </c>
      <c r="K201" s="44" t="s">
        <v>411</v>
      </c>
      <c r="L201" s="93" t="s">
        <v>204</v>
      </c>
      <c r="M201" s="124">
        <v>34.799999999999997</v>
      </c>
      <c r="N201" s="44" t="s">
        <v>133</v>
      </c>
      <c r="O201" s="92" t="s">
        <v>102</v>
      </c>
      <c r="P201" s="110">
        <v>0</v>
      </c>
      <c r="Q201" s="44" t="s">
        <v>134</v>
      </c>
      <c r="R201" s="92" t="s">
        <v>385</v>
      </c>
      <c r="S201" s="125">
        <v>2.6366247351842876E-6</v>
      </c>
      <c r="T201" s="44" t="s">
        <v>136</v>
      </c>
      <c r="U201" s="92" t="s">
        <v>386</v>
      </c>
      <c r="V201" s="44" t="s">
        <v>387</v>
      </c>
      <c r="W201" s="44" t="s">
        <v>178</v>
      </c>
      <c r="X201" s="92" t="s">
        <v>388</v>
      </c>
      <c r="Y201" s="96" t="s">
        <v>389</v>
      </c>
      <c r="Z201" s="44" t="s">
        <v>97</v>
      </c>
      <c r="AA201" s="91" t="s">
        <v>388</v>
      </c>
    </row>
    <row r="202" spans="1:27" x14ac:dyDescent="0.2">
      <c r="A202" s="96" t="s">
        <v>380</v>
      </c>
      <c r="B202" s="44" t="s">
        <v>247</v>
      </c>
      <c r="C202" s="91">
        <v>57855.56</v>
      </c>
      <c r="D202" s="139">
        <v>0</v>
      </c>
      <c r="E202" s="44" t="s">
        <v>100</v>
      </c>
      <c r="F202" s="122">
        <v>0.02</v>
      </c>
      <c r="G202" s="123">
        <v>3.84</v>
      </c>
      <c r="H202" s="44" t="s">
        <v>156</v>
      </c>
      <c r="I202" s="93" t="s">
        <v>383</v>
      </c>
      <c r="J202" s="44" t="s">
        <v>182</v>
      </c>
      <c r="K202" s="44" t="s">
        <v>412</v>
      </c>
      <c r="L202" s="93" t="s">
        <v>247</v>
      </c>
      <c r="M202" s="124">
        <v>37.99</v>
      </c>
      <c r="N202" s="44" t="s">
        <v>133</v>
      </c>
      <c r="O202" s="92" t="s">
        <v>102</v>
      </c>
      <c r="P202" s="110">
        <v>0</v>
      </c>
      <c r="Q202" s="44" t="s">
        <v>134</v>
      </c>
      <c r="R202" s="92" t="s">
        <v>135</v>
      </c>
      <c r="S202" s="125">
        <v>2.8780058739984018E-6</v>
      </c>
      <c r="T202" s="44" t="s">
        <v>136</v>
      </c>
      <c r="U202" s="92" t="s">
        <v>177</v>
      </c>
      <c r="V202" s="44" t="s">
        <v>138</v>
      </c>
      <c r="W202" s="44" t="s">
        <v>178</v>
      </c>
      <c r="X202" s="92" t="s">
        <v>388</v>
      </c>
      <c r="Y202" s="96" t="s">
        <v>389</v>
      </c>
      <c r="Z202" s="44" t="s">
        <v>97</v>
      </c>
      <c r="AA202" s="91" t="s">
        <v>388</v>
      </c>
    </row>
    <row r="203" spans="1:27" x14ac:dyDescent="0.2">
      <c r="A203" s="96" t="s">
        <v>380</v>
      </c>
      <c r="B203" s="44" t="s">
        <v>247</v>
      </c>
      <c r="C203" s="91">
        <v>192155.1</v>
      </c>
      <c r="D203" s="139">
        <v>0</v>
      </c>
      <c r="E203" s="44" t="s">
        <v>100</v>
      </c>
      <c r="F203" s="122">
        <v>0.11</v>
      </c>
      <c r="G203" s="123">
        <v>4.0199999999999996</v>
      </c>
      <c r="H203" s="44" t="s">
        <v>156</v>
      </c>
      <c r="I203" s="93" t="s">
        <v>383</v>
      </c>
      <c r="J203" s="44" t="s">
        <v>182</v>
      </c>
      <c r="K203" s="44" t="s">
        <v>412</v>
      </c>
      <c r="L203" s="93" t="s">
        <v>247</v>
      </c>
      <c r="M203" s="124">
        <v>126.17</v>
      </c>
      <c r="N203" s="44" t="s">
        <v>133</v>
      </c>
      <c r="O203" s="92" t="s">
        <v>102</v>
      </c>
      <c r="P203" s="110">
        <v>0</v>
      </c>
      <c r="Q203" s="44" t="s">
        <v>134</v>
      </c>
      <c r="R203" s="92" t="s">
        <v>135</v>
      </c>
      <c r="S203" s="125">
        <v>9.558693059232973E-6</v>
      </c>
      <c r="T203" s="44" t="s">
        <v>136</v>
      </c>
      <c r="U203" s="92" t="s">
        <v>177</v>
      </c>
      <c r="V203" s="44" t="s">
        <v>138</v>
      </c>
      <c r="W203" s="44" t="s">
        <v>178</v>
      </c>
      <c r="X203" s="92" t="s">
        <v>388</v>
      </c>
      <c r="Y203" s="96" t="s">
        <v>389</v>
      </c>
      <c r="Z203" s="44" t="s">
        <v>97</v>
      </c>
      <c r="AA203" s="91" t="s">
        <v>388</v>
      </c>
    </row>
    <row r="204" spans="1:27" x14ac:dyDescent="0.2">
      <c r="A204" s="97" t="s">
        <v>380</v>
      </c>
      <c r="B204" s="41" t="s">
        <v>247</v>
      </c>
      <c r="C204" s="94">
        <v>19129.66</v>
      </c>
      <c r="D204" s="140">
        <v>0</v>
      </c>
      <c r="E204" s="41" t="s">
        <v>100</v>
      </c>
      <c r="F204" s="126">
        <v>0.21</v>
      </c>
      <c r="G204" s="127">
        <v>4.08</v>
      </c>
      <c r="H204" s="41" t="s">
        <v>156</v>
      </c>
      <c r="I204" s="95" t="s">
        <v>383</v>
      </c>
      <c r="J204" s="41" t="s">
        <v>182</v>
      </c>
      <c r="K204" s="41" t="s">
        <v>412</v>
      </c>
      <c r="L204" s="95" t="s">
        <v>247</v>
      </c>
      <c r="M204" s="128">
        <v>12.56</v>
      </c>
      <c r="N204" s="41" t="s">
        <v>133</v>
      </c>
      <c r="O204" s="42" t="s">
        <v>102</v>
      </c>
      <c r="P204" s="52">
        <v>0</v>
      </c>
      <c r="Q204" s="41" t="s">
        <v>134</v>
      </c>
      <c r="R204" s="42" t="s">
        <v>135</v>
      </c>
      <c r="S204" s="129">
        <v>9.5159871764631423E-7</v>
      </c>
      <c r="T204" s="41" t="s">
        <v>136</v>
      </c>
      <c r="U204" s="42" t="s">
        <v>177</v>
      </c>
      <c r="V204" s="41" t="s">
        <v>138</v>
      </c>
      <c r="W204" s="41" t="s">
        <v>178</v>
      </c>
      <c r="X204" s="42" t="s">
        <v>388</v>
      </c>
      <c r="Y204" s="97" t="s">
        <v>389</v>
      </c>
      <c r="Z204" s="41" t="s">
        <v>97</v>
      </c>
      <c r="AA204" s="94" t="s">
        <v>388</v>
      </c>
    </row>
    <row r="205" spans="1:27" x14ac:dyDescent="0.2">
      <c r="A205" s="96" t="s">
        <v>380</v>
      </c>
      <c r="B205" s="44" t="s">
        <v>413</v>
      </c>
      <c r="C205" s="91">
        <v>115729.78</v>
      </c>
      <c r="D205" s="139">
        <v>0</v>
      </c>
      <c r="E205" s="44" t="s">
        <v>100</v>
      </c>
      <c r="F205" s="122">
        <v>0.02</v>
      </c>
      <c r="G205" s="123">
        <v>3.96</v>
      </c>
      <c r="H205" s="44" t="s">
        <v>382</v>
      </c>
      <c r="I205" s="93" t="s">
        <v>383</v>
      </c>
      <c r="J205" s="44" t="s">
        <v>182</v>
      </c>
      <c r="K205" s="44" t="s">
        <v>414</v>
      </c>
      <c r="L205" s="93" t="s">
        <v>254</v>
      </c>
      <c r="M205" s="124">
        <v>75.989999999999995</v>
      </c>
      <c r="N205" s="44" t="s">
        <v>133</v>
      </c>
      <c r="O205" s="92" t="s">
        <v>102</v>
      </c>
      <c r="P205" s="110">
        <v>0</v>
      </c>
      <c r="Q205" s="44" t="s">
        <v>134</v>
      </c>
      <c r="R205" s="92" t="s">
        <v>385</v>
      </c>
      <c r="S205" s="125">
        <v>5.7569401378340751E-6</v>
      </c>
      <c r="T205" s="44" t="s">
        <v>136</v>
      </c>
      <c r="U205" s="92" t="s">
        <v>386</v>
      </c>
      <c r="V205" s="44" t="s">
        <v>387</v>
      </c>
      <c r="W205" s="44" t="s">
        <v>178</v>
      </c>
      <c r="X205" s="92" t="s">
        <v>388</v>
      </c>
      <c r="Y205" s="96" t="s">
        <v>389</v>
      </c>
      <c r="Z205" s="44" t="s">
        <v>97</v>
      </c>
      <c r="AA205" s="91" t="s">
        <v>388</v>
      </c>
    </row>
    <row r="206" spans="1:27" x14ac:dyDescent="0.2">
      <c r="A206" s="97" t="s">
        <v>380</v>
      </c>
      <c r="B206" s="41" t="s">
        <v>415</v>
      </c>
      <c r="C206" s="94">
        <v>154231.72</v>
      </c>
      <c r="D206" s="140">
        <v>0</v>
      </c>
      <c r="E206" s="41" t="s">
        <v>100</v>
      </c>
      <c r="F206" s="126">
        <v>0.03</v>
      </c>
      <c r="G206" s="127">
        <v>3.84</v>
      </c>
      <c r="H206" s="41" t="s">
        <v>382</v>
      </c>
      <c r="I206" s="95" t="s">
        <v>383</v>
      </c>
      <c r="J206" s="41" t="s">
        <v>182</v>
      </c>
      <c r="K206" s="41" t="s">
        <v>416</v>
      </c>
      <c r="L206" s="95" t="s">
        <v>254</v>
      </c>
      <c r="M206" s="128">
        <v>101.27</v>
      </c>
      <c r="N206" s="41" t="s">
        <v>133</v>
      </c>
      <c r="O206" s="42" t="s">
        <v>102</v>
      </c>
      <c r="P206" s="52">
        <v>0</v>
      </c>
      <c r="Q206" s="41" t="s">
        <v>134</v>
      </c>
      <c r="R206" s="42" t="s">
        <v>385</v>
      </c>
      <c r="S206" s="129">
        <v>7.6722066260878357E-6</v>
      </c>
      <c r="T206" s="41" t="s">
        <v>136</v>
      </c>
      <c r="U206" s="42" t="s">
        <v>386</v>
      </c>
      <c r="V206" s="41" t="s">
        <v>387</v>
      </c>
      <c r="W206" s="41" t="s">
        <v>178</v>
      </c>
      <c r="X206" s="42" t="s">
        <v>388</v>
      </c>
      <c r="Y206" s="97" t="s">
        <v>389</v>
      </c>
      <c r="Z206" s="41" t="s">
        <v>97</v>
      </c>
      <c r="AA206" s="94" t="s">
        <v>388</v>
      </c>
    </row>
    <row r="207" spans="1:27" x14ac:dyDescent="0.2">
      <c r="A207" s="96" t="s">
        <v>380</v>
      </c>
      <c r="B207" s="44" t="s">
        <v>415</v>
      </c>
      <c r="C207" s="91">
        <v>154213.04999999999</v>
      </c>
      <c r="D207" s="139">
        <v>0</v>
      </c>
      <c r="E207" s="44" t="s">
        <v>100</v>
      </c>
      <c r="F207" s="122">
        <v>0.03</v>
      </c>
      <c r="G207" s="123">
        <v>3.96</v>
      </c>
      <c r="H207" s="44" t="s">
        <v>382</v>
      </c>
      <c r="I207" s="93" t="s">
        <v>383</v>
      </c>
      <c r="J207" s="44" t="s">
        <v>182</v>
      </c>
      <c r="K207" s="44" t="s">
        <v>416</v>
      </c>
      <c r="L207" s="93" t="s">
        <v>254</v>
      </c>
      <c r="M207" s="124">
        <v>101.26</v>
      </c>
      <c r="N207" s="44" t="s">
        <v>133</v>
      </c>
      <c r="O207" s="92" t="s">
        <v>102</v>
      </c>
      <c r="P207" s="110">
        <v>0</v>
      </c>
      <c r="Q207" s="44" t="s">
        <v>134</v>
      </c>
      <c r="R207" s="92" t="s">
        <v>385</v>
      </c>
      <c r="S207" s="125">
        <v>7.6712782362505642E-6</v>
      </c>
      <c r="T207" s="44" t="s">
        <v>136</v>
      </c>
      <c r="U207" s="92" t="s">
        <v>386</v>
      </c>
      <c r="V207" s="44" t="s">
        <v>387</v>
      </c>
      <c r="W207" s="44" t="s">
        <v>178</v>
      </c>
      <c r="X207" s="92" t="s">
        <v>388</v>
      </c>
      <c r="Y207" s="96" t="s">
        <v>389</v>
      </c>
      <c r="Z207" s="44" t="s">
        <v>97</v>
      </c>
      <c r="AA207" s="91" t="s">
        <v>388</v>
      </c>
    </row>
    <row r="208" spans="1:27" x14ac:dyDescent="0.2">
      <c r="A208" s="96" t="s">
        <v>380</v>
      </c>
      <c r="B208" s="44" t="s">
        <v>417</v>
      </c>
      <c r="C208" s="91">
        <v>192659.01</v>
      </c>
      <c r="D208" s="139">
        <v>0</v>
      </c>
      <c r="E208" s="44" t="s">
        <v>100</v>
      </c>
      <c r="F208" s="122">
        <v>0.04</v>
      </c>
      <c r="G208" s="123">
        <v>3.96</v>
      </c>
      <c r="H208" s="44" t="s">
        <v>382</v>
      </c>
      <c r="I208" s="93" t="s">
        <v>383</v>
      </c>
      <c r="J208" s="44" t="s">
        <v>182</v>
      </c>
      <c r="K208" s="44" t="s">
        <v>418</v>
      </c>
      <c r="L208" s="93" t="s">
        <v>254</v>
      </c>
      <c r="M208" s="124">
        <v>126.5</v>
      </c>
      <c r="N208" s="44" t="s">
        <v>133</v>
      </c>
      <c r="O208" s="92" t="s">
        <v>102</v>
      </c>
      <c r="P208" s="110">
        <v>0</v>
      </c>
      <c r="Q208" s="44" t="s">
        <v>134</v>
      </c>
      <c r="R208" s="92" t="s">
        <v>385</v>
      </c>
      <c r="S208" s="125">
        <v>9.5837595599669753E-6</v>
      </c>
      <c r="T208" s="44" t="s">
        <v>136</v>
      </c>
      <c r="U208" s="92" t="s">
        <v>386</v>
      </c>
      <c r="V208" s="44" t="s">
        <v>387</v>
      </c>
      <c r="W208" s="44" t="s">
        <v>178</v>
      </c>
      <c r="X208" s="92" t="s">
        <v>388</v>
      </c>
      <c r="Y208" s="96" t="s">
        <v>389</v>
      </c>
      <c r="Z208" s="44" t="s">
        <v>97</v>
      </c>
      <c r="AA208" s="91" t="s">
        <v>388</v>
      </c>
    </row>
    <row r="209" spans="1:27" x14ac:dyDescent="0.2">
      <c r="A209" s="97" t="s">
        <v>380</v>
      </c>
      <c r="B209" s="41" t="s">
        <v>417</v>
      </c>
      <c r="C209" s="94">
        <v>77041.210000000006</v>
      </c>
      <c r="D209" s="140">
        <v>0</v>
      </c>
      <c r="E209" s="41" t="s">
        <v>100</v>
      </c>
      <c r="F209" s="126">
        <v>0.05</v>
      </c>
      <c r="G209" s="127">
        <v>3.84</v>
      </c>
      <c r="H209" s="41" t="s">
        <v>382</v>
      </c>
      <c r="I209" s="95" t="s">
        <v>383</v>
      </c>
      <c r="J209" s="41" t="s">
        <v>182</v>
      </c>
      <c r="K209" s="41" t="s">
        <v>418</v>
      </c>
      <c r="L209" s="95" t="s">
        <v>254</v>
      </c>
      <c r="M209" s="128">
        <v>50.59</v>
      </c>
      <c r="N209" s="41" t="s">
        <v>133</v>
      </c>
      <c r="O209" s="42" t="s">
        <v>102</v>
      </c>
      <c r="P209" s="52">
        <v>0</v>
      </c>
      <c r="Q209" s="41" t="s">
        <v>134</v>
      </c>
      <c r="R209" s="42" t="s">
        <v>385</v>
      </c>
      <c r="S209" s="129">
        <v>3.8323897561820643E-6</v>
      </c>
      <c r="T209" s="41" t="s">
        <v>136</v>
      </c>
      <c r="U209" s="42" t="s">
        <v>386</v>
      </c>
      <c r="V209" s="41" t="s">
        <v>387</v>
      </c>
      <c r="W209" s="41" t="s">
        <v>178</v>
      </c>
      <c r="X209" s="42" t="s">
        <v>388</v>
      </c>
      <c r="Y209" s="97" t="s">
        <v>389</v>
      </c>
      <c r="Z209" s="41" t="s">
        <v>97</v>
      </c>
      <c r="AA209" s="94" t="s">
        <v>388</v>
      </c>
    </row>
    <row r="210" spans="1:27" x14ac:dyDescent="0.2">
      <c r="A210" s="96" t="s">
        <v>380</v>
      </c>
      <c r="B210" s="44" t="s">
        <v>417</v>
      </c>
      <c r="C210" s="91">
        <v>119313.09</v>
      </c>
      <c r="D210" s="139">
        <v>0</v>
      </c>
      <c r="E210" s="44" t="s">
        <v>100</v>
      </c>
      <c r="F210" s="122">
        <v>7.0000000000000007E-2</v>
      </c>
      <c r="G210" s="123">
        <v>3.84</v>
      </c>
      <c r="H210" s="44" t="s">
        <v>382</v>
      </c>
      <c r="I210" s="93" t="s">
        <v>383</v>
      </c>
      <c r="J210" s="44" t="s">
        <v>182</v>
      </c>
      <c r="K210" s="44" t="s">
        <v>418</v>
      </c>
      <c r="L210" s="93" t="s">
        <v>254</v>
      </c>
      <c r="M210" s="124">
        <v>78.34</v>
      </c>
      <c r="N210" s="44" t="s">
        <v>133</v>
      </c>
      <c r="O210" s="92" t="s">
        <v>102</v>
      </c>
      <c r="P210" s="110">
        <v>0</v>
      </c>
      <c r="Q210" s="44" t="s">
        <v>134</v>
      </c>
      <c r="R210" s="92" t="s">
        <v>385</v>
      </c>
      <c r="S210" s="125">
        <v>5.9351908224328452E-6</v>
      </c>
      <c r="T210" s="44" t="s">
        <v>136</v>
      </c>
      <c r="U210" s="92" t="s">
        <v>386</v>
      </c>
      <c r="V210" s="44" t="s">
        <v>387</v>
      </c>
      <c r="W210" s="44" t="s">
        <v>178</v>
      </c>
      <c r="X210" s="92" t="s">
        <v>388</v>
      </c>
      <c r="Y210" s="96" t="s">
        <v>389</v>
      </c>
      <c r="Z210" s="44" t="s">
        <v>97</v>
      </c>
      <c r="AA210" s="91" t="s">
        <v>388</v>
      </c>
    </row>
    <row r="211" spans="1:27" x14ac:dyDescent="0.2">
      <c r="A211" s="96" t="s">
        <v>380</v>
      </c>
      <c r="B211" s="44" t="s">
        <v>417</v>
      </c>
      <c r="C211" s="91">
        <v>46135.14</v>
      </c>
      <c r="D211" s="139">
        <v>0</v>
      </c>
      <c r="E211" s="44" t="s">
        <v>100</v>
      </c>
      <c r="F211" s="122">
        <v>0.1</v>
      </c>
      <c r="G211" s="123">
        <v>3.96</v>
      </c>
      <c r="H211" s="44" t="s">
        <v>382</v>
      </c>
      <c r="I211" s="93" t="s">
        <v>383</v>
      </c>
      <c r="J211" s="44" t="s">
        <v>182</v>
      </c>
      <c r="K211" s="44" t="s">
        <v>418</v>
      </c>
      <c r="L211" s="93" t="s">
        <v>254</v>
      </c>
      <c r="M211" s="124">
        <v>30.29</v>
      </c>
      <c r="N211" s="44" t="s">
        <v>133</v>
      </c>
      <c r="O211" s="92" t="s">
        <v>102</v>
      </c>
      <c r="P211" s="110">
        <v>0</v>
      </c>
      <c r="Q211" s="44" t="s">
        <v>134</v>
      </c>
      <c r="R211" s="92" t="s">
        <v>385</v>
      </c>
      <c r="S211" s="125">
        <v>2.2949775884596946E-6</v>
      </c>
      <c r="T211" s="44" t="s">
        <v>136</v>
      </c>
      <c r="U211" s="92" t="s">
        <v>386</v>
      </c>
      <c r="V211" s="44" t="s">
        <v>387</v>
      </c>
      <c r="W211" s="44" t="s">
        <v>178</v>
      </c>
      <c r="X211" s="92" t="s">
        <v>388</v>
      </c>
      <c r="Y211" s="96" t="s">
        <v>389</v>
      </c>
      <c r="Z211" s="44" t="s">
        <v>97</v>
      </c>
      <c r="AA211" s="91" t="s">
        <v>388</v>
      </c>
    </row>
    <row r="212" spans="1:27" x14ac:dyDescent="0.2">
      <c r="A212" s="97" t="s">
        <v>380</v>
      </c>
      <c r="B212" s="41" t="s">
        <v>417</v>
      </c>
      <c r="C212" s="94">
        <v>4143.2</v>
      </c>
      <c r="D212" s="140">
        <v>0</v>
      </c>
      <c r="E212" s="41" t="s">
        <v>100</v>
      </c>
      <c r="F212" s="126">
        <v>0.14000000000000001</v>
      </c>
      <c r="G212" s="127">
        <v>3.96</v>
      </c>
      <c r="H212" s="41" t="s">
        <v>382</v>
      </c>
      <c r="I212" s="95" t="s">
        <v>383</v>
      </c>
      <c r="J212" s="41" t="s">
        <v>182</v>
      </c>
      <c r="K212" s="41" t="s">
        <v>418</v>
      </c>
      <c r="L212" s="95" t="s">
        <v>254</v>
      </c>
      <c r="M212" s="128">
        <v>2.72</v>
      </c>
      <c r="N212" s="41" t="s">
        <v>133</v>
      </c>
      <c r="O212" s="42" t="s">
        <v>102</v>
      </c>
      <c r="P212" s="52">
        <v>0</v>
      </c>
      <c r="Q212" s="41" t="s">
        <v>134</v>
      </c>
      <c r="R212" s="42" t="s">
        <v>385</v>
      </c>
      <c r="S212" s="129">
        <v>2.0610235484458853E-7</v>
      </c>
      <c r="T212" s="41" t="s">
        <v>136</v>
      </c>
      <c r="U212" s="42" t="s">
        <v>386</v>
      </c>
      <c r="V212" s="41" t="s">
        <v>387</v>
      </c>
      <c r="W212" s="41" t="s">
        <v>178</v>
      </c>
      <c r="X212" s="42" t="s">
        <v>388</v>
      </c>
      <c r="Y212" s="97" t="s">
        <v>389</v>
      </c>
      <c r="Z212" s="41" t="s">
        <v>97</v>
      </c>
      <c r="AA212" s="94" t="s">
        <v>388</v>
      </c>
    </row>
    <row r="213" spans="1:27" x14ac:dyDescent="0.2">
      <c r="A213" s="97" t="s">
        <v>380</v>
      </c>
      <c r="B213" s="41" t="s">
        <v>417</v>
      </c>
      <c r="C213" s="94">
        <v>76555.97</v>
      </c>
      <c r="D213" s="140">
        <v>0</v>
      </c>
      <c r="E213" s="41" t="s">
        <v>100</v>
      </c>
      <c r="F213" s="126">
        <v>0.2</v>
      </c>
      <c r="G213" s="127">
        <v>4.08</v>
      </c>
      <c r="H213" s="41" t="s">
        <v>382</v>
      </c>
      <c r="I213" s="95" t="s">
        <v>383</v>
      </c>
      <c r="J213" s="41" t="s">
        <v>182</v>
      </c>
      <c r="K213" s="41" t="s">
        <v>418</v>
      </c>
      <c r="L213" s="95" t="s">
        <v>254</v>
      </c>
      <c r="M213" s="128">
        <v>50.27</v>
      </c>
      <c r="N213" s="41" t="s">
        <v>133</v>
      </c>
      <c r="O213" s="42" t="s">
        <v>102</v>
      </c>
      <c r="P213" s="52">
        <v>0</v>
      </c>
      <c r="Q213" s="41" t="s">
        <v>134</v>
      </c>
      <c r="R213" s="42" t="s">
        <v>385</v>
      </c>
      <c r="S213" s="129">
        <v>3.8082516452853331E-6</v>
      </c>
      <c r="T213" s="41" t="s">
        <v>136</v>
      </c>
      <c r="U213" s="42" t="s">
        <v>386</v>
      </c>
      <c r="V213" s="41" t="s">
        <v>387</v>
      </c>
      <c r="W213" s="41" t="s">
        <v>178</v>
      </c>
      <c r="X213" s="42" t="s">
        <v>388</v>
      </c>
      <c r="Y213" s="97" t="s">
        <v>389</v>
      </c>
      <c r="Z213" s="41" t="s">
        <v>97</v>
      </c>
      <c r="AA213" s="94" t="s">
        <v>388</v>
      </c>
    </row>
    <row r="214" spans="1:27" x14ac:dyDescent="0.2">
      <c r="A214" s="96" t="s">
        <v>380</v>
      </c>
      <c r="B214" s="44" t="s">
        <v>419</v>
      </c>
      <c r="C214" s="91">
        <v>30868.74</v>
      </c>
      <c r="D214" s="139">
        <v>0</v>
      </c>
      <c r="E214" s="44" t="s">
        <v>100</v>
      </c>
      <c r="F214" s="122">
        <v>0.01</v>
      </c>
      <c r="G214" s="123">
        <v>3.96</v>
      </c>
      <c r="H214" s="44" t="s">
        <v>382</v>
      </c>
      <c r="I214" s="93" t="s">
        <v>383</v>
      </c>
      <c r="J214" s="44" t="s">
        <v>182</v>
      </c>
      <c r="K214" s="44" t="s">
        <v>420</v>
      </c>
      <c r="L214" s="93" t="s">
        <v>211</v>
      </c>
      <c r="M214" s="124">
        <v>20.27</v>
      </c>
      <c r="N214" s="44" t="s">
        <v>133</v>
      </c>
      <c r="O214" s="92" t="s">
        <v>102</v>
      </c>
      <c r="P214" s="110">
        <v>0</v>
      </c>
      <c r="Q214" s="44" t="s">
        <v>134</v>
      </c>
      <c r="R214" s="92" t="s">
        <v>385</v>
      </c>
      <c r="S214" s="125">
        <v>1.5355553930222933E-6</v>
      </c>
      <c r="T214" s="44" t="s">
        <v>136</v>
      </c>
      <c r="U214" s="92" t="s">
        <v>386</v>
      </c>
      <c r="V214" s="44" t="s">
        <v>387</v>
      </c>
      <c r="W214" s="44" t="s">
        <v>178</v>
      </c>
      <c r="X214" s="92" t="s">
        <v>388</v>
      </c>
      <c r="Y214" s="96" t="s">
        <v>389</v>
      </c>
      <c r="Z214" s="44" t="s">
        <v>97</v>
      </c>
      <c r="AA214" s="91" t="s">
        <v>388</v>
      </c>
    </row>
    <row r="215" spans="1:27" x14ac:dyDescent="0.2">
      <c r="A215" s="96" t="s">
        <v>380</v>
      </c>
      <c r="B215" s="44" t="s">
        <v>419</v>
      </c>
      <c r="C215" s="91">
        <v>154175.73000000001</v>
      </c>
      <c r="D215" s="139">
        <v>0</v>
      </c>
      <c r="E215" s="44" t="s">
        <v>100</v>
      </c>
      <c r="F215" s="122">
        <v>0.04</v>
      </c>
      <c r="G215" s="123">
        <v>3.96</v>
      </c>
      <c r="H215" s="44" t="s">
        <v>382</v>
      </c>
      <c r="I215" s="93" t="s">
        <v>383</v>
      </c>
      <c r="J215" s="44" t="s">
        <v>182</v>
      </c>
      <c r="K215" s="44" t="s">
        <v>420</v>
      </c>
      <c r="L215" s="93" t="s">
        <v>211</v>
      </c>
      <c r="M215" s="124">
        <v>101.23</v>
      </c>
      <c r="N215" s="44" t="s">
        <v>133</v>
      </c>
      <c r="O215" s="92" t="s">
        <v>102</v>
      </c>
      <c r="P215" s="110">
        <v>0</v>
      </c>
      <c r="Q215" s="44" t="s">
        <v>134</v>
      </c>
      <c r="R215" s="92" t="s">
        <v>385</v>
      </c>
      <c r="S215" s="125">
        <v>7.669421461550488E-6</v>
      </c>
      <c r="T215" s="44" t="s">
        <v>136</v>
      </c>
      <c r="U215" s="92" t="s">
        <v>386</v>
      </c>
      <c r="V215" s="44" t="s">
        <v>387</v>
      </c>
      <c r="W215" s="44" t="s">
        <v>178</v>
      </c>
      <c r="X215" s="92" t="s">
        <v>388</v>
      </c>
      <c r="Y215" s="96" t="s">
        <v>389</v>
      </c>
      <c r="Z215" s="44" t="s">
        <v>97</v>
      </c>
      <c r="AA215" s="91" t="s">
        <v>388</v>
      </c>
    </row>
    <row r="216" spans="1:27" x14ac:dyDescent="0.2">
      <c r="A216" s="97" t="s">
        <v>380</v>
      </c>
      <c r="B216" s="41" t="s">
        <v>419</v>
      </c>
      <c r="C216" s="94">
        <v>346424.15</v>
      </c>
      <c r="D216" s="140">
        <v>0</v>
      </c>
      <c r="E216" s="41" t="s">
        <v>100</v>
      </c>
      <c r="F216" s="126">
        <v>7.0000000000000007E-2</v>
      </c>
      <c r="G216" s="127">
        <v>3.84</v>
      </c>
      <c r="H216" s="41" t="s">
        <v>382</v>
      </c>
      <c r="I216" s="95" t="s">
        <v>383</v>
      </c>
      <c r="J216" s="41" t="s">
        <v>182</v>
      </c>
      <c r="K216" s="41" t="s">
        <v>420</v>
      </c>
      <c r="L216" s="95" t="s">
        <v>211</v>
      </c>
      <c r="M216" s="128">
        <v>227.46</v>
      </c>
      <c r="N216" s="41" t="s">
        <v>133</v>
      </c>
      <c r="O216" s="42" t="s">
        <v>102</v>
      </c>
      <c r="P216" s="52">
        <v>0</v>
      </c>
      <c r="Q216" s="41" t="s">
        <v>134</v>
      </c>
      <c r="R216" s="42" t="s">
        <v>385</v>
      </c>
      <c r="S216" s="129">
        <v>1.7232756460020885E-5</v>
      </c>
      <c r="T216" s="41" t="s">
        <v>136</v>
      </c>
      <c r="U216" s="42" t="s">
        <v>386</v>
      </c>
      <c r="V216" s="41" t="s">
        <v>387</v>
      </c>
      <c r="W216" s="41" t="s">
        <v>178</v>
      </c>
      <c r="X216" s="42" t="s">
        <v>388</v>
      </c>
      <c r="Y216" s="97" t="s">
        <v>389</v>
      </c>
      <c r="Z216" s="41" t="s">
        <v>97</v>
      </c>
      <c r="AA216" s="94" t="s">
        <v>388</v>
      </c>
    </row>
    <row r="217" spans="1:27" x14ac:dyDescent="0.2">
      <c r="A217" s="87" t="s">
        <v>380</v>
      </c>
      <c r="B217" s="87" t="s">
        <v>419</v>
      </c>
      <c r="C217" s="88">
        <v>76891.899999999994</v>
      </c>
      <c r="D217" s="138">
        <v>0</v>
      </c>
      <c r="E217" s="87" t="s">
        <v>100</v>
      </c>
      <c r="F217" s="118">
        <v>0.1</v>
      </c>
      <c r="G217" s="119">
        <v>3.96</v>
      </c>
      <c r="H217" s="87" t="s">
        <v>382</v>
      </c>
      <c r="I217" s="90" t="s">
        <v>383</v>
      </c>
      <c r="J217" s="87" t="s">
        <v>182</v>
      </c>
      <c r="K217" s="87" t="s">
        <v>420</v>
      </c>
      <c r="L217" s="90" t="s">
        <v>211</v>
      </c>
      <c r="M217" s="120">
        <v>50.49</v>
      </c>
      <c r="N217" s="87" t="s">
        <v>133</v>
      </c>
      <c r="O217" s="89" t="s">
        <v>102</v>
      </c>
      <c r="P217" s="130">
        <v>0</v>
      </c>
      <c r="Q217" s="87" t="s">
        <v>134</v>
      </c>
      <c r="R217" s="89" t="s">
        <v>385</v>
      </c>
      <c r="S217" s="121">
        <v>3.824962647432824E-6</v>
      </c>
      <c r="T217" s="87" t="s">
        <v>136</v>
      </c>
      <c r="U217" s="89" t="s">
        <v>386</v>
      </c>
      <c r="V217" s="87" t="s">
        <v>387</v>
      </c>
      <c r="W217" s="87" t="s">
        <v>178</v>
      </c>
      <c r="X217" s="89" t="s">
        <v>388</v>
      </c>
      <c r="Y217" s="87" t="s">
        <v>389</v>
      </c>
      <c r="Z217" s="87" t="s">
        <v>97</v>
      </c>
      <c r="AA217" s="88" t="s">
        <v>388</v>
      </c>
    </row>
    <row r="218" spans="1:27" x14ac:dyDescent="0.2">
      <c r="A218" s="44" t="s">
        <v>380</v>
      </c>
      <c r="B218" s="44" t="s">
        <v>419</v>
      </c>
      <c r="C218" s="91">
        <v>140178.42000000001</v>
      </c>
      <c r="D218" s="139">
        <v>0</v>
      </c>
      <c r="E218" s="44" t="s">
        <v>100</v>
      </c>
      <c r="F218" s="122">
        <v>0.12</v>
      </c>
      <c r="G218" s="123">
        <v>3.96</v>
      </c>
      <c r="H218" s="44" t="s">
        <v>382</v>
      </c>
      <c r="I218" s="93" t="s">
        <v>383</v>
      </c>
      <c r="J218" s="44" t="s">
        <v>182</v>
      </c>
      <c r="K218" s="44" t="s">
        <v>420</v>
      </c>
      <c r="L218" s="93" t="s">
        <v>211</v>
      </c>
      <c r="M218" s="124">
        <v>92.04</v>
      </c>
      <c r="N218" s="44" t="s">
        <v>133</v>
      </c>
      <c r="O218" s="92" t="s">
        <v>102</v>
      </c>
      <c r="P218" s="110">
        <v>0</v>
      </c>
      <c r="Q218" s="44" t="s">
        <v>134</v>
      </c>
      <c r="R218" s="92" t="s">
        <v>385</v>
      </c>
      <c r="S218" s="125">
        <v>6.9731297153539629E-6</v>
      </c>
      <c r="T218" s="44" t="s">
        <v>136</v>
      </c>
      <c r="U218" s="92" t="s">
        <v>386</v>
      </c>
      <c r="V218" s="44" t="s">
        <v>387</v>
      </c>
      <c r="W218" s="44" t="s">
        <v>178</v>
      </c>
      <c r="X218" s="92" t="s">
        <v>388</v>
      </c>
      <c r="Y218" s="44" t="s">
        <v>389</v>
      </c>
      <c r="Z218" s="44" t="s">
        <v>97</v>
      </c>
      <c r="AA218" s="91" t="s">
        <v>388</v>
      </c>
    </row>
    <row r="219" spans="1:27" x14ac:dyDescent="0.2">
      <c r="A219" s="41" t="s">
        <v>380</v>
      </c>
      <c r="B219" s="41" t="s">
        <v>419</v>
      </c>
      <c r="C219" s="94">
        <v>191427.24</v>
      </c>
      <c r="D219" s="140">
        <v>0</v>
      </c>
      <c r="E219" s="41" t="s">
        <v>100</v>
      </c>
      <c r="F219" s="126">
        <v>0.21</v>
      </c>
      <c r="G219" s="127">
        <v>3.96</v>
      </c>
      <c r="H219" s="41" t="s">
        <v>382</v>
      </c>
      <c r="I219" s="95" t="s">
        <v>383</v>
      </c>
      <c r="J219" s="41" t="s">
        <v>182</v>
      </c>
      <c r="K219" s="41" t="s">
        <v>420</v>
      </c>
      <c r="L219" s="95" t="s">
        <v>211</v>
      </c>
      <c r="M219" s="128">
        <v>125.69</v>
      </c>
      <c r="N219" s="41" t="s">
        <v>133</v>
      </c>
      <c r="O219" s="42" t="s">
        <v>102</v>
      </c>
      <c r="P219" s="52">
        <v>0</v>
      </c>
      <c r="Q219" s="41" t="s">
        <v>134</v>
      </c>
      <c r="R219" s="42" t="s">
        <v>385</v>
      </c>
      <c r="S219" s="129">
        <v>9.5224858854261756E-6</v>
      </c>
      <c r="T219" s="41" t="s">
        <v>136</v>
      </c>
      <c r="U219" s="42" t="s">
        <v>386</v>
      </c>
      <c r="V219" s="41" t="s">
        <v>387</v>
      </c>
      <c r="W219" s="41" t="s">
        <v>178</v>
      </c>
      <c r="X219" s="42" t="s">
        <v>388</v>
      </c>
      <c r="Y219" s="41" t="s">
        <v>389</v>
      </c>
      <c r="Z219" s="41" t="s">
        <v>97</v>
      </c>
      <c r="AA219" s="94" t="s">
        <v>388</v>
      </c>
    </row>
    <row r="220" spans="1:27" x14ac:dyDescent="0.2">
      <c r="A220" s="44" t="s">
        <v>380</v>
      </c>
      <c r="B220" s="44" t="s">
        <v>419</v>
      </c>
      <c r="C220" s="91">
        <v>305589.32</v>
      </c>
      <c r="D220" s="139">
        <v>0</v>
      </c>
      <c r="E220" s="44" t="s">
        <v>100</v>
      </c>
      <c r="F220" s="122">
        <v>0.26</v>
      </c>
      <c r="G220" s="123">
        <v>4</v>
      </c>
      <c r="H220" s="44" t="s">
        <v>382</v>
      </c>
      <c r="I220" s="93" t="s">
        <v>383</v>
      </c>
      <c r="J220" s="44" t="s">
        <v>182</v>
      </c>
      <c r="K220" s="44" t="s">
        <v>420</v>
      </c>
      <c r="L220" s="93" t="s">
        <v>211</v>
      </c>
      <c r="M220" s="124">
        <v>200.65</v>
      </c>
      <c r="N220" s="44" t="s">
        <v>133</v>
      </c>
      <c r="O220" s="92" t="s">
        <v>102</v>
      </c>
      <c r="P220" s="110">
        <v>0</v>
      </c>
      <c r="Q220" s="44" t="s">
        <v>134</v>
      </c>
      <c r="R220" s="92" t="s">
        <v>385</v>
      </c>
      <c r="S220" s="125">
        <v>1.5201441346571959E-5</v>
      </c>
      <c r="T220" s="44" t="s">
        <v>136</v>
      </c>
      <c r="U220" s="92" t="s">
        <v>386</v>
      </c>
      <c r="V220" s="44" t="s">
        <v>387</v>
      </c>
      <c r="W220" s="44" t="s">
        <v>178</v>
      </c>
      <c r="X220" s="92" t="s">
        <v>388</v>
      </c>
      <c r="Y220" s="44" t="s">
        <v>389</v>
      </c>
      <c r="Z220" s="44" t="s">
        <v>97</v>
      </c>
      <c r="AA220" s="91" t="s">
        <v>388</v>
      </c>
    </row>
    <row r="221" spans="1:27" x14ac:dyDescent="0.2">
      <c r="A221" s="87" t="s">
        <v>380</v>
      </c>
      <c r="B221" s="87" t="s">
        <v>419</v>
      </c>
      <c r="C221" s="88">
        <v>229014.69</v>
      </c>
      <c r="D221" s="138">
        <v>0</v>
      </c>
      <c r="E221" s="87" t="s">
        <v>100</v>
      </c>
      <c r="F221" s="118">
        <v>0.28000000000000003</v>
      </c>
      <c r="G221" s="119">
        <v>3.96</v>
      </c>
      <c r="H221" s="87" t="s">
        <v>382</v>
      </c>
      <c r="I221" s="90" t="s">
        <v>383</v>
      </c>
      <c r="J221" s="87" t="s">
        <v>182</v>
      </c>
      <c r="K221" s="87" t="s">
        <v>420</v>
      </c>
      <c r="L221" s="90" t="s">
        <v>211</v>
      </c>
      <c r="M221" s="120">
        <v>150.37</v>
      </c>
      <c r="N221" s="87" t="s">
        <v>133</v>
      </c>
      <c r="O221" s="89" t="s">
        <v>102</v>
      </c>
      <c r="P221" s="180">
        <v>0</v>
      </c>
      <c r="Q221" s="87" t="s">
        <v>134</v>
      </c>
      <c r="R221" s="89" t="s">
        <v>385</v>
      </c>
      <c r="S221" s="121">
        <v>1.1392261316423822E-5</v>
      </c>
      <c r="T221" s="87" t="s">
        <v>136</v>
      </c>
      <c r="U221" s="89" t="s">
        <v>386</v>
      </c>
      <c r="V221" s="87" t="s">
        <v>387</v>
      </c>
      <c r="W221" s="87" t="s">
        <v>178</v>
      </c>
      <c r="X221" s="89" t="s">
        <v>388</v>
      </c>
      <c r="Y221" s="87" t="s">
        <v>389</v>
      </c>
      <c r="Z221" s="87" t="s">
        <v>97</v>
      </c>
      <c r="AA221" s="88" t="s">
        <v>388</v>
      </c>
    </row>
    <row r="222" spans="1:27" x14ac:dyDescent="0.2">
      <c r="A222" s="44" t="s">
        <v>380</v>
      </c>
      <c r="B222" s="44" t="s">
        <v>419</v>
      </c>
      <c r="C222" s="91">
        <v>247939.06</v>
      </c>
      <c r="D222" s="139">
        <v>0</v>
      </c>
      <c r="E222" s="44" t="s">
        <v>100</v>
      </c>
      <c r="F222" s="122">
        <v>0.3</v>
      </c>
      <c r="G222" s="123">
        <v>3.96</v>
      </c>
      <c r="H222" s="44" t="s">
        <v>382</v>
      </c>
      <c r="I222" s="93" t="s">
        <v>383</v>
      </c>
      <c r="J222" s="44" t="s">
        <v>182</v>
      </c>
      <c r="K222" s="44" t="s">
        <v>420</v>
      </c>
      <c r="L222" s="93" t="s">
        <v>211</v>
      </c>
      <c r="M222" s="124">
        <v>162.80000000000001</v>
      </c>
      <c r="N222" s="44" t="s">
        <v>133</v>
      </c>
      <c r="O222" s="92" t="s">
        <v>102</v>
      </c>
      <c r="P222" s="110">
        <v>0</v>
      </c>
      <c r="Q222" s="44" t="s">
        <v>134</v>
      </c>
      <c r="R222" s="92" t="s">
        <v>385</v>
      </c>
      <c r="S222" s="125">
        <v>1.233364775580908E-5</v>
      </c>
      <c r="T222" s="44" t="s">
        <v>136</v>
      </c>
      <c r="U222" s="92" t="s">
        <v>386</v>
      </c>
      <c r="V222" s="44" t="s">
        <v>387</v>
      </c>
      <c r="W222" s="44" t="s">
        <v>178</v>
      </c>
      <c r="X222" s="92" t="s">
        <v>388</v>
      </c>
      <c r="Y222" s="44" t="s">
        <v>389</v>
      </c>
      <c r="Z222" s="44" t="s">
        <v>97</v>
      </c>
      <c r="AA222" s="91" t="s">
        <v>388</v>
      </c>
    </row>
    <row r="223" spans="1:27" x14ac:dyDescent="0.2">
      <c r="A223" s="41" t="s">
        <v>421</v>
      </c>
      <c r="B223" s="41" t="s">
        <v>406</v>
      </c>
      <c r="C223" s="94">
        <v>201691.94</v>
      </c>
      <c r="D223" s="140">
        <v>0</v>
      </c>
      <c r="E223" s="41" t="s">
        <v>99</v>
      </c>
      <c r="F223" s="126">
        <v>0.22</v>
      </c>
      <c r="G223" s="127">
        <v>3.85</v>
      </c>
      <c r="H223" s="41" t="s">
        <v>382</v>
      </c>
      <c r="I223" s="95" t="s">
        <v>383</v>
      </c>
      <c r="J223" s="41" t="s">
        <v>182</v>
      </c>
      <c r="K223" s="41" t="s">
        <v>407</v>
      </c>
      <c r="L223" s="95" t="s">
        <v>364</v>
      </c>
      <c r="M223" s="128">
        <v>132.43</v>
      </c>
      <c r="N223" s="41" t="s">
        <v>133</v>
      </c>
      <c r="O223" s="42" t="s">
        <v>102</v>
      </c>
      <c r="P223" s="52">
        <v>0</v>
      </c>
      <c r="Q223" s="41" t="s">
        <v>134</v>
      </c>
      <c r="R223" s="42" t="s">
        <v>385</v>
      </c>
      <c r="S223" s="129">
        <v>1.0033099833300222E-5</v>
      </c>
      <c r="T223" s="41" t="s">
        <v>136</v>
      </c>
      <c r="U223" s="42" t="s">
        <v>422</v>
      </c>
      <c r="V223" s="41" t="s">
        <v>387</v>
      </c>
      <c r="W223" s="41" t="s">
        <v>139</v>
      </c>
      <c r="X223" s="42" t="s">
        <v>423</v>
      </c>
      <c r="Y223" s="41" t="s">
        <v>389</v>
      </c>
      <c r="Z223" s="41" t="s">
        <v>97</v>
      </c>
      <c r="AA223" s="94" t="s">
        <v>423</v>
      </c>
    </row>
    <row r="224" spans="1:27" x14ac:dyDescent="0.2">
      <c r="A224" s="44" t="s">
        <v>421</v>
      </c>
      <c r="B224" s="44" t="s">
        <v>406</v>
      </c>
      <c r="C224" s="91">
        <v>10059.4</v>
      </c>
      <c r="D224" s="139">
        <v>0</v>
      </c>
      <c r="E224" s="44" t="s">
        <v>99</v>
      </c>
      <c r="F224" s="122">
        <v>0.7</v>
      </c>
      <c r="G224" s="123">
        <v>1.45</v>
      </c>
      <c r="H224" s="44" t="s">
        <v>382</v>
      </c>
      <c r="I224" s="93" t="s">
        <v>383</v>
      </c>
      <c r="J224" s="44" t="s">
        <v>182</v>
      </c>
      <c r="K224" s="44" t="s">
        <v>407</v>
      </c>
      <c r="L224" s="93" t="s">
        <v>364</v>
      </c>
      <c r="M224" s="124">
        <v>6.61</v>
      </c>
      <c r="N224" s="44" t="s">
        <v>133</v>
      </c>
      <c r="O224" s="92" t="s">
        <v>102</v>
      </c>
      <c r="P224" s="110">
        <v>0</v>
      </c>
      <c r="Q224" s="44" t="s">
        <v>134</v>
      </c>
      <c r="R224" s="92" t="s">
        <v>385</v>
      </c>
      <c r="S224" s="125">
        <v>5.0040166463852394E-7</v>
      </c>
      <c r="T224" s="44" t="s">
        <v>136</v>
      </c>
      <c r="U224" s="92" t="s">
        <v>422</v>
      </c>
      <c r="V224" s="44" t="s">
        <v>387</v>
      </c>
      <c r="W224" s="44" t="s">
        <v>139</v>
      </c>
      <c r="X224" s="92" t="s">
        <v>423</v>
      </c>
      <c r="Y224" s="44" t="s">
        <v>389</v>
      </c>
      <c r="Z224" s="44" t="s">
        <v>97</v>
      </c>
      <c r="AA224" s="91" t="s">
        <v>423</v>
      </c>
    </row>
    <row r="225" spans="1:27" x14ac:dyDescent="0.2">
      <c r="A225" s="41"/>
      <c r="B225" s="41"/>
      <c r="C225" s="94"/>
      <c r="D225" s="140"/>
      <c r="E225" s="41"/>
      <c r="F225" s="126"/>
      <c r="G225" s="127"/>
      <c r="H225" s="41"/>
      <c r="I225" s="95"/>
      <c r="J225" s="41"/>
      <c r="K225" s="41"/>
      <c r="L225" s="95"/>
      <c r="M225" s="128"/>
      <c r="N225" s="41"/>
      <c r="O225" s="42"/>
      <c r="P225" s="52"/>
      <c r="Q225" s="41"/>
      <c r="R225" s="42"/>
      <c r="S225" s="129"/>
      <c r="T225" s="41"/>
      <c r="U225" s="42"/>
      <c r="V225" s="41"/>
      <c r="W225" s="41"/>
      <c r="X225" s="42"/>
      <c r="Y225" s="41"/>
      <c r="Z225" s="41"/>
      <c r="AA225" s="94"/>
    </row>
    <row r="226" spans="1:27" x14ac:dyDescent="0.2">
      <c r="A226" s="44"/>
      <c r="B226" s="44"/>
      <c r="C226" s="91"/>
      <c r="D226" s="139"/>
      <c r="E226" s="44"/>
      <c r="F226" s="122"/>
      <c r="G226" s="123"/>
      <c r="H226" s="44"/>
      <c r="I226" s="93"/>
      <c r="J226" s="44"/>
      <c r="K226" s="44"/>
      <c r="L226" s="93"/>
      <c r="M226" s="124"/>
      <c r="N226" s="44"/>
      <c r="O226" s="92"/>
      <c r="P226" s="110"/>
      <c r="Q226" s="44"/>
      <c r="R226" s="92"/>
      <c r="S226" s="125"/>
      <c r="T226" s="44"/>
      <c r="U226" s="92"/>
      <c r="V226" s="44"/>
      <c r="W226" s="44"/>
      <c r="X226" s="92"/>
      <c r="Y226" s="44"/>
      <c r="Z226" s="44"/>
      <c r="AA226" s="91"/>
    </row>
    <row r="227" spans="1:27" x14ac:dyDescent="0.2">
      <c r="A227" s="41"/>
      <c r="B227" s="41"/>
      <c r="C227" s="94"/>
      <c r="D227" s="140"/>
      <c r="E227" s="41"/>
      <c r="F227" s="126"/>
      <c r="G227" s="127"/>
      <c r="H227" s="41"/>
      <c r="I227" s="95"/>
      <c r="J227" s="41"/>
      <c r="K227" s="41"/>
      <c r="L227" s="95"/>
      <c r="M227" s="128"/>
      <c r="N227" s="41"/>
      <c r="O227" s="42"/>
      <c r="P227" s="52"/>
      <c r="Q227" s="41"/>
      <c r="R227" s="42"/>
      <c r="S227" s="129"/>
      <c r="T227" s="41"/>
      <c r="U227" s="42"/>
      <c r="V227" s="41"/>
      <c r="W227" s="41"/>
      <c r="X227" s="42"/>
      <c r="Y227" s="41"/>
      <c r="Z227" s="41"/>
      <c r="AA227" s="94"/>
    </row>
    <row r="228" spans="1:27" x14ac:dyDescent="0.2">
      <c r="A228" s="44"/>
      <c r="B228" s="44"/>
      <c r="C228" s="91"/>
      <c r="D228" s="139"/>
      <c r="E228" s="44"/>
      <c r="F228" s="122"/>
      <c r="G228" s="123"/>
      <c r="H228" s="44"/>
      <c r="I228" s="93"/>
      <c r="J228" s="44"/>
      <c r="K228" s="44"/>
      <c r="L228" s="93"/>
      <c r="M228" s="124"/>
      <c r="N228" s="44"/>
      <c r="O228" s="92"/>
      <c r="P228" s="110"/>
      <c r="Q228" s="44"/>
      <c r="R228" s="92"/>
      <c r="S228" s="125"/>
      <c r="T228" s="44"/>
      <c r="U228" s="92"/>
      <c r="V228" s="44"/>
      <c r="W228" s="44"/>
      <c r="X228" s="92"/>
      <c r="Y228" s="44"/>
      <c r="Z228" s="44"/>
      <c r="AA228" s="91"/>
    </row>
    <row r="229" spans="1:27" x14ac:dyDescent="0.2">
      <c r="A229" s="41"/>
      <c r="B229" s="41"/>
      <c r="C229" s="94"/>
      <c r="D229" s="140"/>
      <c r="E229" s="41"/>
      <c r="F229" s="126"/>
      <c r="G229" s="127"/>
      <c r="H229" s="41"/>
      <c r="I229" s="95"/>
      <c r="J229" s="41"/>
      <c r="K229" s="41"/>
      <c r="L229" s="95"/>
      <c r="M229" s="128"/>
      <c r="N229" s="41"/>
      <c r="O229" s="42"/>
      <c r="P229" s="52"/>
      <c r="Q229" s="41"/>
      <c r="R229" s="42"/>
      <c r="S229" s="129"/>
      <c r="T229" s="41"/>
      <c r="U229" s="42"/>
      <c r="V229" s="41"/>
      <c r="W229" s="41"/>
      <c r="X229" s="42"/>
      <c r="Y229" s="41"/>
      <c r="Z229" s="41"/>
      <c r="AA229" s="94"/>
    </row>
    <row r="230" spans="1:27" x14ac:dyDescent="0.2">
      <c r="A230" s="44"/>
      <c r="B230" s="44"/>
      <c r="C230" s="91"/>
      <c r="D230" s="139"/>
      <c r="E230" s="44"/>
      <c r="F230" s="122"/>
      <c r="G230" s="123"/>
      <c r="H230" s="44"/>
      <c r="I230" s="93"/>
      <c r="J230" s="44"/>
      <c r="K230" s="44"/>
      <c r="L230" s="93"/>
      <c r="M230" s="124"/>
      <c r="N230" s="44"/>
      <c r="O230" s="92"/>
      <c r="P230" s="110"/>
      <c r="Q230" s="44"/>
      <c r="R230" s="92"/>
      <c r="S230" s="125"/>
      <c r="T230" s="44"/>
      <c r="U230" s="92"/>
      <c r="V230" s="44"/>
      <c r="W230" s="44"/>
      <c r="X230" s="92"/>
      <c r="Y230" s="44"/>
      <c r="Z230" s="44"/>
      <c r="AA230" s="91"/>
    </row>
    <row r="231" spans="1:27" x14ac:dyDescent="0.2">
      <c r="A231" s="41"/>
      <c r="B231" s="41"/>
      <c r="C231" s="94"/>
      <c r="D231" s="140"/>
      <c r="E231" s="41"/>
      <c r="F231" s="126"/>
      <c r="G231" s="127"/>
      <c r="H231" s="41"/>
      <c r="I231" s="95"/>
      <c r="J231" s="41"/>
      <c r="K231" s="41"/>
      <c r="L231" s="95"/>
      <c r="M231" s="128"/>
      <c r="N231" s="41"/>
      <c r="O231" s="42"/>
      <c r="P231" s="52"/>
      <c r="Q231" s="41"/>
      <c r="R231" s="42"/>
      <c r="S231" s="129"/>
      <c r="T231" s="41"/>
      <c r="U231" s="42"/>
      <c r="V231" s="41"/>
      <c r="W231" s="41"/>
      <c r="X231" s="42"/>
      <c r="Y231" s="41"/>
      <c r="Z231" s="41"/>
      <c r="AA231" s="94"/>
    </row>
    <row r="232" spans="1:27" x14ac:dyDescent="0.2">
      <c r="A232" s="44"/>
      <c r="B232" s="44"/>
      <c r="C232" s="91"/>
      <c r="D232" s="139"/>
      <c r="E232" s="44"/>
      <c r="F232" s="122"/>
      <c r="G232" s="123"/>
      <c r="H232" s="44"/>
      <c r="I232" s="93"/>
      <c r="J232" s="44"/>
      <c r="K232" s="44"/>
      <c r="L232" s="93"/>
      <c r="M232" s="124"/>
      <c r="N232" s="44"/>
      <c r="O232" s="92"/>
      <c r="P232" s="110"/>
      <c r="Q232" s="44"/>
      <c r="R232" s="92"/>
      <c r="S232" s="125"/>
      <c r="T232" s="44"/>
      <c r="U232" s="92"/>
      <c r="V232" s="44"/>
      <c r="W232" s="44"/>
      <c r="X232" s="92"/>
      <c r="Y232" s="44"/>
      <c r="Z232" s="44"/>
      <c r="AA232" s="91"/>
    </row>
    <row r="233" spans="1:27" x14ac:dyDescent="0.2">
      <c r="A233" s="41"/>
      <c r="B233" s="41"/>
      <c r="C233" s="94"/>
      <c r="D233" s="140"/>
      <c r="E233" s="41"/>
      <c r="F233" s="126"/>
      <c r="G233" s="127"/>
      <c r="H233" s="41"/>
      <c r="I233" s="95"/>
      <c r="J233" s="41"/>
      <c r="K233" s="41"/>
      <c r="L233" s="95"/>
      <c r="M233" s="128"/>
      <c r="N233" s="41"/>
      <c r="O233" s="42"/>
      <c r="P233" s="52"/>
      <c r="Q233" s="41"/>
      <c r="R233" s="42"/>
      <c r="S233" s="129"/>
      <c r="T233" s="41"/>
      <c r="U233" s="42"/>
      <c r="V233" s="41"/>
      <c r="W233" s="41"/>
      <c r="X233" s="42"/>
      <c r="Y233" s="41"/>
      <c r="Z233" s="41"/>
      <c r="AA233" s="94"/>
    </row>
    <row r="234" spans="1:27" x14ac:dyDescent="0.2">
      <c r="A234" s="44"/>
      <c r="B234" s="44"/>
      <c r="C234" s="91"/>
      <c r="D234" s="139"/>
      <c r="E234" s="44"/>
      <c r="F234" s="122"/>
      <c r="G234" s="123"/>
      <c r="H234" s="44"/>
      <c r="I234" s="93"/>
      <c r="J234" s="44"/>
      <c r="K234" s="44"/>
      <c r="L234" s="93"/>
      <c r="M234" s="124"/>
      <c r="N234" s="44"/>
      <c r="O234" s="92"/>
      <c r="P234" s="110"/>
      <c r="Q234" s="44"/>
      <c r="R234" s="92"/>
      <c r="S234" s="125"/>
      <c r="T234" s="44"/>
      <c r="U234" s="92"/>
      <c r="V234" s="44"/>
      <c r="W234" s="44"/>
      <c r="X234" s="92"/>
      <c r="Y234" s="44"/>
      <c r="Z234" s="44"/>
      <c r="AA234" s="91"/>
    </row>
    <row r="235" spans="1:27" x14ac:dyDescent="0.2">
      <c r="A235" s="41"/>
      <c r="B235" s="41"/>
      <c r="C235" s="94"/>
      <c r="D235" s="140"/>
      <c r="E235" s="41"/>
      <c r="F235" s="126"/>
      <c r="G235" s="127"/>
      <c r="H235" s="41"/>
      <c r="I235" s="95"/>
      <c r="J235" s="41"/>
      <c r="K235" s="41"/>
      <c r="L235" s="95"/>
      <c r="M235" s="128"/>
      <c r="N235" s="41"/>
      <c r="O235" s="42"/>
      <c r="P235" s="52"/>
      <c r="Q235" s="41"/>
      <c r="R235" s="42"/>
      <c r="S235" s="129"/>
      <c r="T235" s="41"/>
      <c r="U235" s="42"/>
      <c r="V235" s="41"/>
      <c r="W235" s="41"/>
      <c r="X235" s="42"/>
      <c r="Y235" s="41"/>
      <c r="Z235" s="41"/>
      <c r="AA235" s="94"/>
    </row>
    <row r="236" spans="1:27" x14ac:dyDescent="0.2">
      <c r="A236" s="44"/>
      <c r="B236" s="44"/>
      <c r="C236" s="91"/>
      <c r="D236" s="139"/>
      <c r="E236" s="44"/>
      <c r="F236" s="122"/>
      <c r="G236" s="123"/>
      <c r="H236" s="44"/>
      <c r="I236" s="93"/>
      <c r="J236" s="44"/>
      <c r="K236" s="44"/>
      <c r="L236" s="93"/>
      <c r="M236" s="124"/>
      <c r="N236" s="44"/>
      <c r="O236" s="92"/>
      <c r="P236" s="110"/>
      <c r="Q236" s="44"/>
      <c r="R236" s="92"/>
      <c r="S236" s="125"/>
      <c r="T236" s="44"/>
      <c r="U236" s="92"/>
      <c r="V236" s="44"/>
      <c r="W236" s="44"/>
      <c r="X236" s="92"/>
      <c r="Y236" s="44"/>
      <c r="Z236" s="44"/>
      <c r="AA236" s="91"/>
    </row>
    <row r="237" spans="1:27" x14ac:dyDescent="0.2">
      <c r="A237" s="41"/>
      <c r="B237" s="41"/>
      <c r="C237" s="94"/>
      <c r="D237" s="140"/>
      <c r="E237" s="41"/>
      <c r="F237" s="126"/>
      <c r="G237" s="127"/>
      <c r="H237" s="41"/>
      <c r="I237" s="95"/>
      <c r="J237" s="41"/>
      <c r="K237" s="41"/>
      <c r="L237" s="95"/>
      <c r="M237" s="128"/>
      <c r="N237" s="41"/>
      <c r="O237" s="42"/>
      <c r="P237" s="52"/>
      <c r="Q237" s="41"/>
      <c r="R237" s="42"/>
      <c r="S237" s="129"/>
      <c r="T237" s="41"/>
      <c r="U237" s="42"/>
      <c r="V237" s="41"/>
      <c r="W237" s="41"/>
      <c r="X237" s="42"/>
      <c r="Y237" s="41"/>
      <c r="Z237" s="41"/>
      <c r="AA237" s="94"/>
    </row>
    <row r="238" spans="1:27" x14ac:dyDescent="0.2">
      <c r="A238" s="44"/>
      <c r="B238" s="44"/>
      <c r="C238" s="91"/>
      <c r="D238" s="139"/>
      <c r="E238" s="44"/>
      <c r="F238" s="122"/>
      <c r="G238" s="123"/>
      <c r="H238" s="44"/>
      <c r="I238" s="93"/>
      <c r="J238" s="44"/>
      <c r="K238" s="44"/>
      <c r="L238" s="93"/>
      <c r="M238" s="124"/>
      <c r="N238" s="44"/>
      <c r="O238" s="92"/>
      <c r="P238" s="110"/>
      <c r="Q238" s="44"/>
      <c r="R238" s="92"/>
      <c r="S238" s="125"/>
      <c r="T238" s="44"/>
      <c r="U238" s="92"/>
      <c r="V238" s="44"/>
      <c r="W238" s="44"/>
      <c r="X238" s="92"/>
      <c r="Y238" s="44"/>
      <c r="Z238" s="44"/>
      <c r="AA238" s="91"/>
    </row>
    <row r="239" spans="1:27" x14ac:dyDescent="0.2">
      <c r="A239" s="41"/>
      <c r="B239" s="41"/>
      <c r="C239" s="94"/>
      <c r="D239" s="140"/>
      <c r="E239" s="41"/>
      <c r="F239" s="127"/>
      <c r="G239" s="127"/>
      <c r="H239" s="41"/>
      <c r="I239" s="95"/>
      <c r="J239" s="41"/>
      <c r="K239" s="41"/>
      <c r="L239" s="95"/>
      <c r="M239" s="128"/>
      <c r="N239" s="41"/>
      <c r="O239" s="42"/>
      <c r="P239" s="52"/>
      <c r="Q239" s="41"/>
      <c r="R239" s="42"/>
      <c r="S239" s="129"/>
      <c r="T239" s="41"/>
      <c r="U239" s="42"/>
      <c r="V239" s="41"/>
      <c r="W239" s="41"/>
      <c r="X239" s="42"/>
      <c r="Y239" s="41"/>
      <c r="Z239" s="41"/>
      <c r="AA239" s="94"/>
    </row>
    <row r="240" spans="1:27" x14ac:dyDescent="0.2">
      <c r="A240" s="44"/>
      <c r="B240" s="44"/>
      <c r="C240" s="91"/>
      <c r="D240" s="139"/>
      <c r="E240" s="44"/>
      <c r="F240" s="122"/>
      <c r="G240" s="123"/>
      <c r="H240" s="44"/>
      <c r="I240" s="93"/>
      <c r="J240" s="44"/>
      <c r="K240" s="44"/>
      <c r="L240" s="93"/>
      <c r="M240" s="124"/>
      <c r="N240" s="44"/>
      <c r="O240" s="92"/>
      <c r="P240" s="110"/>
      <c r="Q240" s="44"/>
      <c r="R240" s="92"/>
      <c r="S240" s="125"/>
      <c r="T240" s="44"/>
      <c r="U240" s="92"/>
      <c r="V240" s="44"/>
      <c r="W240" s="44"/>
      <c r="X240" s="92"/>
      <c r="Y240" s="44"/>
      <c r="Z240" s="44"/>
      <c r="AA240" s="91"/>
    </row>
    <row r="241" spans="1:27" x14ac:dyDescent="0.2">
      <c r="A241" s="41"/>
      <c r="B241" s="41"/>
      <c r="C241" s="94"/>
      <c r="D241" s="140"/>
      <c r="E241" s="41"/>
      <c r="F241" s="126"/>
      <c r="G241" s="127"/>
      <c r="H241" s="41"/>
      <c r="I241" s="95"/>
      <c r="J241" s="41"/>
      <c r="K241" s="41"/>
      <c r="L241" s="95"/>
      <c r="M241" s="128"/>
      <c r="N241" s="41"/>
      <c r="O241" s="42"/>
      <c r="P241" s="52"/>
      <c r="Q241" s="41"/>
      <c r="R241" s="42"/>
      <c r="S241" s="129"/>
      <c r="T241" s="41"/>
      <c r="U241" s="42"/>
      <c r="V241" s="41"/>
      <c r="W241" s="41"/>
      <c r="X241" s="42"/>
      <c r="Y241" s="41"/>
      <c r="Z241" s="41"/>
      <c r="AA241" s="94"/>
    </row>
    <row r="242" spans="1:27" x14ac:dyDescent="0.2">
      <c r="A242" s="44"/>
      <c r="B242" s="44"/>
      <c r="C242" s="91"/>
      <c r="D242" s="139"/>
      <c r="E242" s="44"/>
      <c r="F242" s="122"/>
      <c r="G242" s="123"/>
      <c r="H242" s="44"/>
      <c r="I242" s="93"/>
      <c r="J242" s="44"/>
      <c r="K242" s="44"/>
      <c r="L242" s="93"/>
      <c r="M242" s="124"/>
      <c r="N242" s="44"/>
      <c r="O242" s="92"/>
      <c r="P242" s="110"/>
      <c r="Q242" s="44"/>
      <c r="R242" s="92"/>
      <c r="S242" s="125"/>
      <c r="T242" s="44"/>
      <c r="U242" s="92"/>
      <c r="V242" s="44"/>
      <c r="W242" s="44"/>
      <c r="X242" s="92"/>
      <c r="Y242" s="44"/>
      <c r="Z242" s="44"/>
      <c r="AA242" s="91"/>
    </row>
    <row r="243" spans="1:27" x14ac:dyDescent="0.2">
      <c r="A243" s="41"/>
      <c r="B243" s="41"/>
      <c r="C243" s="94"/>
      <c r="D243" s="140"/>
      <c r="E243" s="41"/>
      <c r="F243" s="126"/>
      <c r="G243" s="127"/>
      <c r="H243" s="41"/>
      <c r="I243" s="95"/>
      <c r="J243" s="41"/>
      <c r="K243" s="41"/>
      <c r="L243" s="95"/>
      <c r="M243" s="128"/>
      <c r="N243" s="41"/>
      <c r="O243" s="42"/>
      <c r="P243" s="52"/>
      <c r="Q243" s="41"/>
      <c r="R243" s="42"/>
      <c r="S243" s="129"/>
      <c r="T243" s="41"/>
      <c r="U243" s="42"/>
      <c r="V243" s="41"/>
      <c r="W243" s="41"/>
      <c r="X243" s="42"/>
      <c r="Y243" s="41"/>
      <c r="Z243" s="41"/>
      <c r="AA243" s="94"/>
    </row>
    <row r="244" spans="1:27" x14ac:dyDescent="0.2">
      <c r="A244" s="44"/>
      <c r="B244" s="44"/>
      <c r="C244" s="91"/>
      <c r="D244" s="139"/>
      <c r="E244" s="44"/>
      <c r="F244" s="122"/>
      <c r="G244" s="123"/>
      <c r="H244" s="44"/>
      <c r="I244" s="93"/>
      <c r="J244" s="44"/>
      <c r="K244" s="44"/>
      <c r="L244" s="93"/>
      <c r="M244" s="124"/>
      <c r="N244" s="44"/>
      <c r="O244" s="92"/>
      <c r="P244" s="110"/>
      <c r="Q244" s="44"/>
      <c r="R244" s="92"/>
      <c r="S244" s="125"/>
      <c r="T244" s="44"/>
      <c r="U244" s="92"/>
      <c r="V244" s="44"/>
      <c r="W244" s="44"/>
      <c r="X244" s="92"/>
      <c r="Y244" s="44"/>
      <c r="Z244" s="44"/>
      <c r="AA244" s="91"/>
    </row>
    <row r="245" spans="1:27" x14ac:dyDescent="0.2">
      <c r="A245" s="41"/>
      <c r="B245" s="41"/>
      <c r="C245" s="94"/>
      <c r="D245" s="140"/>
      <c r="E245" s="41"/>
      <c r="F245" s="126"/>
      <c r="G245" s="127"/>
      <c r="H245" s="41"/>
      <c r="I245" s="95"/>
      <c r="J245" s="41"/>
      <c r="K245" s="41"/>
      <c r="L245" s="95"/>
      <c r="M245" s="128"/>
      <c r="N245" s="41"/>
      <c r="O245" s="42"/>
      <c r="P245" s="52"/>
      <c r="Q245" s="41"/>
      <c r="R245" s="42"/>
      <c r="S245" s="129"/>
      <c r="T245" s="41"/>
      <c r="U245" s="42"/>
      <c r="V245" s="41"/>
      <c r="W245" s="41"/>
      <c r="X245" s="42"/>
      <c r="Y245" s="41"/>
      <c r="Z245" s="41"/>
      <c r="AA245" s="94"/>
    </row>
    <row r="246" spans="1:27" x14ac:dyDescent="0.2">
      <c r="A246" s="44"/>
      <c r="B246" s="44"/>
      <c r="C246" s="91"/>
      <c r="D246" s="139"/>
      <c r="E246" s="44"/>
      <c r="F246" s="122"/>
      <c r="G246" s="123"/>
      <c r="H246" s="44"/>
      <c r="I246" s="93"/>
      <c r="J246" s="44"/>
      <c r="K246" s="44"/>
      <c r="L246" s="93"/>
      <c r="M246" s="124"/>
      <c r="N246" s="44"/>
      <c r="O246" s="92"/>
      <c r="P246" s="110"/>
      <c r="Q246" s="44"/>
      <c r="R246" s="92"/>
      <c r="S246" s="125"/>
      <c r="T246" s="44"/>
      <c r="U246" s="92"/>
      <c r="V246" s="44"/>
      <c r="W246" s="44"/>
      <c r="X246" s="92"/>
      <c r="Y246" s="44"/>
      <c r="Z246" s="44"/>
      <c r="AA246" s="91"/>
    </row>
    <row r="247" spans="1:27" x14ac:dyDescent="0.2">
      <c r="A247" s="96"/>
      <c r="B247" s="44"/>
      <c r="C247" s="91"/>
      <c r="D247" s="139"/>
      <c r="E247" s="44"/>
      <c r="F247" s="122"/>
      <c r="G247" s="123"/>
      <c r="H247" s="44"/>
      <c r="I247" s="93"/>
      <c r="J247" s="44"/>
      <c r="K247" s="44"/>
      <c r="L247" s="93"/>
      <c r="M247" s="124"/>
      <c r="N247" s="44"/>
      <c r="O247" s="92"/>
      <c r="P247" s="110"/>
      <c r="Q247" s="44"/>
      <c r="R247" s="92"/>
      <c r="S247" s="125"/>
      <c r="T247" s="44"/>
      <c r="U247" s="92"/>
      <c r="V247" s="44"/>
      <c r="W247" s="44"/>
      <c r="X247" s="92"/>
      <c r="Y247" s="96"/>
      <c r="Z247" s="44"/>
      <c r="AA247" s="91"/>
    </row>
    <row r="248" spans="1:27" x14ac:dyDescent="0.2">
      <c r="A248" s="97"/>
      <c r="B248" s="41"/>
      <c r="C248" s="94"/>
      <c r="D248" s="140"/>
      <c r="E248" s="41"/>
      <c r="F248" s="126"/>
      <c r="G248" s="127"/>
      <c r="H248" s="41"/>
      <c r="I248" s="95"/>
      <c r="J248" s="41"/>
      <c r="K248" s="41"/>
      <c r="L248" s="95"/>
      <c r="M248" s="128"/>
      <c r="N248" s="41"/>
      <c r="O248" s="42"/>
      <c r="P248" s="52"/>
      <c r="Q248" s="41"/>
      <c r="R248" s="42"/>
      <c r="S248" s="129"/>
      <c r="T248" s="41"/>
      <c r="U248" s="42"/>
      <c r="V248" s="41"/>
      <c r="W248" s="41"/>
      <c r="X248" s="42"/>
      <c r="Y248" s="97"/>
      <c r="Z248" s="41"/>
      <c r="AA248" s="94"/>
    </row>
    <row r="249" spans="1:27" x14ac:dyDescent="0.2">
      <c r="A249" s="96"/>
      <c r="B249" s="44"/>
      <c r="C249" s="91"/>
      <c r="D249" s="139"/>
      <c r="E249" s="44"/>
      <c r="F249" s="122"/>
      <c r="G249" s="123"/>
      <c r="H249" s="44"/>
      <c r="I249" s="93"/>
      <c r="J249" s="44"/>
      <c r="K249" s="44"/>
      <c r="L249" s="93"/>
      <c r="M249" s="124"/>
      <c r="N249" s="44"/>
      <c r="O249" s="92"/>
      <c r="P249" s="110"/>
      <c r="Q249" s="44"/>
      <c r="R249" s="92"/>
      <c r="S249" s="125"/>
      <c r="T249" s="44"/>
      <c r="U249" s="92"/>
      <c r="V249" s="44"/>
      <c r="W249" s="44"/>
      <c r="X249" s="92"/>
      <c r="Y249" s="96"/>
      <c r="Z249" s="44"/>
      <c r="AA249" s="91"/>
    </row>
    <row r="250" spans="1:27" x14ac:dyDescent="0.2">
      <c r="A250" s="97"/>
      <c r="B250" s="41"/>
      <c r="C250" s="94"/>
      <c r="D250" s="140"/>
      <c r="E250" s="41"/>
      <c r="F250" s="126"/>
      <c r="G250" s="127"/>
      <c r="H250" s="41"/>
      <c r="I250" s="95"/>
      <c r="J250" s="41"/>
      <c r="K250" s="41"/>
      <c r="L250" s="95"/>
      <c r="M250" s="128"/>
      <c r="N250" s="41"/>
      <c r="O250" s="42"/>
      <c r="P250" s="52"/>
      <c r="Q250" s="41"/>
      <c r="R250" s="42"/>
      <c r="S250" s="129"/>
      <c r="T250" s="41"/>
      <c r="U250" s="42"/>
      <c r="V250" s="41"/>
      <c r="W250" s="41"/>
      <c r="X250" s="42"/>
      <c r="Y250" s="97"/>
      <c r="Z250" s="41"/>
      <c r="AA250" s="94"/>
    </row>
    <row r="251" spans="1:27" x14ac:dyDescent="0.2">
      <c r="A251" s="97"/>
      <c r="B251" s="41"/>
      <c r="C251" s="94"/>
      <c r="D251" s="140"/>
      <c r="E251" s="41"/>
      <c r="F251" s="126"/>
      <c r="G251" s="127"/>
      <c r="H251" s="41"/>
      <c r="I251" s="95"/>
      <c r="J251" s="41"/>
      <c r="K251" s="41"/>
      <c r="L251" s="95"/>
      <c r="M251" s="128"/>
      <c r="N251" s="41"/>
      <c r="O251" s="42"/>
      <c r="P251" s="52"/>
      <c r="Q251" s="41"/>
      <c r="R251" s="42"/>
      <c r="S251" s="129"/>
      <c r="T251" s="41"/>
      <c r="U251" s="42"/>
      <c r="V251" s="41"/>
      <c r="W251" s="41"/>
      <c r="X251" s="42"/>
      <c r="Y251" s="97"/>
      <c r="Z251" s="41"/>
      <c r="AA251" s="94"/>
    </row>
    <row r="252" spans="1:27" x14ac:dyDescent="0.2">
      <c r="A252" s="97"/>
      <c r="B252" s="41"/>
      <c r="C252" s="94"/>
      <c r="D252" s="140"/>
      <c r="E252" s="41"/>
      <c r="F252" s="126"/>
      <c r="G252" s="127"/>
      <c r="H252" s="41"/>
      <c r="I252" s="95"/>
      <c r="J252" s="41"/>
      <c r="K252" s="41"/>
      <c r="L252" s="95"/>
      <c r="M252" s="128"/>
      <c r="N252" s="41"/>
      <c r="O252" s="42"/>
      <c r="P252" s="52"/>
      <c r="Q252" s="41"/>
      <c r="R252" s="42"/>
      <c r="S252" s="129"/>
      <c r="T252" s="41"/>
      <c r="U252" s="42"/>
      <c r="V252" s="41"/>
      <c r="W252" s="41"/>
      <c r="X252" s="42"/>
      <c r="Y252" s="97"/>
      <c r="Z252" s="41"/>
      <c r="AA252" s="94"/>
    </row>
    <row r="253" spans="1:27" x14ac:dyDescent="0.2">
      <c r="A253" s="97"/>
      <c r="B253" s="41"/>
      <c r="C253" s="94"/>
      <c r="D253" s="140"/>
      <c r="E253" s="41"/>
      <c r="F253" s="126"/>
      <c r="G253" s="127"/>
      <c r="H253" s="41"/>
      <c r="I253" s="95"/>
      <c r="J253" s="41"/>
      <c r="K253" s="41"/>
      <c r="L253" s="95"/>
      <c r="M253" s="128"/>
      <c r="N253" s="41"/>
      <c r="O253" s="42"/>
      <c r="P253" s="52"/>
      <c r="Q253" s="41"/>
      <c r="R253" s="42"/>
      <c r="S253" s="129"/>
      <c r="T253" s="41"/>
      <c r="U253" s="42"/>
      <c r="V253" s="41"/>
      <c r="W253" s="41"/>
      <c r="X253" s="42"/>
      <c r="Y253" s="97"/>
      <c r="Z253" s="41"/>
      <c r="AA253" s="94"/>
    </row>
    <row r="254" spans="1:27" x14ac:dyDescent="0.2">
      <c r="A254" s="96"/>
      <c r="B254" s="44"/>
      <c r="C254" s="91"/>
      <c r="D254" s="139"/>
      <c r="E254" s="44"/>
      <c r="F254" s="122"/>
      <c r="G254" s="123"/>
      <c r="H254" s="44"/>
      <c r="I254" s="93"/>
      <c r="J254" s="44"/>
      <c r="K254" s="44"/>
      <c r="L254" s="93"/>
      <c r="M254" s="124"/>
      <c r="N254" s="44"/>
      <c r="O254" s="92"/>
      <c r="P254" s="110"/>
      <c r="Q254" s="44"/>
      <c r="R254" s="92"/>
      <c r="S254" s="125"/>
      <c r="T254" s="44"/>
      <c r="U254" s="92"/>
      <c r="V254" s="44"/>
      <c r="W254" s="44"/>
      <c r="X254" s="92"/>
      <c r="Y254" s="96"/>
      <c r="Z254" s="44"/>
      <c r="AA254" s="91"/>
    </row>
    <row r="255" spans="1:27" x14ac:dyDescent="0.2">
      <c r="A255" s="96"/>
      <c r="B255" s="44"/>
      <c r="C255" s="91"/>
      <c r="D255" s="139"/>
      <c r="E255" s="44"/>
      <c r="F255" s="122"/>
      <c r="G255" s="123"/>
      <c r="H255" s="44"/>
      <c r="I255" s="93"/>
      <c r="J255" s="44"/>
      <c r="K255" s="44"/>
      <c r="L255" s="93"/>
      <c r="M255" s="124"/>
      <c r="N255" s="44"/>
      <c r="O255" s="92"/>
      <c r="P255" s="110"/>
      <c r="Q255" s="44"/>
      <c r="R255" s="92"/>
      <c r="S255" s="125"/>
      <c r="T255" s="44"/>
      <c r="U255" s="92"/>
      <c r="V255" s="44"/>
      <c r="W255" s="44"/>
      <c r="X255" s="92"/>
      <c r="Y255" s="96"/>
      <c r="Z255" s="44"/>
      <c r="AA255" s="91"/>
    </row>
    <row r="256" spans="1:27" x14ac:dyDescent="0.2">
      <c r="A256" s="96"/>
      <c r="B256" s="44"/>
      <c r="C256" s="91"/>
      <c r="D256" s="139"/>
      <c r="E256" s="44"/>
      <c r="F256" s="122"/>
      <c r="G256" s="123"/>
      <c r="H256" s="44"/>
      <c r="I256" s="93"/>
      <c r="J256" s="44"/>
      <c r="K256" s="44"/>
      <c r="L256" s="93"/>
      <c r="M256" s="124"/>
      <c r="N256" s="44"/>
      <c r="O256" s="92"/>
      <c r="P256" s="110"/>
      <c r="Q256" s="44"/>
      <c r="R256" s="92"/>
      <c r="S256" s="125"/>
      <c r="T256" s="44"/>
      <c r="U256" s="92"/>
      <c r="V256" s="44"/>
      <c r="W256" s="44"/>
      <c r="X256" s="92"/>
      <c r="Y256" s="96"/>
      <c r="Z256" s="44"/>
      <c r="AA256" s="91"/>
    </row>
    <row r="257" spans="1:27" x14ac:dyDescent="0.2">
      <c r="A257" s="96"/>
      <c r="B257" s="44"/>
      <c r="C257" s="91"/>
      <c r="D257" s="139"/>
      <c r="E257" s="44"/>
      <c r="F257" s="122"/>
      <c r="G257" s="123"/>
      <c r="H257" s="44"/>
      <c r="I257" s="93"/>
      <c r="J257" s="44"/>
      <c r="K257" s="44"/>
      <c r="L257" s="93"/>
      <c r="M257" s="124"/>
      <c r="N257" s="44"/>
      <c r="O257" s="92"/>
      <c r="P257" s="110"/>
      <c r="Q257" s="44"/>
      <c r="R257" s="92"/>
      <c r="S257" s="125"/>
      <c r="T257" s="44"/>
      <c r="U257" s="92"/>
      <c r="V257" s="44"/>
      <c r="W257" s="44"/>
      <c r="X257" s="92"/>
      <c r="Y257" s="96"/>
      <c r="Z257" s="44"/>
      <c r="AA257" s="91"/>
    </row>
    <row r="258" spans="1:27" x14ac:dyDescent="0.2">
      <c r="A258" s="96"/>
      <c r="B258" s="44"/>
      <c r="C258" s="91"/>
      <c r="D258" s="139"/>
      <c r="E258" s="44"/>
      <c r="F258" s="122"/>
      <c r="G258" s="123"/>
      <c r="H258" s="44"/>
      <c r="I258" s="93"/>
      <c r="J258" s="44"/>
      <c r="K258" s="44"/>
      <c r="L258" s="93"/>
      <c r="M258" s="124"/>
      <c r="N258" s="44"/>
      <c r="O258" s="92"/>
      <c r="P258" s="110"/>
      <c r="Q258" s="44"/>
      <c r="R258" s="92"/>
      <c r="S258" s="125"/>
      <c r="T258" s="44"/>
      <c r="U258" s="92"/>
      <c r="V258" s="44"/>
      <c r="W258" s="44"/>
      <c r="X258" s="92"/>
      <c r="Y258" s="96"/>
      <c r="Z258" s="44"/>
      <c r="AA258" s="91"/>
    </row>
    <row r="259" spans="1:27" x14ac:dyDescent="0.2">
      <c r="A259" s="97"/>
      <c r="B259" s="41"/>
      <c r="C259" s="94"/>
      <c r="D259" s="140"/>
      <c r="E259" s="41"/>
      <c r="F259" s="126"/>
      <c r="G259" s="127"/>
      <c r="H259" s="41"/>
      <c r="I259" s="95"/>
      <c r="J259" s="41"/>
      <c r="K259" s="41"/>
      <c r="L259" s="95"/>
      <c r="M259" s="128"/>
      <c r="N259" s="41"/>
      <c r="O259" s="42"/>
      <c r="P259" s="52"/>
      <c r="Q259" s="41"/>
      <c r="R259" s="42"/>
      <c r="S259" s="129"/>
      <c r="T259" s="41"/>
      <c r="U259" s="42"/>
      <c r="V259" s="41"/>
      <c r="W259" s="41"/>
      <c r="X259" s="42"/>
      <c r="Y259" s="97"/>
      <c r="Z259" s="41"/>
      <c r="AA259" s="94"/>
    </row>
    <row r="260" spans="1:27" x14ac:dyDescent="0.2">
      <c r="A260" s="96"/>
      <c r="B260" s="44"/>
      <c r="C260" s="91"/>
      <c r="D260" s="139"/>
      <c r="E260" s="44"/>
      <c r="F260" s="122"/>
      <c r="G260" s="123"/>
      <c r="H260" s="44"/>
      <c r="I260" s="93"/>
      <c r="J260" s="44"/>
      <c r="K260" s="44"/>
      <c r="L260" s="93"/>
      <c r="M260" s="124"/>
      <c r="N260" s="44"/>
      <c r="O260" s="92"/>
      <c r="P260" s="110"/>
      <c r="Q260" s="44"/>
      <c r="R260" s="92"/>
      <c r="S260" s="125"/>
      <c r="T260" s="44"/>
      <c r="U260" s="92"/>
      <c r="V260" s="44"/>
      <c r="W260" s="44"/>
      <c r="X260" s="92"/>
      <c r="Y260" s="96"/>
      <c r="Z260" s="44"/>
      <c r="AA260" s="91"/>
    </row>
    <row r="261" spans="1:27" x14ac:dyDescent="0.2">
      <c r="A261" s="97"/>
      <c r="B261" s="41"/>
      <c r="C261" s="94"/>
      <c r="D261" s="140"/>
      <c r="E261" s="41"/>
      <c r="F261" s="126"/>
      <c r="G261" s="127"/>
      <c r="H261" s="41"/>
      <c r="I261" s="95"/>
      <c r="J261" s="41"/>
      <c r="K261" s="41"/>
      <c r="L261" s="95"/>
      <c r="M261" s="128"/>
      <c r="N261" s="41"/>
      <c r="O261" s="42"/>
      <c r="P261" s="52"/>
      <c r="Q261" s="41"/>
      <c r="R261" s="42"/>
      <c r="S261" s="129"/>
      <c r="T261" s="41"/>
      <c r="U261" s="42"/>
      <c r="V261" s="41"/>
      <c r="W261" s="41"/>
      <c r="X261" s="42"/>
      <c r="Y261" s="97"/>
      <c r="Z261" s="41"/>
      <c r="AA261" s="94"/>
    </row>
    <row r="262" spans="1:27" x14ac:dyDescent="0.2">
      <c r="A262" s="96"/>
      <c r="B262" s="44"/>
      <c r="C262" s="91"/>
      <c r="D262" s="139"/>
      <c r="E262" s="44"/>
      <c r="F262" s="122"/>
      <c r="G262" s="123"/>
      <c r="H262" s="44"/>
      <c r="I262" s="93"/>
      <c r="J262" s="44"/>
      <c r="K262" s="44"/>
      <c r="L262" s="93"/>
      <c r="M262" s="124"/>
      <c r="N262" s="44"/>
      <c r="O262" s="92"/>
      <c r="P262" s="110"/>
      <c r="Q262" s="44"/>
      <c r="R262" s="92"/>
      <c r="S262" s="125"/>
      <c r="T262" s="44"/>
      <c r="U262" s="92"/>
      <c r="V262" s="44"/>
      <c r="W262" s="44"/>
      <c r="X262" s="92"/>
      <c r="Y262" s="96"/>
      <c r="Z262" s="44"/>
      <c r="AA262" s="91"/>
    </row>
    <row r="263" spans="1:27" x14ac:dyDescent="0.2">
      <c r="A263" s="96"/>
      <c r="B263" s="44"/>
      <c r="C263" s="91"/>
      <c r="D263" s="139"/>
      <c r="E263" s="44"/>
      <c r="F263" s="122"/>
      <c r="G263" s="123"/>
      <c r="H263" s="44"/>
      <c r="I263" s="93"/>
      <c r="J263" s="44"/>
      <c r="K263" s="44"/>
      <c r="L263" s="93"/>
      <c r="M263" s="124"/>
      <c r="N263" s="44"/>
      <c r="O263" s="92"/>
      <c r="P263" s="110"/>
      <c r="Q263" s="44"/>
      <c r="R263" s="92"/>
      <c r="S263" s="125"/>
      <c r="T263" s="44"/>
      <c r="U263" s="92"/>
      <c r="V263" s="44"/>
      <c r="W263" s="44"/>
      <c r="X263" s="92"/>
      <c r="Y263" s="96"/>
      <c r="Z263" s="44"/>
      <c r="AA263" s="91"/>
    </row>
    <row r="264" spans="1:27" x14ac:dyDescent="0.2">
      <c r="A264" s="97"/>
      <c r="B264" s="41"/>
      <c r="C264" s="94"/>
      <c r="D264" s="140"/>
      <c r="E264" s="41"/>
      <c r="F264" s="126"/>
      <c r="G264" s="127"/>
      <c r="H264" s="41"/>
      <c r="I264" s="95"/>
      <c r="J264" s="41"/>
      <c r="K264" s="41"/>
      <c r="L264" s="95"/>
      <c r="M264" s="128"/>
      <c r="N264" s="41"/>
      <c r="O264" s="42"/>
      <c r="P264" s="52"/>
      <c r="Q264" s="41"/>
      <c r="R264" s="42"/>
      <c r="S264" s="129"/>
      <c r="T264" s="41"/>
      <c r="U264" s="42"/>
      <c r="V264" s="41"/>
      <c r="W264" s="41"/>
      <c r="X264" s="42"/>
      <c r="Y264" s="97"/>
      <c r="Z264" s="41"/>
      <c r="AA264" s="94"/>
    </row>
    <row r="265" spans="1:27" x14ac:dyDescent="0.2">
      <c r="A265" s="96"/>
      <c r="B265" s="44"/>
      <c r="C265" s="91"/>
      <c r="D265" s="139"/>
      <c r="E265" s="44"/>
      <c r="F265" s="122"/>
      <c r="G265" s="123"/>
      <c r="H265" s="44"/>
      <c r="I265" s="93"/>
      <c r="J265" s="44"/>
      <c r="K265" s="44"/>
      <c r="L265" s="93"/>
      <c r="M265" s="124"/>
      <c r="N265" s="44"/>
      <c r="O265" s="92"/>
      <c r="P265" s="110"/>
      <c r="Q265" s="44"/>
      <c r="R265" s="92"/>
      <c r="S265" s="125"/>
      <c r="T265" s="44"/>
      <c r="U265" s="92"/>
      <c r="V265" s="44"/>
      <c r="W265" s="44"/>
      <c r="X265" s="92"/>
      <c r="Y265" s="96"/>
      <c r="Z265" s="44"/>
      <c r="AA265" s="91"/>
    </row>
    <row r="266" spans="1:27" x14ac:dyDescent="0.2">
      <c r="A266" s="96"/>
      <c r="B266" s="44"/>
      <c r="C266" s="91"/>
      <c r="D266" s="139"/>
      <c r="E266" s="44"/>
      <c r="F266" s="122"/>
      <c r="G266" s="123"/>
      <c r="H266" s="44"/>
      <c r="I266" s="93"/>
      <c r="J266" s="44"/>
      <c r="K266" s="44"/>
      <c r="L266" s="93"/>
      <c r="M266" s="124"/>
      <c r="N266" s="44"/>
      <c r="O266" s="92"/>
      <c r="P266" s="110"/>
      <c r="Q266" s="44"/>
      <c r="R266" s="92"/>
      <c r="S266" s="125"/>
      <c r="T266" s="44"/>
      <c r="U266" s="92"/>
      <c r="V266" s="44"/>
      <c r="W266" s="44"/>
      <c r="X266" s="92"/>
      <c r="Y266" s="96"/>
      <c r="Z266" s="44"/>
      <c r="AA266" s="91"/>
    </row>
    <row r="267" spans="1:27" x14ac:dyDescent="0.2">
      <c r="A267" s="97"/>
      <c r="B267" s="41"/>
      <c r="C267" s="94"/>
      <c r="D267" s="140"/>
      <c r="E267" s="41"/>
      <c r="F267" s="126"/>
      <c r="G267" s="127"/>
      <c r="H267" s="41"/>
      <c r="I267" s="95"/>
      <c r="J267" s="41"/>
      <c r="K267" s="41"/>
      <c r="L267" s="95"/>
      <c r="M267" s="128"/>
      <c r="N267" s="41"/>
      <c r="O267" s="42"/>
      <c r="P267" s="52"/>
      <c r="Q267" s="41"/>
      <c r="R267" s="42"/>
      <c r="S267" s="129"/>
      <c r="T267" s="41"/>
      <c r="U267" s="42"/>
      <c r="V267" s="41"/>
      <c r="W267" s="41"/>
      <c r="X267" s="42"/>
      <c r="Y267" s="97"/>
      <c r="Z267" s="41"/>
      <c r="AA267" s="94"/>
    </row>
    <row r="268" spans="1:27" x14ac:dyDescent="0.2">
      <c r="A268" s="97"/>
      <c r="B268" s="41"/>
      <c r="C268" s="94"/>
      <c r="D268" s="140"/>
      <c r="E268" s="41"/>
      <c r="F268" s="126"/>
      <c r="G268" s="127"/>
      <c r="H268" s="41"/>
      <c r="I268" s="95"/>
      <c r="J268" s="41"/>
      <c r="K268" s="41"/>
      <c r="L268" s="95"/>
      <c r="M268" s="128"/>
      <c r="N268" s="41"/>
      <c r="O268" s="42"/>
      <c r="P268" s="52"/>
      <c r="Q268" s="41"/>
      <c r="R268" s="42"/>
      <c r="S268" s="129"/>
      <c r="T268" s="41"/>
      <c r="U268" s="42"/>
      <c r="V268" s="41"/>
      <c r="W268" s="41"/>
      <c r="X268" s="42"/>
      <c r="Y268" s="97"/>
      <c r="Z268" s="41"/>
      <c r="AA268" s="94"/>
    </row>
    <row r="269" spans="1:27" x14ac:dyDescent="0.2">
      <c r="A269" s="96"/>
      <c r="B269" s="44"/>
      <c r="C269" s="91"/>
      <c r="D269" s="139"/>
      <c r="E269" s="44"/>
      <c r="F269" s="122"/>
      <c r="G269" s="123"/>
      <c r="H269" s="44"/>
      <c r="I269" s="93"/>
      <c r="J269" s="44"/>
      <c r="K269" s="44"/>
      <c r="L269" s="93"/>
      <c r="M269" s="124"/>
      <c r="N269" s="44"/>
      <c r="O269" s="92"/>
      <c r="P269" s="110"/>
      <c r="Q269" s="44"/>
      <c r="R269" s="92"/>
      <c r="S269" s="125"/>
      <c r="T269" s="44"/>
      <c r="U269" s="92"/>
      <c r="V269" s="44"/>
      <c r="W269" s="44"/>
      <c r="X269" s="92"/>
      <c r="Y269" s="96"/>
      <c r="Z269" s="44"/>
      <c r="AA269" s="91"/>
    </row>
    <row r="270" spans="1:27" x14ac:dyDescent="0.2">
      <c r="A270" s="96"/>
      <c r="B270" s="44"/>
      <c r="C270" s="91"/>
      <c r="D270" s="139"/>
      <c r="E270" s="44"/>
      <c r="F270" s="122"/>
      <c r="G270" s="123"/>
      <c r="H270" s="44"/>
      <c r="I270" s="93"/>
      <c r="J270" s="44"/>
      <c r="K270" s="44"/>
      <c r="L270" s="93"/>
      <c r="M270" s="124"/>
      <c r="N270" s="44"/>
      <c r="O270" s="92"/>
      <c r="P270" s="110"/>
      <c r="Q270" s="44"/>
      <c r="R270" s="92"/>
      <c r="S270" s="125"/>
      <c r="T270" s="44"/>
      <c r="U270" s="92"/>
      <c r="V270" s="44"/>
      <c r="W270" s="44"/>
      <c r="X270" s="92"/>
      <c r="Y270" s="96"/>
      <c r="Z270" s="44"/>
      <c r="AA270" s="91"/>
    </row>
    <row r="271" spans="1:27" x14ac:dyDescent="0.2">
      <c r="A271" s="97"/>
      <c r="B271" s="41"/>
      <c r="C271" s="94"/>
      <c r="D271" s="140"/>
      <c r="E271" s="41"/>
      <c r="F271" s="126"/>
      <c r="G271" s="127"/>
      <c r="H271" s="41"/>
      <c r="I271" s="95"/>
      <c r="J271" s="41"/>
      <c r="K271" s="41"/>
      <c r="L271" s="95"/>
      <c r="M271" s="128"/>
      <c r="N271" s="41"/>
      <c r="O271" s="42"/>
      <c r="P271" s="52"/>
      <c r="Q271" s="41"/>
      <c r="R271" s="42"/>
      <c r="S271" s="129"/>
      <c r="T271" s="41"/>
      <c r="U271" s="42"/>
      <c r="V271" s="41"/>
      <c r="W271" s="41"/>
      <c r="X271" s="42"/>
      <c r="Y271" s="97"/>
      <c r="Z271" s="41"/>
      <c r="AA271" s="94"/>
    </row>
    <row r="272" spans="1:27" x14ac:dyDescent="0.2">
      <c r="A272" s="87"/>
      <c r="B272" s="87"/>
      <c r="C272" s="88"/>
      <c r="D272" s="138"/>
      <c r="E272" s="87"/>
      <c r="F272" s="118"/>
      <c r="G272" s="119"/>
      <c r="H272" s="87"/>
      <c r="I272" s="90"/>
      <c r="J272" s="87"/>
      <c r="K272" s="87"/>
      <c r="L272" s="90"/>
      <c r="M272" s="120"/>
      <c r="N272" s="87"/>
      <c r="O272" s="89"/>
      <c r="P272" s="130"/>
      <c r="Q272" s="87"/>
      <c r="R272" s="89"/>
      <c r="S272" s="121"/>
      <c r="T272" s="87"/>
      <c r="U272" s="89"/>
      <c r="V272" s="87"/>
      <c r="W272" s="87"/>
      <c r="X272" s="89"/>
      <c r="Y272" s="87"/>
      <c r="Z272" s="87"/>
      <c r="AA272" s="88"/>
    </row>
    <row r="273" spans="1:27" x14ac:dyDescent="0.2">
      <c r="A273" s="44"/>
      <c r="B273" s="44"/>
      <c r="C273" s="91"/>
      <c r="D273" s="139"/>
      <c r="E273" s="44"/>
      <c r="F273" s="122"/>
      <c r="G273" s="123"/>
      <c r="H273" s="44"/>
      <c r="I273" s="93"/>
      <c r="J273" s="44"/>
      <c r="K273" s="44"/>
      <c r="L273" s="93"/>
      <c r="M273" s="124"/>
      <c r="N273" s="44"/>
      <c r="O273" s="92"/>
      <c r="P273" s="110"/>
      <c r="Q273" s="44"/>
      <c r="R273" s="92"/>
      <c r="S273" s="125"/>
      <c r="T273" s="44"/>
      <c r="U273" s="92"/>
      <c r="V273" s="44"/>
      <c r="W273" s="44"/>
      <c r="X273" s="92"/>
      <c r="Y273" s="44"/>
      <c r="Z273" s="44"/>
      <c r="AA273" s="91"/>
    </row>
    <row r="274" spans="1:27" x14ac:dyDescent="0.2">
      <c r="A274" s="41"/>
      <c r="B274" s="41"/>
      <c r="C274" s="94"/>
      <c r="D274" s="140"/>
      <c r="E274" s="41"/>
      <c r="F274" s="126"/>
      <c r="G274" s="127"/>
      <c r="H274" s="41"/>
      <c r="I274" s="95"/>
      <c r="J274" s="41"/>
      <c r="K274" s="41"/>
      <c r="L274" s="95"/>
      <c r="M274" s="128"/>
      <c r="N274" s="41"/>
      <c r="O274" s="42"/>
      <c r="P274" s="52"/>
      <c r="Q274" s="41"/>
      <c r="R274" s="42"/>
      <c r="S274" s="129"/>
      <c r="T274" s="41"/>
      <c r="U274" s="42"/>
      <c r="V274" s="41"/>
      <c r="W274" s="41"/>
      <c r="X274" s="42"/>
      <c r="Y274" s="41"/>
      <c r="Z274" s="41"/>
      <c r="AA274" s="94"/>
    </row>
    <row r="275" spans="1:27" x14ac:dyDescent="0.2">
      <c r="A275" s="44"/>
      <c r="B275" s="44"/>
      <c r="C275" s="91"/>
      <c r="D275" s="139"/>
      <c r="E275" s="44"/>
      <c r="F275" s="122"/>
      <c r="G275" s="123"/>
      <c r="H275" s="44"/>
      <c r="I275" s="93"/>
      <c r="J275" s="44"/>
      <c r="K275" s="44"/>
      <c r="L275" s="93"/>
      <c r="M275" s="124"/>
      <c r="N275" s="44"/>
      <c r="O275" s="92"/>
      <c r="P275" s="110"/>
      <c r="Q275" s="44"/>
      <c r="R275" s="92"/>
      <c r="S275" s="125"/>
      <c r="T275" s="44"/>
      <c r="U275" s="92"/>
      <c r="V275" s="44"/>
      <c r="W275" s="44"/>
      <c r="X275" s="92"/>
      <c r="Y275" s="44"/>
      <c r="Z275" s="44"/>
      <c r="AA275" s="91"/>
    </row>
    <row r="276" spans="1:27" x14ac:dyDescent="0.2">
      <c r="A276" s="87"/>
      <c r="B276" s="87"/>
      <c r="C276" s="88"/>
      <c r="D276" s="138"/>
      <c r="E276" s="87"/>
      <c r="F276" s="118"/>
      <c r="G276" s="119"/>
      <c r="H276" s="87"/>
      <c r="I276" s="90"/>
      <c r="J276" s="87"/>
      <c r="K276" s="87"/>
      <c r="L276" s="90"/>
      <c r="M276" s="120"/>
      <c r="N276" s="87"/>
      <c r="O276" s="89"/>
      <c r="P276" s="87"/>
      <c r="Q276" s="87"/>
      <c r="R276" s="89"/>
      <c r="S276" s="121"/>
      <c r="T276" s="87"/>
      <c r="U276" s="89"/>
      <c r="V276" s="87"/>
      <c r="W276" s="87"/>
      <c r="X276" s="89"/>
      <c r="Y276" s="87"/>
      <c r="Z276" s="87"/>
      <c r="AA276" s="88"/>
    </row>
    <row r="277" spans="1:27" x14ac:dyDescent="0.2">
      <c r="A277" s="44"/>
      <c r="B277" s="44"/>
      <c r="C277" s="91"/>
      <c r="D277" s="139"/>
      <c r="E277" s="44"/>
      <c r="F277" s="122"/>
      <c r="G277" s="123"/>
      <c r="H277" s="44"/>
      <c r="I277" s="93"/>
      <c r="J277" s="44"/>
      <c r="K277" s="44"/>
      <c r="L277" s="93"/>
      <c r="M277" s="124"/>
      <c r="N277" s="44"/>
      <c r="O277" s="92"/>
      <c r="P277" s="110"/>
      <c r="Q277" s="44"/>
      <c r="R277" s="92"/>
      <c r="S277" s="125"/>
      <c r="T277" s="44"/>
      <c r="U277" s="92"/>
      <c r="V277" s="44"/>
      <c r="W277" s="44"/>
      <c r="X277" s="92"/>
      <c r="Y277" s="44"/>
      <c r="Z277" s="44"/>
      <c r="AA277" s="91"/>
    </row>
    <row r="278" spans="1:27" x14ac:dyDescent="0.2">
      <c r="A278" s="41"/>
      <c r="B278" s="41"/>
      <c r="C278" s="94"/>
      <c r="D278" s="140"/>
      <c r="E278" s="41"/>
      <c r="F278" s="126"/>
      <c r="G278" s="127"/>
      <c r="H278" s="41"/>
      <c r="I278" s="95"/>
      <c r="J278" s="41"/>
      <c r="K278" s="41"/>
      <c r="L278" s="95"/>
      <c r="M278" s="128"/>
      <c r="N278" s="41"/>
      <c r="O278" s="42"/>
      <c r="P278" s="52"/>
      <c r="Q278" s="41"/>
      <c r="R278" s="42"/>
      <c r="S278" s="129"/>
      <c r="T278" s="41"/>
      <c r="U278" s="42"/>
      <c r="V278" s="41"/>
      <c r="W278" s="41"/>
      <c r="X278" s="42"/>
      <c r="Y278" s="41"/>
      <c r="Z278" s="41"/>
      <c r="AA278" s="94"/>
    </row>
    <row r="279" spans="1:27" x14ac:dyDescent="0.2">
      <c r="A279" s="44"/>
      <c r="B279" s="44"/>
      <c r="C279" s="91"/>
      <c r="D279" s="139"/>
      <c r="E279" s="44"/>
      <c r="F279" s="122"/>
      <c r="G279" s="123"/>
      <c r="H279" s="44"/>
      <c r="I279" s="93"/>
      <c r="J279" s="44"/>
      <c r="K279" s="44"/>
      <c r="L279" s="93"/>
      <c r="M279" s="124"/>
      <c r="N279" s="44"/>
      <c r="O279" s="92"/>
      <c r="P279" s="110"/>
      <c r="Q279" s="44"/>
      <c r="R279" s="92"/>
      <c r="S279" s="125"/>
      <c r="T279" s="44"/>
      <c r="U279" s="92"/>
      <c r="V279" s="44"/>
      <c r="W279" s="44"/>
      <c r="X279" s="92"/>
      <c r="Y279" s="44"/>
      <c r="Z279" s="44"/>
      <c r="AA279" s="91"/>
    </row>
    <row r="280" spans="1:27" x14ac:dyDescent="0.2">
      <c r="A280" s="41"/>
      <c r="B280" s="41"/>
      <c r="C280" s="94"/>
      <c r="D280" s="140"/>
      <c r="E280" s="41"/>
      <c r="F280" s="126"/>
      <c r="G280" s="127"/>
      <c r="H280" s="41"/>
      <c r="I280" s="95"/>
      <c r="J280" s="41"/>
      <c r="K280" s="41"/>
      <c r="L280" s="95"/>
      <c r="M280" s="128"/>
      <c r="N280" s="41"/>
      <c r="O280" s="42"/>
      <c r="P280" s="52"/>
      <c r="Q280" s="41"/>
      <c r="R280" s="42"/>
      <c r="S280" s="129"/>
      <c r="T280" s="41"/>
      <c r="U280" s="42"/>
      <c r="V280" s="41"/>
      <c r="W280" s="41"/>
      <c r="X280" s="42"/>
      <c r="Y280" s="41"/>
      <c r="Z280" s="41"/>
      <c r="AA280" s="94"/>
    </row>
    <row r="281" spans="1:27" x14ac:dyDescent="0.2">
      <c r="A281" s="44"/>
      <c r="B281" s="44"/>
      <c r="C281" s="91"/>
      <c r="D281" s="139"/>
      <c r="E281" s="44"/>
      <c r="F281" s="122"/>
      <c r="G281" s="123"/>
      <c r="H281" s="44"/>
      <c r="I281" s="93"/>
      <c r="J281" s="44"/>
      <c r="K281" s="44"/>
      <c r="L281" s="93"/>
      <c r="M281" s="124"/>
      <c r="N281" s="44"/>
      <c r="O281" s="92"/>
      <c r="P281" s="110"/>
      <c r="Q281" s="44"/>
      <c r="R281" s="92"/>
      <c r="S281" s="125"/>
      <c r="T281" s="44"/>
      <c r="U281" s="92"/>
      <c r="V281" s="44"/>
      <c r="W281" s="44"/>
      <c r="X281" s="92"/>
      <c r="Y281" s="44"/>
      <c r="Z281" s="44"/>
      <c r="AA281" s="91"/>
    </row>
    <row r="282" spans="1:27" x14ac:dyDescent="0.2">
      <c r="A282" s="41"/>
      <c r="B282" s="41"/>
      <c r="C282" s="94"/>
      <c r="D282" s="140"/>
      <c r="E282" s="41"/>
      <c r="F282" s="126"/>
      <c r="G282" s="127"/>
      <c r="H282" s="41"/>
      <c r="I282" s="95"/>
      <c r="J282" s="41"/>
      <c r="K282" s="41"/>
      <c r="L282" s="95"/>
      <c r="M282" s="128"/>
      <c r="N282" s="41"/>
      <c r="O282" s="42"/>
      <c r="P282" s="52"/>
      <c r="Q282" s="41"/>
      <c r="R282" s="42"/>
      <c r="S282" s="129"/>
      <c r="T282" s="41"/>
      <c r="U282" s="42"/>
      <c r="V282" s="41"/>
      <c r="W282" s="41"/>
      <c r="X282" s="42"/>
      <c r="Y282" s="41"/>
      <c r="Z282" s="41"/>
      <c r="AA282" s="94"/>
    </row>
    <row r="283" spans="1:27" x14ac:dyDescent="0.2">
      <c r="A283" s="44"/>
      <c r="B283" s="44"/>
      <c r="C283" s="91"/>
      <c r="D283" s="139"/>
      <c r="E283" s="44"/>
      <c r="F283" s="122"/>
      <c r="G283" s="123"/>
      <c r="H283" s="44"/>
      <c r="I283" s="93"/>
      <c r="J283" s="44"/>
      <c r="K283" s="44"/>
      <c r="L283" s="93"/>
      <c r="M283" s="124"/>
      <c r="N283" s="44"/>
      <c r="O283" s="92"/>
      <c r="P283" s="110"/>
      <c r="Q283" s="44"/>
      <c r="R283" s="92"/>
      <c r="S283" s="125"/>
      <c r="T283" s="44"/>
      <c r="U283" s="92"/>
      <c r="V283" s="44"/>
      <c r="W283" s="44"/>
      <c r="X283" s="92"/>
      <c r="Y283" s="44"/>
      <c r="Z283" s="44"/>
      <c r="AA283" s="91"/>
    </row>
    <row r="284" spans="1:27" x14ac:dyDescent="0.2">
      <c r="A284" s="41"/>
      <c r="B284" s="41"/>
      <c r="C284" s="94"/>
      <c r="D284" s="140"/>
      <c r="E284" s="41"/>
      <c r="F284" s="126"/>
      <c r="G284" s="127"/>
      <c r="H284" s="41"/>
      <c r="I284" s="95"/>
      <c r="J284" s="41"/>
      <c r="K284" s="41"/>
      <c r="L284" s="95"/>
      <c r="M284" s="128"/>
      <c r="N284" s="41"/>
      <c r="O284" s="42"/>
      <c r="P284" s="52"/>
      <c r="Q284" s="41"/>
      <c r="R284" s="42"/>
      <c r="S284" s="129"/>
      <c r="T284" s="41"/>
      <c r="U284" s="42"/>
      <c r="V284" s="41"/>
      <c r="W284" s="41"/>
      <c r="X284" s="42"/>
      <c r="Y284" s="41"/>
      <c r="Z284" s="41"/>
      <c r="AA284" s="94"/>
    </row>
    <row r="285" spans="1:27" x14ac:dyDescent="0.2">
      <c r="A285" s="44"/>
      <c r="B285" s="44"/>
      <c r="C285" s="91"/>
      <c r="D285" s="139"/>
      <c r="E285" s="44"/>
      <c r="F285" s="122"/>
      <c r="G285" s="123"/>
      <c r="H285" s="44"/>
      <c r="I285" s="93"/>
      <c r="J285" s="44"/>
      <c r="K285" s="44"/>
      <c r="L285" s="93"/>
      <c r="M285" s="124"/>
      <c r="N285" s="44"/>
      <c r="O285" s="92"/>
      <c r="P285" s="110"/>
      <c r="Q285" s="44"/>
      <c r="R285" s="92"/>
      <c r="S285" s="125"/>
      <c r="T285" s="44"/>
      <c r="U285" s="92"/>
      <c r="V285" s="44"/>
      <c r="W285" s="44"/>
      <c r="X285" s="92"/>
      <c r="Y285" s="44"/>
      <c r="Z285" s="44"/>
      <c r="AA285" s="91"/>
    </row>
    <row r="286" spans="1:27" x14ac:dyDescent="0.2">
      <c r="A286" s="41"/>
      <c r="B286" s="41"/>
      <c r="C286" s="94"/>
      <c r="D286" s="140"/>
      <c r="E286" s="41"/>
      <c r="F286" s="126"/>
      <c r="G286" s="127"/>
      <c r="H286" s="41"/>
      <c r="I286" s="95"/>
      <c r="J286" s="41"/>
      <c r="K286" s="41"/>
      <c r="L286" s="95"/>
      <c r="M286" s="128"/>
      <c r="N286" s="41"/>
      <c r="O286" s="42"/>
      <c r="P286" s="52"/>
      <c r="Q286" s="41"/>
      <c r="R286" s="42"/>
      <c r="S286" s="129"/>
      <c r="T286" s="41"/>
      <c r="U286" s="42"/>
      <c r="V286" s="41"/>
      <c r="W286" s="41"/>
      <c r="X286" s="42"/>
      <c r="Y286" s="41"/>
      <c r="Z286" s="41"/>
      <c r="AA286" s="94"/>
    </row>
    <row r="287" spans="1:27" x14ac:dyDescent="0.2">
      <c r="A287" s="44"/>
      <c r="B287" s="44"/>
      <c r="C287" s="91"/>
      <c r="D287" s="139"/>
      <c r="E287" s="44"/>
      <c r="F287" s="122"/>
      <c r="G287" s="123"/>
      <c r="H287" s="44"/>
      <c r="I287" s="93"/>
      <c r="J287" s="44"/>
      <c r="K287" s="44"/>
      <c r="L287" s="93"/>
      <c r="M287" s="124"/>
      <c r="N287" s="44"/>
      <c r="O287" s="92"/>
      <c r="P287" s="110"/>
      <c r="Q287" s="44"/>
      <c r="R287" s="92"/>
      <c r="S287" s="125"/>
      <c r="T287" s="44"/>
      <c r="U287" s="92"/>
      <c r="V287" s="44"/>
      <c r="W287" s="44"/>
      <c r="X287" s="92"/>
      <c r="Y287" s="44"/>
      <c r="Z287" s="44"/>
      <c r="AA287" s="91"/>
    </row>
    <row r="288" spans="1:27" x14ac:dyDescent="0.2">
      <c r="A288" s="41"/>
      <c r="B288" s="41"/>
      <c r="C288" s="94"/>
      <c r="D288" s="140"/>
      <c r="E288" s="41"/>
      <c r="F288" s="126"/>
      <c r="G288" s="127"/>
      <c r="H288" s="41"/>
      <c r="I288" s="95"/>
      <c r="J288" s="41"/>
      <c r="K288" s="41"/>
      <c r="L288" s="95"/>
      <c r="M288" s="128"/>
      <c r="N288" s="41"/>
      <c r="O288" s="42"/>
      <c r="P288" s="52"/>
      <c r="Q288" s="41"/>
      <c r="R288" s="42"/>
      <c r="S288" s="129"/>
      <c r="T288" s="41"/>
      <c r="U288" s="42"/>
      <c r="V288" s="41"/>
      <c r="W288" s="41"/>
      <c r="X288" s="42"/>
      <c r="Y288" s="41"/>
      <c r="Z288" s="41"/>
      <c r="AA288" s="94"/>
    </row>
    <row r="289" spans="1:27" x14ac:dyDescent="0.2">
      <c r="A289" s="44"/>
      <c r="B289" s="44"/>
      <c r="C289" s="91"/>
      <c r="D289" s="139"/>
      <c r="E289" s="44"/>
      <c r="F289" s="122"/>
      <c r="G289" s="123"/>
      <c r="H289" s="44"/>
      <c r="I289" s="93"/>
      <c r="J289" s="44"/>
      <c r="K289" s="44"/>
      <c r="L289" s="93"/>
      <c r="M289" s="124"/>
      <c r="N289" s="44"/>
      <c r="O289" s="92"/>
      <c r="P289" s="110"/>
      <c r="Q289" s="44"/>
      <c r="R289" s="92"/>
      <c r="S289" s="125"/>
      <c r="T289" s="44"/>
      <c r="U289" s="92"/>
      <c r="V289" s="44"/>
      <c r="W289" s="44"/>
      <c r="X289" s="92"/>
      <c r="Y289" s="44"/>
      <c r="Z289" s="44"/>
      <c r="AA289" s="91"/>
    </row>
    <row r="290" spans="1:27" x14ac:dyDescent="0.2">
      <c r="A290" s="41"/>
      <c r="B290" s="41"/>
      <c r="C290" s="94"/>
      <c r="D290" s="140"/>
      <c r="E290" s="41"/>
      <c r="F290" s="126"/>
      <c r="G290" s="127"/>
      <c r="H290" s="41"/>
      <c r="I290" s="95"/>
      <c r="J290" s="41"/>
      <c r="K290" s="41"/>
      <c r="L290" s="95"/>
      <c r="M290" s="128"/>
      <c r="N290" s="41"/>
      <c r="O290" s="42"/>
      <c r="P290" s="52"/>
      <c r="Q290" s="41"/>
      <c r="R290" s="42"/>
      <c r="S290" s="129"/>
      <c r="T290" s="41"/>
      <c r="U290" s="42"/>
      <c r="V290" s="41"/>
      <c r="W290" s="41"/>
      <c r="X290" s="42"/>
      <c r="Y290" s="41"/>
      <c r="Z290" s="41"/>
      <c r="AA290" s="94"/>
    </row>
    <row r="291" spans="1:27" x14ac:dyDescent="0.2">
      <c r="A291" s="44"/>
      <c r="B291" s="44"/>
      <c r="C291" s="91"/>
      <c r="D291" s="139"/>
      <c r="E291" s="44"/>
      <c r="F291" s="122"/>
      <c r="G291" s="123"/>
      <c r="H291" s="44"/>
      <c r="I291" s="93"/>
      <c r="J291" s="44"/>
      <c r="K291" s="44"/>
      <c r="L291" s="93"/>
      <c r="M291" s="124"/>
      <c r="N291" s="44"/>
      <c r="O291" s="92"/>
      <c r="P291" s="110"/>
      <c r="Q291" s="44"/>
      <c r="R291" s="92"/>
      <c r="S291" s="125"/>
      <c r="T291" s="44"/>
      <c r="U291" s="92"/>
      <c r="V291" s="44"/>
      <c r="W291" s="44"/>
      <c r="X291" s="92"/>
      <c r="Y291" s="44"/>
      <c r="Z291" s="44"/>
      <c r="AA291" s="91"/>
    </row>
    <row r="292" spans="1:27" x14ac:dyDescent="0.2">
      <c r="A292" s="41"/>
      <c r="B292" s="41"/>
      <c r="C292" s="94"/>
      <c r="D292" s="140"/>
      <c r="E292" s="41"/>
      <c r="F292" s="126"/>
      <c r="G292" s="127"/>
      <c r="H292" s="41"/>
      <c r="I292" s="95"/>
      <c r="J292" s="41"/>
      <c r="K292" s="41"/>
      <c r="L292" s="95"/>
      <c r="M292" s="128"/>
      <c r="N292" s="41"/>
      <c r="O292" s="42"/>
      <c r="P292" s="52"/>
      <c r="Q292" s="41"/>
      <c r="R292" s="42"/>
      <c r="S292" s="129"/>
      <c r="T292" s="41"/>
      <c r="U292" s="42"/>
      <c r="V292" s="41"/>
      <c r="W292" s="41"/>
      <c r="X292" s="42"/>
      <c r="Y292" s="41"/>
      <c r="Z292" s="41"/>
      <c r="AA292" s="94"/>
    </row>
    <row r="293" spans="1:27" x14ac:dyDescent="0.2">
      <c r="A293" s="44"/>
      <c r="B293" s="44"/>
      <c r="C293" s="91"/>
      <c r="D293" s="139"/>
      <c r="E293" s="44"/>
      <c r="F293" s="122"/>
      <c r="G293" s="123"/>
      <c r="H293" s="44"/>
      <c r="I293" s="93"/>
      <c r="J293" s="44"/>
      <c r="K293" s="44"/>
      <c r="L293" s="93"/>
      <c r="M293" s="124"/>
      <c r="N293" s="44"/>
      <c r="O293" s="92"/>
      <c r="P293" s="110"/>
      <c r="Q293" s="44"/>
      <c r="R293" s="92"/>
      <c r="S293" s="125"/>
      <c r="T293" s="44"/>
      <c r="U293" s="92"/>
      <c r="V293" s="44"/>
      <c r="W293" s="44"/>
      <c r="X293" s="92"/>
      <c r="Y293" s="44"/>
      <c r="Z293" s="44"/>
      <c r="AA293" s="91"/>
    </row>
    <row r="294" spans="1:27" x14ac:dyDescent="0.2">
      <c r="A294" s="41"/>
      <c r="B294" s="41"/>
      <c r="C294" s="94"/>
      <c r="D294" s="140"/>
      <c r="E294" s="41"/>
      <c r="F294" s="127"/>
      <c r="G294" s="127"/>
      <c r="H294" s="41"/>
      <c r="I294" s="95"/>
      <c r="J294" s="41"/>
      <c r="K294" s="41"/>
      <c r="L294" s="95"/>
      <c r="M294" s="128"/>
      <c r="N294" s="41"/>
      <c r="O294" s="42"/>
      <c r="P294" s="52"/>
      <c r="Q294" s="41"/>
      <c r="R294" s="42"/>
      <c r="S294" s="129"/>
      <c r="T294" s="41"/>
      <c r="U294" s="42"/>
      <c r="V294" s="41"/>
      <c r="W294" s="41"/>
      <c r="X294" s="42"/>
      <c r="Y294" s="41"/>
      <c r="Z294" s="41"/>
      <c r="AA294" s="94"/>
    </row>
    <row r="295" spans="1:27" x14ac:dyDescent="0.2">
      <c r="A295" s="44"/>
      <c r="B295" s="44"/>
      <c r="C295" s="91"/>
      <c r="D295" s="139"/>
      <c r="E295" s="44"/>
      <c r="F295" s="122"/>
      <c r="G295" s="123"/>
      <c r="H295" s="44"/>
      <c r="I295" s="93"/>
      <c r="J295" s="44"/>
      <c r="K295" s="44"/>
      <c r="L295" s="93"/>
      <c r="M295" s="124"/>
      <c r="N295" s="44"/>
      <c r="O295" s="92"/>
      <c r="P295" s="110"/>
      <c r="Q295" s="44"/>
      <c r="R295" s="92"/>
      <c r="S295" s="125"/>
      <c r="T295" s="44"/>
      <c r="U295" s="92"/>
      <c r="V295" s="44"/>
      <c r="W295" s="44"/>
      <c r="X295" s="92"/>
      <c r="Y295" s="44"/>
      <c r="Z295" s="44"/>
      <c r="AA295" s="91"/>
    </row>
    <row r="296" spans="1:27" x14ac:dyDescent="0.2">
      <c r="A296" s="41"/>
      <c r="B296" s="41"/>
      <c r="C296" s="94"/>
      <c r="D296" s="140"/>
      <c r="E296" s="41"/>
      <c r="F296" s="126"/>
      <c r="G296" s="127"/>
      <c r="H296" s="41"/>
      <c r="I296" s="95"/>
      <c r="J296" s="41"/>
      <c r="K296" s="41"/>
      <c r="L296" s="95"/>
      <c r="M296" s="128"/>
      <c r="N296" s="41"/>
      <c r="O296" s="42"/>
      <c r="P296" s="52"/>
      <c r="Q296" s="41"/>
      <c r="R296" s="42"/>
      <c r="S296" s="129"/>
      <c r="T296" s="41"/>
      <c r="U296" s="42"/>
      <c r="V296" s="41"/>
      <c r="W296" s="41"/>
      <c r="X296" s="42"/>
      <c r="Y296" s="41"/>
      <c r="Z296" s="41"/>
      <c r="AA296" s="94"/>
    </row>
    <row r="297" spans="1:27" x14ac:dyDescent="0.2">
      <c r="A297" s="44"/>
      <c r="B297" s="44"/>
      <c r="C297" s="91"/>
      <c r="D297" s="139"/>
      <c r="E297" s="44"/>
      <c r="F297" s="122"/>
      <c r="G297" s="123"/>
      <c r="H297" s="44"/>
      <c r="I297" s="93"/>
      <c r="J297" s="44"/>
      <c r="K297" s="44"/>
      <c r="L297" s="93"/>
      <c r="M297" s="124"/>
      <c r="N297" s="44"/>
      <c r="O297" s="92"/>
      <c r="P297" s="110"/>
      <c r="Q297" s="44"/>
      <c r="R297" s="92"/>
      <c r="S297" s="125"/>
      <c r="T297" s="44"/>
      <c r="U297" s="92"/>
      <c r="V297" s="44"/>
      <c r="W297" s="44"/>
      <c r="X297" s="92"/>
      <c r="Y297" s="44"/>
      <c r="Z297" s="44"/>
      <c r="AA297" s="91"/>
    </row>
    <row r="298" spans="1:27" x14ac:dyDescent="0.2">
      <c r="A298" s="41"/>
      <c r="B298" s="41"/>
      <c r="C298" s="94"/>
      <c r="D298" s="140"/>
      <c r="E298" s="41"/>
      <c r="F298" s="126"/>
      <c r="G298" s="127"/>
      <c r="H298" s="41"/>
      <c r="I298" s="95"/>
      <c r="J298" s="41"/>
      <c r="K298" s="41"/>
      <c r="L298" s="95"/>
      <c r="M298" s="128"/>
      <c r="N298" s="41"/>
      <c r="O298" s="42"/>
      <c r="P298" s="52"/>
      <c r="Q298" s="41"/>
      <c r="R298" s="42"/>
      <c r="S298" s="129"/>
      <c r="T298" s="41"/>
      <c r="U298" s="42"/>
      <c r="V298" s="41"/>
      <c r="W298" s="41"/>
      <c r="X298" s="42"/>
      <c r="Y298" s="41"/>
      <c r="Z298" s="41"/>
      <c r="AA298" s="94"/>
    </row>
    <row r="299" spans="1:27" x14ac:dyDescent="0.2">
      <c r="A299" s="44"/>
      <c r="B299" s="44"/>
      <c r="C299" s="91"/>
      <c r="D299" s="139"/>
      <c r="E299" s="44"/>
      <c r="F299" s="122"/>
      <c r="G299" s="123"/>
      <c r="H299" s="44"/>
      <c r="I299" s="93"/>
      <c r="J299" s="44"/>
      <c r="K299" s="44"/>
      <c r="L299" s="93"/>
      <c r="M299" s="124"/>
      <c r="N299" s="44"/>
      <c r="O299" s="92"/>
      <c r="P299" s="110"/>
      <c r="Q299" s="44"/>
      <c r="R299" s="92"/>
      <c r="S299" s="125"/>
      <c r="T299" s="44"/>
      <c r="U299" s="92"/>
      <c r="V299" s="44"/>
      <c r="W299" s="44"/>
      <c r="X299" s="92"/>
      <c r="Y299" s="44"/>
      <c r="Z299" s="44"/>
      <c r="AA299" s="91"/>
    </row>
    <row r="300" spans="1:27" x14ac:dyDescent="0.2">
      <c r="A300" s="41"/>
      <c r="B300" s="41"/>
      <c r="C300" s="94"/>
      <c r="D300" s="140"/>
      <c r="E300" s="41"/>
      <c r="F300" s="126"/>
      <c r="G300" s="127"/>
      <c r="H300" s="41"/>
      <c r="I300" s="95"/>
      <c r="J300" s="41"/>
      <c r="K300" s="41"/>
      <c r="L300" s="95"/>
      <c r="M300" s="128"/>
      <c r="N300" s="41"/>
      <c r="O300" s="42"/>
      <c r="P300" s="52"/>
      <c r="Q300" s="41"/>
      <c r="R300" s="42"/>
      <c r="S300" s="129"/>
      <c r="T300" s="41"/>
      <c r="U300" s="42"/>
      <c r="V300" s="41"/>
      <c r="W300" s="41"/>
      <c r="X300" s="42"/>
      <c r="Y300" s="41"/>
      <c r="Z300" s="41"/>
      <c r="AA300" s="94"/>
    </row>
    <row r="301" spans="1:27" x14ac:dyDescent="0.2">
      <c r="A301" s="44"/>
      <c r="B301" s="44"/>
      <c r="C301" s="91"/>
      <c r="D301" s="139"/>
      <c r="E301" s="44"/>
      <c r="F301" s="122"/>
      <c r="G301" s="123"/>
      <c r="H301" s="44"/>
      <c r="I301" s="93"/>
      <c r="J301" s="44"/>
      <c r="K301" s="44"/>
      <c r="L301" s="93"/>
      <c r="M301" s="124"/>
      <c r="N301" s="44"/>
      <c r="O301" s="92"/>
      <c r="P301" s="110"/>
      <c r="Q301" s="44"/>
      <c r="R301" s="92"/>
      <c r="S301" s="125"/>
      <c r="T301" s="44"/>
      <c r="U301" s="92"/>
      <c r="V301" s="44"/>
      <c r="W301" s="44"/>
      <c r="X301" s="92"/>
      <c r="Y301" s="44"/>
      <c r="Z301" s="44"/>
      <c r="AA301" s="91"/>
    </row>
    <row r="302" spans="1:27" x14ac:dyDescent="0.2">
      <c r="A302" s="96"/>
      <c r="B302" s="44"/>
      <c r="C302" s="91"/>
      <c r="D302" s="139"/>
      <c r="E302" s="44"/>
      <c r="F302" s="122"/>
      <c r="G302" s="123"/>
      <c r="H302" s="44"/>
      <c r="I302" s="93"/>
      <c r="J302" s="44"/>
      <c r="K302" s="44"/>
      <c r="L302" s="93"/>
      <c r="M302" s="124"/>
      <c r="N302" s="44"/>
      <c r="O302" s="92"/>
      <c r="P302" s="110"/>
      <c r="Q302" s="44"/>
      <c r="R302" s="92"/>
      <c r="S302" s="125"/>
      <c r="T302" s="44"/>
      <c r="U302" s="92"/>
      <c r="V302" s="44"/>
      <c r="W302" s="44"/>
      <c r="X302" s="92"/>
      <c r="Y302" s="96"/>
      <c r="Z302" s="44"/>
      <c r="AA302" s="91"/>
    </row>
    <row r="303" spans="1:27" x14ac:dyDescent="0.2">
      <c r="A303" s="97"/>
      <c r="B303" s="41"/>
      <c r="C303" s="94"/>
      <c r="D303" s="140"/>
      <c r="E303" s="41"/>
      <c r="F303" s="126"/>
      <c r="G303" s="127"/>
      <c r="H303" s="41"/>
      <c r="I303" s="95"/>
      <c r="J303" s="41"/>
      <c r="K303" s="41"/>
      <c r="L303" s="95"/>
      <c r="M303" s="128"/>
      <c r="N303" s="41"/>
      <c r="O303" s="42"/>
      <c r="P303" s="52"/>
      <c r="Q303" s="41"/>
      <c r="R303" s="42"/>
      <c r="S303" s="129"/>
      <c r="T303" s="41"/>
      <c r="U303" s="42"/>
      <c r="V303" s="41"/>
      <c r="W303" s="41"/>
      <c r="X303" s="42"/>
      <c r="Y303" s="97"/>
      <c r="Z303" s="41"/>
      <c r="AA303" s="94"/>
    </row>
    <row r="304" spans="1:27" x14ac:dyDescent="0.2">
      <c r="A304" s="96"/>
      <c r="B304" s="44"/>
      <c r="C304" s="91"/>
      <c r="D304" s="139"/>
      <c r="E304" s="44"/>
      <c r="F304" s="122"/>
      <c r="G304" s="123"/>
      <c r="H304" s="44"/>
      <c r="I304" s="93"/>
      <c r="J304" s="44"/>
      <c r="K304" s="44"/>
      <c r="L304" s="93"/>
      <c r="M304" s="124"/>
      <c r="N304" s="44"/>
      <c r="O304" s="92"/>
      <c r="P304" s="110"/>
      <c r="Q304" s="44"/>
      <c r="R304" s="92"/>
      <c r="S304" s="125"/>
      <c r="T304" s="44"/>
      <c r="U304" s="92"/>
      <c r="V304" s="44"/>
      <c r="W304" s="44"/>
      <c r="X304" s="92"/>
      <c r="Y304" s="96"/>
      <c r="Z304" s="44"/>
      <c r="AA304" s="91"/>
    </row>
    <row r="305" spans="1:27" x14ac:dyDescent="0.2">
      <c r="A305" s="97"/>
      <c r="B305" s="41"/>
      <c r="C305" s="94"/>
      <c r="D305" s="140"/>
      <c r="E305" s="41"/>
      <c r="F305" s="126"/>
      <c r="G305" s="127"/>
      <c r="H305" s="41"/>
      <c r="I305" s="95"/>
      <c r="J305" s="41"/>
      <c r="K305" s="41"/>
      <c r="L305" s="95"/>
      <c r="M305" s="128"/>
      <c r="N305" s="41"/>
      <c r="O305" s="42"/>
      <c r="P305" s="52"/>
      <c r="Q305" s="41"/>
      <c r="R305" s="42"/>
      <c r="S305" s="129"/>
      <c r="T305" s="41"/>
      <c r="U305" s="42"/>
      <c r="V305" s="41"/>
      <c r="W305" s="41"/>
      <c r="X305" s="42"/>
      <c r="Y305" s="97"/>
      <c r="Z305" s="41"/>
      <c r="AA305" s="94"/>
    </row>
    <row r="306" spans="1:27" x14ac:dyDescent="0.2">
      <c r="A306" s="97"/>
      <c r="B306" s="41"/>
      <c r="C306" s="94"/>
      <c r="D306" s="140"/>
      <c r="E306" s="41"/>
      <c r="F306" s="126"/>
      <c r="G306" s="127"/>
      <c r="H306" s="41"/>
      <c r="I306" s="95"/>
      <c r="J306" s="41"/>
      <c r="K306" s="41"/>
      <c r="L306" s="95"/>
      <c r="M306" s="128"/>
      <c r="N306" s="41"/>
      <c r="O306" s="42"/>
      <c r="P306" s="52"/>
      <c r="Q306" s="41"/>
      <c r="R306" s="42"/>
      <c r="S306" s="129"/>
      <c r="T306" s="41"/>
      <c r="U306" s="42"/>
      <c r="V306" s="41"/>
      <c r="W306" s="41"/>
      <c r="X306" s="42"/>
      <c r="Y306" s="97"/>
      <c r="Z306" s="41"/>
      <c r="AA306" s="94"/>
    </row>
    <row r="307" spans="1:27" x14ac:dyDescent="0.2">
      <c r="A307" s="97"/>
      <c r="B307" s="41"/>
      <c r="C307" s="94"/>
      <c r="D307" s="140"/>
      <c r="E307" s="41"/>
      <c r="F307" s="126"/>
      <c r="G307" s="127"/>
      <c r="H307" s="41"/>
      <c r="I307" s="95"/>
      <c r="J307" s="41"/>
      <c r="K307" s="41"/>
      <c r="L307" s="95"/>
      <c r="M307" s="128"/>
      <c r="N307" s="41"/>
      <c r="O307" s="42"/>
      <c r="P307" s="52"/>
      <c r="Q307" s="41"/>
      <c r="R307" s="42"/>
      <c r="S307" s="129"/>
      <c r="T307" s="41"/>
      <c r="U307" s="42"/>
      <c r="V307" s="41"/>
      <c r="W307" s="41"/>
      <c r="X307" s="42"/>
      <c r="Y307" s="97"/>
      <c r="Z307" s="41"/>
      <c r="AA307" s="94"/>
    </row>
    <row r="308" spans="1:27" x14ac:dyDescent="0.2">
      <c r="A308" s="97"/>
      <c r="B308" s="41"/>
      <c r="C308" s="94"/>
      <c r="D308" s="140"/>
      <c r="E308" s="41"/>
      <c r="F308" s="126"/>
      <c r="G308" s="127"/>
      <c r="H308" s="41"/>
      <c r="I308" s="95"/>
      <c r="J308" s="41"/>
      <c r="K308" s="41"/>
      <c r="L308" s="95"/>
      <c r="M308" s="128"/>
      <c r="N308" s="41"/>
      <c r="O308" s="42"/>
      <c r="P308" s="52"/>
      <c r="Q308" s="41"/>
      <c r="R308" s="42"/>
      <c r="S308" s="129"/>
      <c r="T308" s="41"/>
      <c r="U308" s="42"/>
      <c r="V308" s="41"/>
      <c r="W308" s="41"/>
      <c r="X308" s="42"/>
      <c r="Y308" s="97"/>
      <c r="Z308" s="41"/>
      <c r="AA308" s="94"/>
    </row>
    <row r="309" spans="1:27" x14ac:dyDescent="0.2">
      <c r="A309" s="96"/>
      <c r="B309" s="44"/>
      <c r="C309" s="91"/>
      <c r="D309" s="139"/>
      <c r="E309" s="44"/>
      <c r="F309" s="122"/>
      <c r="G309" s="123"/>
      <c r="H309" s="44"/>
      <c r="I309" s="93"/>
      <c r="J309" s="44"/>
      <c r="K309" s="44"/>
      <c r="L309" s="93"/>
      <c r="M309" s="124"/>
      <c r="N309" s="44"/>
      <c r="O309" s="92"/>
      <c r="P309" s="110"/>
      <c r="Q309" s="44"/>
      <c r="R309" s="92"/>
      <c r="S309" s="125"/>
      <c r="T309" s="44"/>
      <c r="U309" s="92"/>
      <c r="V309" s="44"/>
      <c r="W309" s="44"/>
      <c r="X309" s="92"/>
      <c r="Y309" s="96"/>
      <c r="Z309" s="44"/>
      <c r="AA309" s="91"/>
    </row>
    <row r="310" spans="1:27" x14ac:dyDescent="0.2">
      <c r="A310" s="96"/>
      <c r="B310" s="44"/>
      <c r="C310" s="91"/>
      <c r="D310" s="139"/>
      <c r="E310" s="44"/>
      <c r="F310" s="122"/>
      <c r="G310" s="123"/>
      <c r="H310" s="44"/>
      <c r="I310" s="93"/>
      <c r="J310" s="44"/>
      <c r="K310" s="44"/>
      <c r="L310" s="93"/>
      <c r="M310" s="124"/>
      <c r="N310" s="44"/>
      <c r="O310" s="92"/>
      <c r="P310" s="110"/>
      <c r="Q310" s="44"/>
      <c r="R310" s="92"/>
      <c r="S310" s="125"/>
      <c r="T310" s="44"/>
      <c r="U310" s="92"/>
      <c r="V310" s="44"/>
      <c r="W310" s="44"/>
      <c r="X310" s="92"/>
      <c r="Y310" s="96"/>
      <c r="Z310" s="44"/>
      <c r="AA310" s="91"/>
    </row>
    <row r="311" spans="1:27" x14ac:dyDescent="0.2">
      <c r="A311" s="96"/>
      <c r="B311" s="44"/>
      <c r="C311" s="91"/>
      <c r="D311" s="139"/>
      <c r="E311" s="44"/>
      <c r="F311" s="122"/>
      <c r="G311" s="123"/>
      <c r="H311" s="44"/>
      <c r="I311" s="93"/>
      <c r="J311" s="44"/>
      <c r="K311" s="44"/>
      <c r="L311" s="93"/>
      <c r="M311" s="124"/>
      <c r="N311" s="44"/>
      <c r="O311" s="92"/>
      <c r="P311" s="110"/>
      <c r="Q311" s="44"/>
      <c r="R311" s="92"/>
      <c r="S311" s="125"/>
      <c r="T311" s="44"/>
      <c r="U311" s="92"/>
      <c r="V311" s="44"/>
      <c r="W311" s="44"/>
      <c r="X311" s="92"/>
      <c r="Y311" s="96"/>
      <c r="Z311" s="44"/>
      <c r="AA311" s="91"/>
    </row>
    <row r="312" spans="1:27" x14ac:dyDescent="0.2">
      <c r="A312" s="96"/>
      <c r="B312" s="44"/>
      <c r="C312" s="91"/>
      <c r="D312" s="139"/>
      <c r="E312" s="44"/>
      <c r="F312" s="122"/>
      <c r="G312" s="123"/>
      <c r="H312" s="44"/>
      <c r="I312" s="93"/>
      <c r="J312" s="44"/>
      <c r="K312" s="44"/>
      <c r="L312" s="93"/>
      <c r="M312" s="124"/>
      <c r="N312" s="44"/>
      <c r="O312" s="92"/>
      <c r="P312" s="110"/>
      <c r="Q312" s="44"/>
      <c r="R312" s="92"/>
      <c r="S312" s="125"/>
      <c r="T312" s="44"/>
      <c r="U312" s="92"/>
      <c r="V312" s="44"/>
      <c r="W312" s="44"/>
      <c r="X312" s="92"/>
      <c r="Y312" s="96"/>
      <c r="Z312" s="44"/>
      <c r="AA312" s="91"/>
    </row>
    <row r="313" spans="1:27" x14ac:dyDescent="0.2">
      <c r="A313" s="96"/>
      <c r="B313" s="44"/>
      <c r="C313" s="91"/>
      <c r="D313" s="139"/>
      <c r="E313" s="44"/>
      <c r="F313" s="122"/>
      <c r="G313" s="123"/>
      <c r="H313" s="44"/>
      <c r="I313" s="93"/>
      <c r="J313" s="44"/>
      <c r="K313" s="44"/>
      <c r="L313" s="93"/>
      <c r="M313" s="124"/>
      <c r="N313" s="44"/>
      <c r="O313" s="92"/>
      <c r="P313" s="110"/>
      <c r="Q313" s="44"/>
      <c r="R313" s="92"/>
      <c r="S313" s="125"/>
      <c r="T313" s="44"/>
      <c r="U313" s="92"/>
      <c r="V313" s="44"/>
      <c r="W313" s="44"/>
      <c r="X313" s="92"/>
      <c r="Y313" s="96"/>
      <c r="Z313" s="44"/>
      <c r="AA313" s="91"/>
    </row>
    <row r="314" spans="1:27" x14ac:dyDescent="0.2">
      <c r="A314" s="97"/>
      <c r="B314" s="41"/>
      <c r="C314" s="94"/>
      <c r="D314" s="140"/>
      <c r="E314" s="41"/>
      <c r="F314" s="126"/>
      <c r="G314" s="127"/>
      <c r="H314" s="41"/>
      <c r="I314" s="95"/>
      <c r="J314" s="41"/>
      <c r="K314" s="41"/>
      <c r="L314" s="95"/>
      <c r="M314" s="128"/>
      <c r="N314" s="41"/>
      <c r="O314" s="42"/>
      <c r="P314" s="52"/>
      <c r="Q314" s="41"/>
      <c r="R314" s="42"/>
      <c r="S314" s="129"/>
      <c r="T314" s="41"/>
      <c r="U314" s="42"/>
      <c r="V314" s="41"/>
      <c r="W314" s="41"/>
      <c r="X314" s="42"/>
      <c r="Y314" s="97"/>
      <c r="Z314" s="41"/>
      <c r="AA314" s="94"/>
    </row>
    <row r="315" spans="1:27" x14ac:dyDescent="0.2">
      <c r="A315" s="96"/>
      <c r="B315" s="44"/>
      <c r="C315" s="91"/>
      <c r="D315" s="139"/>
      <c r="E315" s="44"/>
      <c r="F315" s="122"/>
      <c r="G315" s="123"/>
      <c r="H315" s="44"/>
      <c r="I315" s="93"/>
      <c r="J315" s="44"/>
      <c r="K315" s="44"/>
      <c r="L315" s="93"/>
      <c r="M315" s="124"/>
      <c r="N315" s="44"/>
      <c r="O315" s="92"/>
      <c r="P315" s="110"/>
      <c r="Q315" s="44"/>
      <c r="R315" s="92"/>
      <c r="S315" s="125"/>
      <c r="T315" s="44"/>
      <c r="U315" s="92"/>
      <c r="V315" s="44"/>
      <c r="W315" s="44"/>
      <c r="X315" s="92"/>
      <c r="Y315" s="96"/>
      <c r="Z315" s="44"/>
      <c r="AA315" s="91"/>
    </row>
    <row r="316" spans="1:27" x14ac:dyDescent="0.2">
      <c r="A316" s="97"/>
      <c r="B316" s="41"/>
      <c r="C316" s="94"/>
      <c r="D316" s="140"/>
      <c r="E316" s="41"/>
      <c r="F316" s="126"/>
      <c r="G316" s="127"/>
      <c r="H316" s="41"/>
      <c r="I316" s="95"/>
      <c r="J316" s="41"/>
      <c r="K316" s="41"/>
      <c r="L316" s="95"/>
      <c r="M316" s="128"/>
      <c r="N316" s="41"/>
      <c r="O316" s="42"/>
      <c r="P316" s="52"/>
      <c r="Q316" s="41"/>
      <c r="R316" s="42"/>
      <c r="S316" s="129"/>
      <c r="T316" s="41"/>
      <c r="U316" s="42"/>
      <c r="V316" s="41"/>
      <c r="W316" s="41"/>
      <c r="X316" s="42"/>
      <c r="Y316" s="97"/>
      <c r="Z316" s="41"/>
      <c r="AA316" s="94"/>
    </row>
    <row r="317" spans="1:27" x14ac:dyDescent="0.2">
      <c r="A317" s="96"/>
      <c r="B317" s="44"/>
      <c r="C317" s="91"/>
      <c r="D317" s="139"/>
      <c r="E317" s="44"/>
      <c r="F317" s="122"/>
      <c r="G317" s="123"/>
      <c r="H317" s="44"/>
      <c r="I317" s="93"/>
      <c r="J317" s="44"/>
      <c r="K317" s="44"/>
      <c r="L317" s="93"/>
      <c r="M317" s="124"/>
      <c r="N317" s="44"/>
      <c r="O317" s="92"/>
      <c r="P317" s="110"/>
      <c r="Q317" s="44"/>
      <c r="R317" s="92"/>
      <c r="S317" s="125"/>
      <c r="T317" s="44"/>
      <c r="U317" s="92"/>
      <c r="V317" s="44"/>
      <c r="W317" s="44"/>
      <c r="X317" s="92"/>
      <c r="Y317" s="96"/>
      <c r="Z317" s="44"/>
      <c r="AA317" s="91"/>
    </row>
    <row r="318" spans="1:27" x14ac:dyDescent="0.2">
      <c r="A318" s="96"/>
      <c r="B318" s="44"/>
      <c r="C318" s="91"/>
      <c r="D318" s="139"/>
      <c r="E318" s="44"/>
      <c r="F318" s="122"/>
      <c r="G318" s="123"/>
      <c r="H318" s="44"/>
      <c r="I318" s="93"/>
      <c r="J318" s="44"/>
      <c r="K318" s="44"/>
      <c r="L318" s="93"/>
      <c r="M318" s="124"/>
      <c r="N318" s="44"/>
      <c r="O318" s="92"/>
      <c r="P318" s="110"/>
      <c r="Q318" s="44"/>
      <c r="R318" s="92"/>
      <c r="S318" s="125"/>
      <c r="T318" s="44"/>
      <c r="U318" s="92"/>
      <c r="V318" s="44"/>
      <c r="W318" s="44"/>
      <c r="X318" s="92"/>
      <c r="Y318" s="96"/>
      <c r="Z318" s="44"/>
      <c r="AA318" s="91"/>
    </row>
    <row r="319" spans="1:27" x14ac:dyDescent="0.2">
      <c r="A319" s="97"/>
      <c r="B319" s="41"/>
      <c r="C319" s="94"/>
      <c r="D319" s="140"/>
      <c r="E319" s="41"/>
      <c r="F319" s="126"/>
      <c r="G319" s="127"/>
      <c r="H319" s="41"/>
      <c r="I319" s="95"/>
      <c r="J319" s="41"/>
      <c r="K319" s="41"/>
      <c r="L319" s="95"/>
      <c r="M319" s="128"/>
      <c r="N319" s="41"/>
      <c r="O319" s="42"/>
      <c r="P319" s="52"/>
      <c r="Q319" s="41"/>
      <c r="R319" s="42"/>
      <c r="S319" s="129"/>
      <c r="T319" s="41"/>
      <c r="U319" s="42"/>
      <c r="V319" s="41"/>
      <c r="W319" s="41"/>
      <c r="X319" s="42"/>
      <c r="Y319" s="97"/>
      <c r="Z319" s="41"/>
      <c r="AA319" s="94"/>
    </row>
    <row r="320" spans="1:27" x14ac:dyDescent="0.2">
      <c r="A320" s="96"/>
      <c r="B320" s="44"/>
      <c r="C320" s="91"/>
      <c r="D320" s="139"/>
      <c r="E320" s="44"/>
      <c r="F320" s="122"/>
      <c r="G320" s="123"/>
      <c r="H320" s="44"/>
      <c r="I320" s="93"/>
      <c r="J320" s="44"/>
      <c r="K320" s="44"/>
      <c r="L320" s="93"/>
      <c r="M320" s="124"/>
      <c r="N320" s="44"/>
      <c r="O320" s="92"/>
      <c r="P320" s="110"/>
      <c r="Q320" s="44"/>
      <c r="R320" s="92"/>
      <c r="S320" s="125"/>
      <c r="T320" s="44"/>
      <c r="U320" s="92"/>
      <c r="V320" s="44"/>
      <c r="W320" s="44"/>
      <c r="X320" s="92"/>
      <c r="Y320" s="96"/>
      <c r="Z320" s="44"/>
      <c r="AA320" s="91"/>
    </row>
    <row r="321" spans="1:27" x14ac:dyDescent="0.2">
      <c r="A321" s="96"/>
      <c r="B321" s="44"/>
      <c r="C321" s="91"/>
      <c r="D321" s="139"/>
      <c r="E321" s="44"/>
      <c r="F321" s="122"/>
      <c r="G321" s="123"/>
      <c r="H321" s="44"/>
      <c r="I321" s="93"/>
      <c r="J321" s="44"/>
      <c r="K321" s="44"/>
      <c r="L321" s="93"/>
      <c r="M321" s="124"/>
      <c r="N321" s="44"/>
      <c r="O321" s="92"/>
      <c r="P321" s="110"/>
      <c r="Q321" s="44"/>
      <c r="R321" s="92"/>
      <c r="S321" s="125"/>
      <c r="T321" s="44"/>
      <c r="U321" s="92"/>
      <c r="V321" s="44"/>
      <c r="W321" s="44"/>
      <c r="X321" s="92"/>
      <c r="Y321" s="96"/>
      <c r="Z321" s="44"/>
      <c r="AA321" s="91"/>
    </row>
    <row r="322" spans="1:27" x14ac:dyDescent="0.2">
      <c r="A322" s="97"/>
      <c r="B322" s="41"/>
      <c r="C322" s="94"/>
      <c r="D322" s="140"/>
      <c r="E322" s="41"/>
      <c r="F322" s="126"/>
      <c r="G322" s="127"/>
      <c r="H322" s="41"/>
      <c r="I322" s="95"/>
      <c r="J322" s="41"/>
      <c r="K322" s="41"/>
      <c r="L322" s="95"/>
      <c r="M322" s="128"/>
      <c r="N322" s="41"/>
      <c r="O322" s="42"/>
      <c r="P322" s="52"/>
      <c r="Q322" s="41"/>
      <c r="R322" s="42"/>
      <c r="S322" s="129"/>
      <c r="T322" s="41"/>
      <c r="U322" s="42"/>
      <c r="V322" s="41"/>
      <c r="W322" s="41"/>
      <c r="X322" s="42"/>
      <c r="Y322" s="97"/>
      <c r="Z322" s="41"/>
      <c r="AA322" s="94"/>
    </row>
    <row r="323" spans="1:27" x14ac:dyDescent="0.2">
      <c r="A323" s="97"/>
      <c r="B323" s="41"/>
      <c r="C323" s="94"/>
      <c r="D323" s="140"/>
      <c r="E323" s="41"/>
      <c r="F323" s="126"/>
      <c r="G323" s="127"/>
      <c r="H323" s="41"/>
      <c r="I323" s="95"/>
      <c r="J323" s="41"/>
      <c r="K323" s="41"/>
      <c r="L323" s="95"/>
      <c r="M323" s="128"/>
      <c r="N323" s="41"/>
      <c r="O323" s="42"/>
      <c r="P323" s="52"/>
      <c r="Q323" s="41"/>
      <c r="R323" s="42"/>
      <c r="S323" s="129"/>
      <c r="T323" s="41"/>
      <c r="U323" s="42"/>
      <c r="V323" s="41"/>
      <c r="W323" s="41"/>
      <c r="X323" s="42"/>
      <c r="Y323" s="97"/>
      <c r="Z323" s="41"/>
      <c r="AA323" s="94"/>
    </row>
    <row r="324" spans="1:27" x14ac:dyDescent="0.2">
      <c r="A324" s="96"/>
      <c r="B324" s="44"/>
      <c r="C324" s="91"/>
      <c r="D324" s="139"/>
      <c r="E324" s="44"/>
      <c r="F324" s="122"/>
      <c r="G324" s="123"/>
      <c r="H324" s="44"/>
      <c r="I324" s="93"/>
      <c r="J324" s="44"/>
      <c r="K324" s="44"/>
      <c r="L324" s="93"/>
      <c r="M324" s="124"/>
      <c r="N324" s="44"/>
      <c r="O324" s="92"/>
      <c r="P324" s="110"/>
      <c r="Q324" s="44"/>
      <c r="R324" s="92"/>
      <c r="S324" s="125"/>
      <c r="T324" s="44"/>
      <c r="U324" s="92"/>
      <c r="V324" s="44"/>
      <c r="W324" s="44"/>
      <c r="X324" s="92"/>
      <c r="Y324" s="96"/>
      <c r="Z324" s="44"/>
      <c r="AA324" s="91"/>
    </row>
    <row r="325" spans="1:27" x14ac:dyDescent="0.2">
      <c r="A325" s="96"/>
      <c r="B325" s="44"/>
      <c r="C325" s="91"/>
      <c r="D325" s="139"/>
      <c r="E325" s="44"/>
      <c r="F325" s="122"/>
      <c r="G325" s="123"/>
      <c r="H325" s="44"/>
      <c r="I325" s="93"/>
      <c r="J325" s="44"/>
      <c r="K325" s="44"/>
      <c r="L325" s="93"/>
      <c r="M325" s="124"/>
      <c r="N325" s="44"/>
      <c r="O325" s="92"/>
      <c r="P325" s="110"/>
      <c r="Q325" s="44"/>
      <c r="R325" s="92"/>
      <c r="S325" s="125"/>
      <c r="T325" s="44"/>
      <c r="U325" s="92"/>
      <c r="V325" s="44"/>
      <c r="W325" s="44"/>
      <c r="X325" s="92"/>
      <c r="Y325" s="96"/>
      <c r="Z325" s="44"/>
      <c r="AA325" s="91"/>
    </row>
    <row r="326" spans="1:27" x14ac:dyDescent="0.2">
      <c r="A326" s="97"/>
      <c r="B326" s="41"/>
      <c r="C326" s="94"/>
      <c r="D326" s="140"/>
      <c r="E326" s="41"/>
      <c r="F326" s="126"/>
      <c r="G326" s="127"/>
      <c r="H326" s="41"/>
      <c r="I326" s="95"/>
      <c r="J326" s="41"/>
      <c r="K326" s="41"/>
      <c r="L326" s="95"/>
      <c r="M326" s="128"/>
      <c r="N326" s="41"/>
      <c r="O326" s="42"/>
      <c r="P326" s="52"/>
      <c r="Q326" s="41"/>
      <c r="R326" s="42"/>
      <c r="S326" s="129"/>
      <c r="T326" s="41"/>
      <c r="U326" s="42"/>
      <c r="V326" s="41"/>
      <c r="W326" s="41"/>
      <c r="X326" s="42"/>
      <c r="Y326" s="97"/>
      <c r="Z326" s="41"/>
      <c r="AA326" s="94"/>
    </row>
    <row r="327" spans="1:27" x14ac:dyDescent="0.2">
      <c r="A327" s="87"/>
      <c r="B327" s="87"/>
      <c r="C327" s="88"/>
      <c r="D327" s="138"/>
      <c r="E327" s="87"/>
      <c r="F327" s="118"/>
      <c r="G327" s="119"/>
      <c r="H327" s="87"/>
      <c r="I327" s="90"/>
      <c r="J327" s="87"/>
      <c r="K327" s="87"/>
      <c r="L327" s="90"/>
      <c r="M327" s="120"/>
      <c r="N327" s="87"/>
      <c r="O327" s="89"/>
      <c r="P327" s="130"/>
      <c r="Q327" s="87"/>
      <c r="R327" s="89"/>
      <c r="S327" s="121"/>
      <c r="T327" s="87"/>
      <c r="U327" s="89"/>
      <c r="V327" s="87"/>
      <c r="W327" s="87"/>
      <c r="X327" s="89"/>
      <c r="Y327" s="87"/>
      <c r="Z327" s="87"/>
      <c r="AA327" s="88"/>
    </row>
    <row r="328" spans="1:27" x14ac:dyDescent="0.2">
      <c r="A328" s="44"/>
      <c r="B328" s="44"/>
      <c r="C328" s="91"/>
      <c r="D328" s="139"/>
      <c r="E328" s="44"/>
      <c r="F328" s="122"/>
      <c r="G328" s="123"/>
      <c r="H328" s="44"/>
      <c r="I328" s="93"/>
      <c r="J328" s="44"/>
      <c r="K328" s="44"/>
      <c r="L328" s="93"/>
      <c r="M328" s="124"/>
      <c r="N328" s="44"/>
      <c r="O328" s="92"/>
      <c r="P328" s="110"/>
      <c r="Q328" s="44"/>
      <c r="R328" s="92"/>
      <c r="S328" s="125"/>
      <c r="T328" s="44"/>
      <c r="U328" s="92"/>
      <c r="V328" s="44"/>
      <c r="W328" s="44"/>
      <c r="X328" s="92"/>
      <c r="Y328" s="44"/>
      <c r="Z328" s="44"/>
      <c r="AA328" s="91"/>
    </row>
    <row r="329" spans="1:27" x14ac:dyDescent="0.2">
      <c r="A329" s="41"/>
      <c r="B329" s="41"/>
      <c r="C329" s="94"/>
      <c r="D329" s="140"/>
      <c r="E329" s="41"/>
      <c r="F329" s="126"/>
      <c r="G329" s="127"/>
      <c r="H329" s="41"/>
      <c r="I329" s="95"/>
      <c r="J329" s="41"/>
      <c r="K329" s="41"/>
      <c r="L329" s="95"/>
      <c r="M329" s="128"/>
      <c r="N329" s="41"/>
      <c r="O329" s="42"/>
      <c r="P329" s="52"/>
      <c r="Q329" s="41"/>
      <c r="R329" s="42"/>
      <c r="S329" s="129"/>
      <c r="T329" s="41"/>
      <c r="U329" s="42"/>
      <c r="V329" s="41"/>
      <c r="W329" s="41"/>
      <c r="X329" s="42"/>
      <c r="Y329" s="41"/>
      <c r="Z329" s="41"/>
      <c r="AA329" s="94"/>
    </row>
    <row r="330" spans="1:27" x14ac:dyDescent="0.2">
      <c r="A330" s="44"/>
      <c r="B330" s="44"/>
      <c r="C330" s="91"/>
      <c r="D330" s="139"/>
      <c r="E330" s="44"/>
      <c r="F330" s="122"/>
      <c r="G330" s="123"/>
      <c r="H330" s="44"/>
      <c r="I330" s="93"/>
      <c r="J330" s="44"/>
      <c r="K330" s="44"/>
      <c r="L330" s="93"/>
      <c r="M330" s="124"/>
      <c r="N330" s="44"/>
      <c r="O330" s="92"/>
      <c r="P330" s="110"/>
      <c r="Q330" s="44"/>
      <c r="R330" s="92"/>
      <c r="S330" s="125"/>
      <c r="T330" s="44"/>
      <c r="U330" s="92"/>
      <c r="V330" s="44"/>
      <c r="W330" s="44"/>
      <c r="X330" s="92"/>
      <c r="Y330" s="44"/>
      <c r="Z330" s="44"/>
      <c r="AA330" s="91"/>
    </row>
    <row r="331" spans="1:27" x14ac:dyDescent="0.2">
      <c r="A331" s="87"/>
      <c r="B331" s="87"/>
      <c r="C331" s="88"/>
      <c r="D331" s="138"/>
      <c r="E331" s="87"/>
      <c r="F331" s="118"/>
      <c r="G331" s="119"/>
      <c r="H331" s="87"/>
      <c r="I331" s="90"/>
      <c r="J331" s="87"/>
      <c r="K331" s="87"/>
      <c r="L331" s="90"/>
      <c r="M331" s="120"/>
      <c r="N331" s="87"/>
      <c r="O331" s="89"/>
      <c r="P331" s="87"/>
      <c r="Q331" s="87"/>
      <c r="R331" s="89"/>
      <c r="S331" s="121"/>
      <c r="T331" s="87"/>
      <c r="U331" s="89"/>
      <c r="V331" s="87"/>
      <c r="W331" s="87"/>
      <c r="X331" s="89"/>
      <c r="Y331" s="87"/>
      <c r="Z331" s="87"/>
      <c r="AA331" s="88"/>
    </row>
    <row r="332" spans="1:27" x14ac:dyDescent="0.2">
      <c r="A332" s="44"/>
      <c r="B332" s="44"/>
      <c r="C332" s="91"/>
      <c r="D332" s="139"/>
      <c r="E332" s="44"/>
      <c r="F332" s="122"/>
      <c r="G332" s="123"/>
      <c r="H332" s="44"/>
      <c r="I332" s="93"/>
      <c r="J332" s="44"/>
      <c r="K332" s="44"/>
      <c r="L332" s="93"/>
      <c r="M332" s="124"/>
      <c r="N332" s="44"/>
      <c r="O332" s="92"/>
      <c r="P332" s="110"/>
      <c r="Q332" s="44"/>
      <c r="R332" s="92"/>
      <c r="S332" s="125"/>
      <c r="T332" s="44"/>
      <c r="U332" s="92"/>
      <c r="V332" s="44"/>
      <c r="W332" s="44"/>
      <c r="X332" s="92"/>
      <c r="Y332" s="44"/>
      <c r="Z332" s="44"/>
      <c r="AA332" s="91"/>
    </row>
    <row r="333" spans="1:27" x14ac:dyDescent="0.2">
      <c r="A333" s="41"/>
      <c r="B333" s="41"/>
      <c r="C333" s="94"/>
      <c r="D333" s="140"/>
      <c r="E333" s="41"/>
      <c r="F333" s="126"/>
      <c r="G333" s="127"/>
      <c r="H333" s="41"/>
      <c r="I333" s="95"/>
      <c r="J333" s="41"/>
      <c r="K333" s="41"/>
      <c r="L333" s="95"/>
      <c r="M333" s="128"/>
      <c r="N333" s="41"/>
      <c r="O333" s="42"/>
      <c r="P333" s="52"/>
      <c r="Q333" s="41"/>
      <c r="R333" s="42"/>
      <c r="S333" s="129"/>
      <c r="T333" s="41"/>
      <c r="U333" s="42"/>
      <c r="V333" s="41"/>
      <c r="W333" s="41"/>
      <c r="X333" s="42"/>
      <c r="Y333" s="41"/>
      <c r="Z333" s="41"/>
      <c r="AA333" s="94"/>
    </row>
    <row r="334" spans="1:27" x14ac:dyDescent="0.2">
      <c r="A334" s="44"/>
      <c r="B334" s="44"/>
      <c r="C334" s="91"/>
      <c r="D334" s="139"/>
      <c r="E334" s="44"/>
      <c r="F334" s="122"/>
      <c r="G334" s="123"/>
      <c r="H334" s="44"/>
      <c r="I334" s="93"/>
      <c r="J334" s="44"/>
      <c r="K334" s="44"/>
      <c r="L334" s="93"/>
      <c r="M334" s="124"/>
      <c r="N334" s="44"/>
      <c r="O334" s="92"/>
      <c r="P334" s="110"/>
      <c r="Q334" s="44"/>
      <c r="R334" s="92"/>
      <c r="S334" s="125"/>
      <c r="T334" s="44"/>
      <c r="U334" s="92"/>
      <c r="V334" s="44"/>
      <c r="W334" s="44"/>
      <c r="X334" s="92"/>
      <c r="Y334" s="44"/>
      <c r="Z334" s="44"/>
      <c r="AA334" s="91"/>
    </row>
    <row r="335" spans="1:27" x14ac:dyDescent="0.2">
      <c r="A335" s="41"/>
      <c r="B335" s="41"/>
      <c r="C335" s="94"/>
      <c r="D335" s="140"/>
      <c r="E335" s="41"/>
      <c r="F335" s="126"/>
      <c r="G335" s="127"/>
      <c r="H335" s="41"/>
      <c r="I335" s="95"/>
      <c r="J335" s="41"/>
      <c r="K335" s="41"/>
      <c r="L335" s="95"/>
      <c r="M335" s="128"/>
      <c r="N335" s="41"/>
      <c r="O335" s="42"/>
      <c r="P335" s="52"/>
      <c r="Q335" s="41"/>
      <c r="R335" s="42"/>
      <c r="S335" s="129"/>
      <c r="T335" s="41"/>
      <c r="U335" s="42"/>
      <c r="V335" s="41"/>
      <c r="W335" s="41"/>
      <c r="X335" s="42"/>
      <c r="Y335" s="41"/>
      <c r="Z335" s="41"/>
      <c r="AA335" s="94"/>
    </row>
    <row r="336" spans="1:27" x14ac:dyDescent="0.2">
      <c r="A336" s="44"/>
      <c r="B336" s="44"/>
      <c r="C336" s="91"/>
      <c r="D336" s="139"/>
      <c r="E336" s="44"/>
      <c r="F336" s="122"/>
      <c r="G336" s="123"/>
      <c r="H336" s="44"/>
      <c r="I336" s="93"/>
      <c r="J336" s="44"/>
      <c r="K336" s="44"/>
      <c r="L336" s="93"/>
      <c r="M336" s="124"/>
      <c r="N336" s="44"/>
      <c r="O336" s="92"/>
      <c r="P336" s="110"/>
      <c r="Q336" s="44"/>
      <c r="R336" s="92"/>
      <c r="S336" s="125"/>
      <c r="T336" s="44"/>
      <c r="U336" s="92"/>
      <c r="V336" s="44"/>
      <c r="W336" s="44"/>
      <c r="X336" s="92"/>
      <c r="Y336" s="44"/>
      <c r="Z336" s="44"/>
      <c r="AA336" s="91"/>
    </row>
    <row r="337" spans="1:27" x14ac:dyDescent="0.2">
      <c r="A337" s="41"/>
      <c r="B337" s="41"/>
      <c r="C337" s="94"/>
      <c r="D337" s="140"/>
      <c r="E337" s="41"/>
      <c r="F337" s="126"/>
      <c r="G337" s="127"/>
      <c r="H337" s="41"/>
      <c r="I337" s="95"/>
      <c r="J337" s="41"/>
      <c r="K337" s="41"/>
      <c r="L337" s="95"/>
      <c r="M337" s="128"/>
      <c r="N337" s="41"/>
      <c r="O337" s="42"/>
      <c r="P337" s="52"/>
      <c r="Q337" s="41"/>
      <c r="R337" s="42"/>
      <c r="S337" s="129"/>
      <c r="T337" s="41"/>
      <c r="U337" s="42"/>
      <c r="V337" s="41"/>
      <c r="W337" s="41"/>
      <c r="X337" s="42"/>
      <c r="Y337" s="41"/>
      <c r="Z337" s="41"/>
      <c r="AA337" s="94"/>
    </row>
    <row r="338" spans="1:27" x14ac:dyDescent="0.2">
      <c r="A338" s="44"/>
      <c r="B338" s="44"/>
      <c r="C338" s="91"/>
      <c r="D338" s="139"/>
      <c r="E338" s="44"/>
      <c r="F338" s="122"/>
      <c r="G338" s="123"/>
      <c r="H338" s="44"/>
      <c r="I338" s="93"/>
      <c r="J338" s="44"/>
      <c r="K338" s="44"/>
      <c r="L338" s="93"/>
      <c r="M338" s="124"/>
      <c r="N338" s="44"/>
      <c r="O338" s="92"/>
      <c r="P338" s="110"/>
      <c r="Q338" s="44"/>
      <c r="R338" s="92"/>
      <c r="S338" s="125"/>
      <c r="T338" s="44"/>
      <c r="U338" s="92"/>
      <c r="V338" s="44"/>
      <c r="W338" s="44"/>
      <c r="X338" s="92"/>
      <c r="Y338" s="44"/>
      <c r="Z338" s="44"/>
      <c r="AA338" s="91"/>
    </row>
    <row r="339" spans="1:27" x14ac:dyDescent="0.2">
      <c r="A339" s="41"/>
      <c r="B339" s="41"/>
      <c r="C339" s="94"/>
      <c r="D339" s="140"/>
      <c r="E339" s="41"/>
      <c r="F339" s="126"/>
      <c r="G339" s="127"/>
      <c r="H339" s="41"/>
      <c r="I339" s="95"/>
      <c r="J339" s="41"/>
      <c r="K339" s="41"/>
      <c r="L339" s="95"/>
      <c r="M339" s="128"/>
      <c r="N339" s="41"/>
      <c r="O339" s="42"/>
      <c r="P339" s="52"/>
      <c r="Q339" s="41"/>
      <c r="R339" s="42"/>
      <c r="S339" s="129"/>
      <c r="T339" s="41"/>
      <c r="U339" s="42"/>
      <c r="V339" s="41"/>
      <c r="W339" s="41"/>
      <c r="X339" s="42"/>
      <c r="Y339" s="41"/>
      <c r="Z339" s="41"/>
      <c r="AA339" s="94"/>
    </row>
    <row r="340" spans="1:27" x14ac:dyDescent="0.2">
      <c r="A340" s="44"/>
      <c r="B340" s="44"/>
      <c r="C340" s="91"/>
      <c r="D340" s="139"/>
      <c r="E340" s="44"/>
      <c r="F340" s="122"/>
      <c r="G340" s="123"/>
      <c r="H340" s="44"/>
      <c r="I340" s="93"/>
      <c r="J340" s="44"/>
      <c r="K340" s="44"/>
      <c r="L340" s="93"/>
      <c r="M340" s="124"/>
      <c r="N340" s="44"/>
      <c r="O340" s="92"/>
      <c r="P340" s="110"/>
      <c r="Q340" s="44"/>
      <c r="R340" s="92"/>
      <c r="S340" s="125"/>
      <c r="T340" s="44"/>
      <c r="U340" s="92"/>
      <c r="V340" s="44"/>
      <c r="W340" s="44"/>
      <c r="X340" s="92"/>
      <c r="Y340" s="44"/>
      <c r="Z340" s="44"/>
      <c r="AA340" s="91"/>
    </row>
    <row r="341" spans="1:27" x14ac:dyDescent="0.2">
      <c r="A341" s="41"/>
      <c r="B341" s="41"/>
      <c r="C341" s="94"/>
      <c r="D341" s="140"/>
      <c r="E341" s="41"/>
      <c r="F341" s="126"/>
      <c r="G341" s="127"/>
      <c r="H341" s="41"/>
      <c r="I341" s="95"/>
      <c r="J341" s="41"/>
      <c r="K341" s="41"/>
      <c r="L341" s="95"/>
      <c r="M341" s="128"/>
      <c r="N341" s="41"/>
      <c r="O341" s="42"/>
      <c r="P341" s="52"/>
      <c r="Q341" s="41"/>
      <c r="R341" s="42"/>
      <c r="S341" s="129"/>
      <c r="T341" s="41"/>
      <c r="U341" s="42"/>
      <c r="V341" s="41"/>
      <c r="W341" s="41"/>
      <c r="X341" s="42"/>
      <c r="Y341" s="41"/>
      <c r="Z341" s="41"/>
      <c r="AA341" s="94"/>
    </row>
    <row r="342" spans="1:27" x14ac:dyDescent="0.2">
      <c r="A342" s="44"/>
      <c r="B342" s="44"/>
      <c r="C342" s="91"/>
      <c r="D342" s="139"/>
      <c r="E342" s="44"/>
      <c r="F342" s="122"/>
      <c r="G342" s="123"/>
      <c r="H342" s="44"/>
      <c r="I342" s="93"/>
      <c r="J342" s="44"/>
      <c r="K342" s="44"/>
      <c r="L342" s="93"/>
      <c r="M342" s="124"/>
      <c r="N342" s="44"/>
      <c r="O342" s="92"/>
      <c r="P342" s="110"/>
      <c r="Q342" s="44"/>
      <c r="R342" s="92"/>
      <c r="S342" s="125"/>
      <c r="T342" s="44"/>
      <c r="U342" s="92"/>
      <c r="V342" s="44"/>
      <c r="W342" s="44"/>
      <c r="X342" s="92"/>
      <c r="Y342" s="44"/>
      <c r="Z342" s="44"/>
      <c r="AA342" s="91"/>
    </row>
    <row r="343" spans="1:27" x14ac:dyDescent="0.2">
      <c r="A343" s="41"/>
      <c r="B343" s="41"/>
      <c r="C343" s="94"/>
      <c r="D343" s="140"/>
      <c r="E343" s="41"/>
      <c r="F343" s="126"/>
      <c r="G343" s="127"/>
      <c r="H343" s="41"/>
      <c r="I343" s="95"/>
      <c r="J343" s="41"/>
      <c r="K343" s="41"/>
      <c r="L343" s="95"/>
      <c r="M343" s="128"/>
      <c r="N343" s="41"/>
      <c r="O343" s="42"/>
      <c r="P343" s="52"/>
      <c r="Q343" s="41"/>
      <c r="R343" s="42"/>
      <c r="S343" s="129"/>
      <c r="T343" s="41"/>
      <c r="U343" s="42"/>
      <c r="V343" s="41"/>
      <c r="W343" s="41"/>
      <c r="X343" s="42"/>
      <c r="Y343" s="41"/>
      <c r="Z343" s="41"/>
      <c r="AA343" s="94"/>
    </row>
    <row r="344" spans="1:27" x14ac:dyDescent="0.2">
      <c r="A344" s="44"/>
      <c r="B344" s="44"/>
      <c r="C344" s="91"/>
      <c r="D344" s="139"/>
      <c r="E344" s="44"/>
      <c r="F344" s="122"/>
      <c r="G344" s="123"/>
      <c r="H344" s="44"/>
      <c r="I344" s="93"/>
      <c r="J344" s="44"/>
      <c r="K344" s="44"/>
      <c r="L344" s="93"/>
      <c r="M344" s="124"/>
      <c r="N344" s="44"/>
      <c r="O344" s="92"/>
      <c r="P344" s="110"/>
      <c r="Q344" s="44"/>
      <c r="R344" s="92"/>
      <c r="S344" s="125"/>
      <c r="T344" s="44"/>
      <c r="U344" s="92"/>
      <c r="V344" s="44"/>
      <c r="W344" s="44"/>
      <c r="X344" s="92"/>
      <c r="Y344" s="44"/>
      <c r="Z344" s="44"/>
      <c r="AA344" s="91"/>
    </row>
    <row r="345" spans="1:27" x14ac:dyDescent="0.2">
      <c r="A345" s="41"/>
      <c r="B345" s="41"/>
      <c r="C345" s="94"/>
      <c r="D345" s="140"/>
      <c r="E345" s="41"/>
      <c r="F345" s="126"/>
      <c r="G345" s="127"/>
      <c r="H345" s="41"/>
      <c r="I345" s="95"/>
      <c r="J345" s="41"/>
      <c r="K345" s="41"/>
      <c r="L345" s="95"/>
      <c r="M345" s="128"/>
      <c r="N345" s="41"/>
      <c r="O345" s="42"/>
      <c r="P345" s="52"/>
      <c r="Q345" s="41"/>
      <c r="R345" s="42"/>
      <c r="S345" s="129"/>
      <c r="T345" s="41"/>
      <c r="U345" s="42"/>
      <c r="V345" s="41"/>
      <c r="W345" s="41"/>
      <c r="X345" s="42"/>
      <c r="Y345" s="41"/>
      <c r="Z345" s="41"/>
      <c r="AA345" s="94"/>
    </row>
    <row r="346" spans="1:27" x14ac:dyDescent="0.2">
      <c r="A346" s="44"/>
      <c r="B346" s="44"/>
      <c r="C346" s="91"/>
      <c r="D346" s="139"/>
      <c r="E346" s="44"/>
      <c r="F346" s="122"/>
      <c r="G346" s="123"/>
      <c r="H346" s="44"/>
      <c r="I346" s="93"/>
      <c r="J346" s="44"/>
      <c r="K346" s="44"/>
      <c r="L346" s="93"/>
      <c r="M346" s="124"/>
      <c r="N346" s="44"/>
      <c r="O346" s="92"/>
      <c r="P346" s="110"/>
      <c r="Q346" s="44"/>
      <c r="R346" s="92"/>
      <c r="S346" s="125"/>
      <c r="T346" s="44"/>
      <c r="U346" s="92"/>
      <c r="V346" s="44"/>
      <c r="W346" s="44"/>
      <c r="X346" s="92"/>
      <c r="Y346" s="44"/>
      <c r="Z346" s="44"/>
      <c r="AA346" s="91"/>
    </row>
    <row r="347" spans="1:27" x14ac:dyDescent="0.2">
      <c r="A347" s="41"/>
      <c r="B347" s="41"/>
      <c r="C347" s="94"/>
      <c r="D347" s="140"/>
      <c r="E347" s="41"/>
      <c r="F347" s="126"/>
      <c r="G347" s="127"/>
      <c r="H347" s="41"/>
      <c r="I347" s="95"/>
      <c r="J347" s="41"/>
      <c r="K347" s="41"/>
      <c r="L347" s="95"/>
      <c r="M347" s="128"/>
      <c r="N347" s="41"/>
      <c r="O347" s="42"/>
      <c r="P347" s="52"/>
      <c r="Q347" s="41"/>
      <c r="R347" s="42"/>
      <c r="S347" s="129"/>
      <c r="T347" s="41"/>
      <c r="U347" s="42"/>
      <c r="V347" s="41"/>
      <c r="W347" s="41"/>
      <c r="X347" s="42"/>
      <c r="Y347" s="41"/>
      <c r="Z347" s="41"/>
      <c r="AA347" s="94"/>
    </row>
    <row r="348" spans="1:27" x14ac:dyDescent="0.2">
      <c r="A348" s="44"/>
      <c r="B348" s="44"/>
      <c r="C348" s="91"/>
      <c r="D348" s="139"/>
      <c r="E348" s="44"/>
      <c r="F348" s="122"/>
      <c r="G348" s="123"/>
      <c r="H348" s="44"/>
      <c r="I348" s="93"/>
      <c r="J348" s="44"/>
      <c r="K348" s="44"/>
      <c r="L348" s="93"/>
      <c r="M348" s="124"/>
      <c r="N348" s="44"/>
      <c r="O348" s="92"/>
      <c r="P348" s="110"/>
      <c r="Q348" s="44"/>
      <c r="R348" s="92"/>
      <c r="S348" s="125"/>
      <c r="T348" s="44"/>
      <c r="U348" s="92"/>
      <c r="V348" s="44"/>
      <c r="W348" s="44"/>
      <c r="X348" s="92"/>
      <c r="Y348" s="44"/>
      <c r="Z348" s="44"/>
      <c r="AA348" s="91"/>
    </row>
    <row r="349" spans="1:27" x14ac:dyDescent="0.2">
      <c r="A349" s="41"/>
      <c r="B349" s="41"/>
      <c r="C349" s="94"/>
      <c r="D349" s="140"/>
      <c r="E349" s="41"/>
      <c r="F349" s="127"/>
      <c r="G349" s="127"/>
      <c r="H349" s="41"/>
      <c r="I349" s="95"/>
      <c r="J349" s="41"/>
      <c r="K349" s="41"/>
      <c r="L349" s="95"/>
      <c r="M349" s="128"/>
      <c r="N349" s="41"/>
      <c r="O349" s="42"/>
      <c r="P349" s="52"/>
      <c r="Q349" s="41"/>
      <c r="R349" s="42"/>
      <c r="S349" s="129"/>
      <c r="T349" s="41"/>
      <c r="U349" s="42"/>
      <c r="V349" s="41"/>
      <c r="W349" s="41"/>
      <c r="X349" s="42"/>
      <c r="Y349" s="41"/>
      <c r="Z349" s="41"/>
      <c r="AA349" s="94"/>
    </row>
    <row r="350" spans="1:27" x14ac:dyDescent="0.2">
      <c r="A350" s="44"/>
      <c r="B350" s="44"/>
      <c r="C350" s="91"/>
      <c r="D350" s="139"/>
      <c r="E350" s="44"/>
      <c r="F350" s="122"/>
      <c r="G350" s="123"/>
      <c r="H350" s="44"/>
      <c r="I350" s="93"/>
      <c r="J350" s="44"/>
      <c r="K350" s="44"/>
      <c r="L350" s="93"/>
      <c r="M350" s="124"/>
      <c r="N350" s="44"/>
      <c r="O350" s="92"/>
      <c r="P350" s="110"/>
      <c r="Q350" s="44"/>
      <c r="R350" s="92"/>
      <c r="S350" s="125"/>
      <c r="T350" s="44"/>
      <c r="U350" s="92"/>
      <c r="V350" s="44"/>
      <c r="W350" s="44"/>
      <c r="X350" s="92"/>
      <c r="Y350" s="44"/>
      <c r="Z350" s="44"/>
      <c r="AA350" s="91"/>
    </row>
    <row r="351" spans="1:27" x14ac:dyDescent="0.2">
      <c r="A351" s="41"/>
      <c r="B351" s="41"/>
      <c r="C351" s="94"/>
      <c r="D351" s="140"/>
      <c r="E351" s="41"/>
      <c r="F351" s="126"/>
      <c r="G351" s="127"/>
      <c r="H351" s="41"/>
      <c r="I351" s="95"/>
      <c r="J351" s="41"/>
      <c r="K351" s="41"/>
      <c r="L351" s="95"/>
      <c r="M351" s="128"/>
      <c r="N351" s="41"/>
      <c r="O351" s="42"/>
      <c r="P351" s="52"/>
      <c r="Q351" s="41"/>
      <c r="R351" s="42"/>
      <c r="S351" s="129"/>
      <c r="T351" s="41"/>
      <c r="U351" s="42"/>
      <c r="V351" s="41"/>
      <c r="W351" s="41"/>
      <c r="X351" s="42"/>
      <c r="Y351" s="41"/>
      <c r="Z351" s="41"/>
      <c r="AA351" s="94"/>
    </row>
    <row r="352" spans="1:27" x14ac:dyDescent="0.2">
      <c r="A352" s="44"/>
      <c r="B352" s="44"/>
      <c r="C352" s="91"/>
      <c r="D352" s="139"/>
      <c r="E352" s="44"/>
      <c r="F352" s="122"/>
      <c r="G352" s="123"/>
      <c r="H352" s="44"/>
      <c r="I352" s="93"/>
      <c r="J352" s="44"/>
      <c r="K352" s="44"/>
      <c r="L352" s="93"/>
      <c r="M352" s="124"/>
      <c r="N352" s="44"/>
      <c r="O352" s="92"/>
      <c r="P352" s="110"/>
      <c r="Q352" s="44"/>
      <c r="R352" s="92"/>
      <c r="S352" s="125"/>
      <c r="T352" s="44"/>
      <c r="U352" s="92"/>
      <c r="V352" s="44"/>
      <c r="W352" s="44"/>
      <c r="X352" s="92"/>
      <c r="Y352" s="44"/>
      <c r="Z352" s="44"/>
      <c r="AA352" s="91"/>
    </row>
    <row r="353" spans="1:27" x14ac:dyDescent="0.2">
      <c r="A353" s="41"/>
      <c r="B353" s="41"/>
      <c r="C353" s="94"/>
      <c r="D353" s="140"/>
      <c r="E353" s="41"/>
      <c r="F353" s="126"/>
      <c r="G353" s="127"/>
      <c r="H353" s="41"/>
      <c r="I353" s="95"/>
      <c r="J353" s="41"/>
      <c r="K353" s="41"/>
      <c r="L353" s="95"/>
      <c r="M353" s="128"/>
      <c r="N353" s="41"/>
      <c r="O353" s="42"/>
      <c r="P353" s="52"/>
      <c r="Q353" s="41"/>
      <c r="R353" s="42"/>
      <c r="S353" s="129"/>
      <c r="T353" s="41"/>
      <c r="U353" s="42"/>
      <c r="V353" s="41"/>
      <c r="W353" s="41"/>
      <c r="X353" s="42"/>
      <c r="Y353" s="41"/>
      <c r="Z353" s="41"/>
      <c r="AA353" s="94"/>
    </row>
    <row r="354" spans="1:27" x14ac:dyDescent="0.2">
      <c r="A354" s="44"/>
      <c r="B354" s="44"/>
      <c r="C354" s="91"/>
      <c r="D354" s="139"/>
      <c r="E354" s="44"/>
      <c r="F354" s="122"/>
      <c r="G354" s="123"/>
      <c r="H354" s="44"/>
      <c r="I354" s="93"/>
      <c r="J354" s="44"/>
      <c r="K354" s="44"/>
      <c r="L354" s="93"/>
      <c r="M354" s="124"/>
      <c r="N354" s="44"/>
      <c r="O354" s="92"/>
      <c r="P354" s="110"/>
      <c r="Q354" s="44"/>
      <c r="R354" s="92"/>
      <c r="S354" s="125"/>
      <c r="T354" s="44"/>
      <c r="U354" s="92"/>
      <c r="V354" s="44"/>
      <c r="W354" s="44"/>
      <c r="X354" s="92"/>
      <c r="Y354" s="44"/>
      <c r="Z354" s="44"/>
      <c r="AA354" s="91"/>
    </row>
    <row r="355" spans="1:27" x14ac:dyDescent="0.2">
      <c r="A355" s="41"/>
      <c r="B355" s="41"/>
      <c r="C355" s="94"/>
      <c r="D355" s="140"/>
      <c r="E355" s="41"/>
      <c r="F355" s="126"/>
      <c r="G355" s="127"/>
      <c r="H355" s="41"/>
      <c r="I355" s="95"/>
      <c r="J355" s="41"/>
      <c r="K355" s="41"/>
      <c r="L355" s="95"/>
      <c r="M355" s="128"/>
      <c r="N355" s="41"/>
      <c r="O355" s="42"/>
      <c r="P355" s="52"/>
      <c r="Q355" s="41"/>
      <c r="R355" s="42"/>
      <c r="S355" s="129"/>
      <c r="T355" s="41"/>
      <c r="U355" s="42"/>
      <c r="V355" s="41"/>
      <c r="W355" s="41"/>
      <c r="X355" s="42"/>
      <c r="Y355" s="41"/>
      <c r="Z355" s="41"/>
      <c r="AA355" s="94"/>
    </row>
    <row r="356" spans="1:27" x14ac:dyDescent="0.2">
      <c r="A356" s="44"/>
      <c r="B356" s="44"/>
      <c r="C356" s="91"/>
      <c r="D356" s="139"/>
      <c r="E356" s="44"/>
      <c r="F356" s="122"/>
      <c r="G356" s="123"/>
      <c r="H356" s="44"/>
      <c r="I356" s="93"/>
      <c r="J356" s="44"/>
      <c r="K356" s="44"/>
      <c r="L356" s="93"/>
      <c r="M356" s="124"/>
      <c r="N356" s="44"/>
      <c r="O356" s="92"/>
      <c r="P356" s="110"/>
      <c r="Q356" s="44"/>
      <c r="R356" s="92"/>
      <c r="S356" s="125"/>
      <c r="T356" s="44"/>
      <c r="U356" s="92"/>
      <c r="V356" s="44"/>
      <c r="W356" s="44"/>
      <c r="X356" s="92"/>
      <c r="Y356" s="44"/>
      <c r="Z356" s="44"/>
      <c r="AA356" s="91"/>
    </row>
    <row r="357" spans="1:27" x14ac:dyDescent="0.2">
      <c r="A357" s="96"/>
      <c r="B357" s="44"/>
      <c r="C357" s="91"/>
      <c r="D357" s="139"/>
      <c r="E357" s="44"/>
      <c r="F357" s="122"/>
      <c r="G357" s="123"/>
      <c r="H357" s="44"/>
      <c r="I357" s="93"/>
      <c r="J357" s="44"/>
      <c r="K357" s="44"/>
      <c r="L357" s="93"/>
      <c r="M357" s="124"/>
      <c r="N357" s="44"/>
      <c r="O357" s="92"/>
      <c r="P357" s="110"/>
      <c r="Q357" s="44"/>
      <c r="R357" s="92"/>
      <c r="S357" s="125"/>
      <c r="T357" s="44"/>
      <c r="U357" s="92"/>
      <c r="V357" s="44"/>
      <c r="W357" s="44"/>
      <c r="X357" s="92"/>
      <c r="Y357" s="96"/>
      <c r="Z357" s="44"/>
      <c r="AA357" s="91"/>
    </row>
    <row r="358" spans="1:27" x14ac:dyDescent="0.2">
      <c r="A358" s="97"/>
      <c r="B358" s="41"/>
      <c r="C358" s="94"/>
      <c r="D358" s="140"/>
      <c r="E358" s="41"/>
      <c r="F358" s="126"/>
      <c r="G358" s="127"/>
      <c r="H358" s="41"/>
      <c r="I358" s="95"/>
      <c r="J358" s="41"/>
      <c r="K358" s="41"/>
      <c r="L358" s="95"/>
      <c r="M358" s="128"/>
      <c r="N358" s="41"/>
      <c r="O358" s="42"/>
      <c r="P358" s="52"/>
      <c r="Q358" s="41"/>
      <c r="R358" s="42"/>
      <c r="S358" s="129"/>
      <c r="T358" s="41"/>
      <c r="U358" s="42"/>
      <c r="V358" s="41"/>
      <c r="W358" s="41"/>
      <c r="X358" s="42"/>
      <c r="Y358" s="97"/>
      <c r="Z358" s="41"/>
      <c r="AA358" s="94"/>
    </row>
    <row r="359" spans="1:27" x14ac:dyDescent="0.2">
      <c r="A359" s="96"/>
      <c r="B359" s="44"/>
      <c r="C359" s="91"/>
      <c r="D359" s="139"/>
      <c r="E359" s="44"/>
      <c r="F359" s="122"/>
      <c r="G359" s="123"/>
      <c r="H359" s="44"/>
      <c r="I359" s="93"/>
      <c r="J359" s="44"/>
      <c r="K359" s="44"/>
      <c r="L359" s="93"/>
      <c r="M359" s="124"/>
      <c r="N359" s="44"/>
      <c r="O359" s="92"/>
      <c r="P359" s="110"/>
      <c r="Q359" s="44"/>
      <c r="R359" s="92"/>
      <c r="S359" s="125"/>
      <c r="T359" s="44"/>
      <c r="U359" s="92"/>
      <c r="V359" s="44"/>
      <c r="W359" s="44"/>
      <c r="X359" s="92"/>
      <c r="Y359" s="96"/>
      <c r="Z359" s="44"/>
      <c r="AA359" s="91"/>
    </row>
    <row r="360" spans="1:27" x14ac:dyDescent="0.2">
      <c r="A360" s="97"/>
      <c r="B360" s="41"/>
      <c r="C360" s="94"/>
      <c r="D360" s="140"/>
      <c r="E360" s="41"/>
      <c r="F360" s="126"/>
      <c r="G360" s="127"/>
      <c r="H360" s="41"/>
      <c r="I360" s="95"/>
      <c r="J360" s="41"/>
      <c r="K360" s="41"/>
      <c r="L360" s="95"/>
      <c r="M360" s="128"/>
      <c r="N360" s="41"/>
      <c r="O360" s="42"/>
      <c r="P360" s="52"/>
      <c r="Q360" s="41"/>
      <c r="R360" s="42"/>
      <c r="S360" s="129"/>
      <c r="T360" s="41"/>
      <c r="U360" s="42"/>
      <c r="V360" s="41"/>
      <c r="W360" s="41"/>
      <c r="X360" s="42"/>
      <c r="Y360" s="97"/>
      <c r="Z360" s="41"/>
      <c r="AA360" s="94"/>
    </row>
    <row r="361" spans="1:27" x14ac:dyDescent="0.2">
      <c r="A361" s="97"/>
      <c r="B361" s="41"/>
      <c r="C361" s="94"/>
      <c r="D361" s="140"/>
      <c r="E361" s="41"/>
      <c r="F361" s="126"/>
      <c r="G361" s="127"/>
      <c r="H361" s="41"/>
      <c r="I361" s="95"/>
      <c r="J361" s="41"/>
      <c r="K361" s="41"/>
      <c r="L361" s="95"/>
      <c r="M361" s="128"/>
      <c r="N361" s="41"/>
      <c r="O361" s="42"/>
      <c r="P361" s="52"/>
      <c r="Q361" s="41"/>
      <c r="R361" s="42"/>
      <c r="S361" s="129"/>
      <c r="T361" s="41"/>
      <c r="U361" s="42"/>
      <c r="V361" s="41"/>
      <c r="W361" s="41"/>
      <c r="X361" s="42"/>
      <c r="Y361" s="97"/>
      <c r="Z361" s="41"/>
      <c r="AA361" s="94"/>
    </row>
    <row r="362" spans="1:27" x14ac:dyDescent="0.2">
      <c r="A362" s="97"/>
      <c r="B362" s="41"/>
      <c r="C362" s="94"/>
      <c r="D362" s="140"/>
      <c r="E362" s="41"/>
      <c r="F362" s="126"/>
      <c r="G362" s="127"/>
      <c r="H362" s="41"/>
      <c r="I362" s="95"/>
      <c r="J362" s="41"/>
      <c r="K362" s="41"/>
      <c r="L362" s="95"/>
      <c r="M362" s="128"/>
      <c r="N362" s="41"/>
      <c r="O362" s="42"/>
      <c r="P362" s="52"/>
      <c r="Q362" s="41"/>
      <c r="R362" s="42"/>
      <c r="S362" s="129"/>
      <c r="T362" s="41"/>
      <c r="U362" s="42"/>
      <c r="V362" s="41"/>
      <c r="W362" s="41"/>
      <c r="X362" s="42"/>
      <c r="Y362" s="97"/>
      <c r="Z362" s="41"/>
      <c r="AA362" s="94"/>
    </row>
    <row r="363" spans="1:27" x14ac:dyDescent="0.2">
      <c r="A363" s="97"/>
      <c r="B363" s="41"/>
      <c r="C363" s="94"/>
      <c r="D363" s="140"/>
      <c r="E363" s="41"/>
      <c r="F363" s="126"/>
      <c r="G363" s="127"/>
      <c r="H363" s="41"/>
      <c r="I363" s="95"/>
      <c r="J363" s="41"/>
      <c r="K363" s="41"/>
      <c r="L363" s="95"/>
      <c r="M363" s="128"/>
      <c r="N363" s="41"/>
      <c r="O363" s="42"/>
      <c r="P363" s="52"/>
      <c r="Q363" s="41"/>
      <c r="R363" s="42"/>
      <c r="S363" s="129"/>
      <c r="T363" s="41"/>
      <c r="U363" s="42"/>
      <c r="V363" s="41"/>
      <c r="W363" s="41"/>
      <c r="X363" s="42"/>
      <c r="Y363" s="97"/>
      <c r="Z363" s="41"/>
      <c r="AA363" s="94"/>
    </row>
    <row r="364" spans="1:27" x14ac:dyDescent="0.2">
      <c r="A364" s="96"/>
      <c r="B364" s="44"/>
      <c r="C364" s="91"/>
      <c r="D364" s="139"/>
      <c r="E364" s="44"/>
      <c r="F364" s="122"/>
      <c r="G364" s="123"/>
      <c r="H364" s="44"/>
      <c r="I364" s="93"/>
      <c r="J364" s="44"/>
      <c r="K364" s="44"/>
      <c r="L364" s="93"/>
      <c r="M364" s="124"/>
      <c r="N364" s="44"/>
      <c r="O364" s="92"/>
      <c r="P364" s="110"/>
      <c r="Q364" s="44"/>
      <c r="R364" s="92"/>
      <c r="S364" s="125"/>
      <c r="T364" s="44"/>
      <c r="U364" s="92"/>
      <c r="V364" s="44"/>
      <c r="W364" s="44"/>
      <c r="X364" s="92"/>
      <c r="Y364" s="96"/>
      <c r="Z364" s="44"/>
      <c r="AA364" s="91"/>
    </row>
    <row r="365" spans="1:27" x14ac:dyDescent="0.2">
      <c r="A365" s="96"/>
      <c r="B365" s="44"/>
      <c r="C365" s="91"/>
      <c r="D365" s="139"/>
      <c r="E365" s="44"/>
      <c r="F365" s="122"/>
      <c r="G365" s="123"/>
      <c r="H365" s="44"/>
      <c r="I365" s="93"/>
      <c r="J365" s="44"/>
      <c r="K365" s="44"/>
      <c r="L365" s="93"/>
      <c r="M365" s="124"/>
      <c r="N365" s="44"/>
      <c r="O365" s="92"/>
      <c r="P365" s="110"/>
      <c r="Q365" s="44"/>
      <c r="R365" s="92"/>
      <c r="S365" s="125"/>
      <c r="T365" s="44"/>
      <c r="U365" s="92"/>
      <c r="V365" s="44"/>
      <c r="W365" s="44"/>
      <c r="X365" s="92"/>
      <c r="Y365" s="96"/>
      <c r="Z365" s="44"/>
      <c r="AA365" s="91"/>
    </row>
    <row r="366" spans="1:27" x14ac:dyDescent="0.2">
      <c r="A366" s="96"/>
      <c r="B366" s="44"/>
      <c r="C366" s="91"/>
      <c r="D366" s="139"/>
      <c r="E366" s="44"/>
      <c r="F366" s="122"/>
      <c r="G366" s="123"/>
      <c r="H366" s="44"/>
      <c r="I366" s="93"/>
      <c r="J366" s="44"/>
      <c r="K366" s="44"/>
      <c r="L366" s="93"/>
      <c r="M366" s="124"/>
      <c r="N366" s="44"/>
      <c r="O366" s="92"/>
      <c r="P366" s="110"/>
      <c r="Q366" s="44"/>
      <c r="R366" s="92"/>
      <c r="S366" s="125"/>
      <c r="T366" s="44"/>
      <c r="U366" s="92"/>
      <c r="V366" s="44"/>
      <c r="W366" s="44"/>
      <c r="X366" s="92"/>
      <c r="Y366" s="96"/>
      <c r="Z366" s="44"/>
      <c r="AA366" s="91"/>
    </row>
    <row r="367" spans="1:27" x14ac:dyDescent="0.2">
      <c r="A367" s="96"/>
      <c r="B367" s="44"/>
      <c r="C367" s="91"/>
      <c r="D367" s="139"/>
      <c r="E367" s="44"/>
      <c r="F367" s="122"/>
      <c r="G367" s="123"/>
      <c r="H367" s="44"/>
      <c r="I367" s="93"/>
      <c r="J367" s="44"/>
      <c r="K367" s="44"/>
      <c r="L367" s="93"/>
      <c r="M367" s="124"/>
      <c r="N367" s="44"/>
      <c r="O367" s="92"/>
      <c r="P367" s="110"/>
      <c r="Q367" s="44"/>
      <c r="R367" s="92"/>
      <c r="S367" s="125"/>
      <c r="T367" s="44"/>
      <c r="U367" s="92"/>
      <c r="V367" s="44"/>
      <c r="W367" s="44"/>
      <c r="X367" s="92"/>
      <c r="Y367" s="96"/>
      <c r="Z367" s="44"/>
      <c r="AA367" s="91"/>
    </row>
    <row r="368" spans="1:27" x14ac:dyDescent="0.2">
      <c r="A368" s="96"/>
      <c r="B368" s="44"/>
      <c r="C368" s="91"/>
      <c r="D368" s="139"/>
      <c r="E368" s="44"/>
      <c r="F368" s="122"/>
      <c r="G368" s="123"/>
      <c r="H368" s="44"/>
      <c r="I368" s="93"/>
      <c r="J368" s="44"/>
      <c r="K368" s="44"/>
      <c r="L368" s="93"/>
      <c r="M368" s="124"/>
      <c r="N368" s="44"/>
      <c r="O368" s="92"/>
      <c r="P368" s="110"/>
      <c r="Q368" s="44"/>
      <c r="R368" s="92"/>
      <c r="S368" s="125"/>
      <c r="T368" s="44"/>
      <c r="U368" s="92"/>
      <c r="V368" s="44"/>
      <c r="W368" s="44"/>
      <c r="X368" s="92"/>
      <c r="Y368" s="96"/>
      <c r="Z368" s="44"/>
      <c r="AA368" s="91"/>
    </row>
    <row r="369" spans="1:27" x14ac:dyDescent="0.2">
      <c r="A369" s="97"/>
      <c r="B369" s="41"/>
      <c r="C369" s="94"/>
      <c r="D369" s="140"/>
      <c r="E369" s="41"/>
      <c r="F369" s="126"/>
      <c r="G369" s="127"/>
      <c r="H369" s="41"/>
      <c r="I369" s="95"/>
      <c r="J369" s="41"/>
      <c r="K369" s="41"/>
      <c r="L369" s="95"/>
      <c r="M369" s="128"/>
      <c r="N369" s="41"/>
      <c r="O369" s="42"/>
      <c r="P369" s="52"/>
      <c r="Q369" s="41"/>
      <c r="R369" s="42"/>
      <c r="S369" s="129"/>
      <c r="T369" s="41"/>
      <c r="U369" s="42"/>
      <c r="V369" s="41"/>
      <c r="W369" s="41"/>
      <c r="X369" s="42"/>
      <c r="Y369" s="97"/>
      <c r="Z369" s="41"/>
      <c r="AA369" s="94"/>
    </row>
    <row r="370" spans="1:27" x14ac:dyDescent="0.2">
      <c r="A370" s="96"/>
      <c r="B370" s="44"/>
      <c r="C370" s="91"/>
      <c r="D370" s="139"/>
      <c r="E370" s="44"/>
      <c r="F370" s="122"/>
      <c r="G370" s="123"/>
      <c r="H370" s="44"/>
      <c r="I370" s="93"/>
      <c r="J370" s="44"/>
      <c r="K370" s="44"/>
      <c r="L370" s="93"/>
      <c r="M370" s="124"/>
      <c r="N370" s="44"/>
      <c r="O370" s="92"/>
      <c r="P370" s="110"/>
      <c r="Q370" s="44"/>
      <c r="R370" s="92"/>
      <c r="S370" s="125"/>
      <c r="T370" s="44"/>
      <c r="U370" s="92"/>
      <c r="V370" s="44"/>
      <c r="W370" s="44"/>
      <c r="X370" s="92"/>
      <c r="Y370" s="96"/>
      <c r="Z370" s="44"/>
      <c r="AA370" s="91"/>
    </row>
    <row r="371" spans="1:27" x14ac:dyDescent="0.2">
      <c r="A371" s="97"/>
      <c r="B371" s="41"/>
      <c r="C371" s="94"/>
      <c r="D371" s="140"/>
      <c r="E371" s="41"/>
      <c r="F371" s="126"/>
      <c r="G371" s="127"/>
      <c r="H371" s="41"/>
      <c r="I371" s="95"/>
      <c r="J371" s="41"/>
      <c r="K371" s="41"/>
      <c r="L371" s="95"/>
      <c r="M371" s="128"/>
      <c r="N371" s="41"/>
      <c r="O371" s="42"/>
      <c r="P371" s="52"/>
      <c r="Q371" s="41"/>
      <c r="R371" s="42"/>
      <c r="S371" s="129"/>
      <c r="T371" s="41"/>
      <c r="U371" s="42"/>
      <c r="V371" s="41"/>
      <c r="W371" s="41"/>
      <c r="X371" s="42"/>
      <c r="Y371" s="97"/>
      <c r="Z371" s="41"/>
      <c r="AA371" s="94"/>
    </row>
    <row r="372" spans="1:27" x14ac:dyDescent="0.2">
      <c r="A372" s="96"/>
      <c r="B372" s="44"/>
      <c r="C372" s="91"/>
      <c r="D372" s="139"/>
      <c r="E372" s="44"/>
      <c r="F372" s="122"/>
      <c r="G372" s="123"/>
      <c r="H372" s="44"/>
      <c r="I372" s="93"/>
      <c r="J372" s="44"/>
      <c r="K372" s="44"/>
      <c r="L372" s="93"/>
      <c r="M372" s="124"/>
      <c r="N372" s="44"/>
      <c r="O372" s="92"/>
      <c r="P372" s="110"/>
      <c r="Q372" s="44"/>
      <c r="R372" s="92"/>
      <c r="S372" s="125"/>
      <c r="T372" s="44"/>
      <c r="U372" s="92"/>
      <c r="V372" s="44"/>
      <c r="W372" s="44"/>
      <c r="X372" s="92"/>
      <c r="Y372" s="96"/>
      <c r="Z372" s="44"/>
      <c r="AA372" s="91"/>
    </row>
    <row r="373" spans="1:27" x14ac:dyDescent="0.2">
      <c r="A373" s="96"/>
      <c r="B373" s="44"/>
      <c r="C373" s="91"/>
      <c r="D373" s="139"/>
      <c r="E373" s="44"/>
      <c r="F373" s="122"/>
      <c r="G373" s="123"/>
      <c r="H373" s="44"/>
      <c r="I373" s="93"/>
      <c r="J373" s="44"/>
      <c r="K373" s="44"/>
      <c r="L373" s="93"/>
      <c r="M373" s="124"/>
      <c r="N373" s="44"/>
      <c r="O373" s="92"/>
      <c r="P373" s="110"/>
      <c r="Q373" s="44"/>
      <c r="R373" s="92"/>
      <c r="S373" s="125"/>
      <c r="T373" s="44"/>
      <c r="U373" s="92"/>
      <c r="V373" s="44"/>
      <c r="W373" s="44"/>
      <c r="X373" s="92"/>
      <c r="Y373" s="96"/>
      <c r="Z373" s="44"/>
      <c r="AA373" s="91"/>
    </row>
    <row r="374" spans="1:27" x14ac:dyDescent="0.2">
      <c r="A374" s="97"/>
      <c r="B374" s="41"/>
      <c r="C374" s="94"/>
      <c r="D374" s="140"/>
      <c r="E374" s="41"/>
      <c r="F374" s="126"/>
      <c r="G374" s="127"/>
      <c r="H374" s="41"/>
      <c r="I374" s="95"/>
      <c r="J374" s="41"/>
      <c r="K374" s="41"/>
      <c r="L374" s="95"/>
      <c r="M374" s="128"/>
      <c r="N374" s="41"/>
      <c r="O374" s="42"/>
      <c r="P374" s="52"/>
      <c r="Q374" s="41"/>
      <c r="R374" s="42"/>
      <c r="S374" s="129"/>
      <c r="T374" s="41"/>
      <c r="U374" s="42"/>
      <c r="V374" s="41"/>
      <c r="W374" s="41"/>
      <c r="X374" s="42"/>
      <c r="Y374" s="97"/>
      <c r="Z374" s="41"/>
      <c r="AA374" s="94"/>
    </row>
    <row r="375" spans="1:27" x14ac:dyDescent="0.2">
      <c r="A375" s="96"/>
      <c r="B375" s="44"/>
      <c r="C375" s="91"/>
      <c r="D375" s="139"/>
      <c r="E375" s="44"/>
      <c r="F375" s="122"/>
      <c r="G375" s="123"/>
      <c r="H375" s="44"/>
      <c r="I375" s="93"/>
      <c r="J375" s="44"/>
      <c r="K375" s="44"/>
      <c r="L375" s="93"/>
      <c r="M375" s="124"/>
      <c r="N375" s="44"/>
      <c r="O375" s="92"/>
      <c r="P375" s="110"/>
      <c r="Q375" s="44"/>
      <c r="R375" s="92"/>
      <c r="S375" s="125"/>
      <c r="T375" s="44"/>
      <c r="U375" s="92"/>
      <c r="V375" s="44"/>
      <c r="W375" s="44"/>
      <c r="X375" s="92"/>
      <c r="Y375" s="96"/>
      <c r="Z375" s="44"/>
      <c r="AA375" s="91"/>
    </row>
    <row r="376" spans="1:27" x14ac:dyDescent="0.2">
      <c r="A376" s="96"/>
      <c r="B376" s="44"/>
      <c r="C376" s="91"/>
      <c r="D376" s="139"/>
      <c r="E376" s="44"/>
      <c r="F376" s="122"/>
      <c r="G376" s="123"/>
      <c r="H376" s="44"/>
      <c r="I376" s="93"/>
      <c r="J376" s="44"/>
      <c r="K376" s="44"/>
      <c r="L376" s="93"/>
      <c r="M376" s="124"/>
      <c r="N376" s="44"/>
      <c r="O376" s="92"/>
      <c r="P376" s="110"/>
      <c r="Q376" s="44"/>
      <c r="R376" s="92"/>
      <c r="S376" s="125"/>
      <c r="T376" s="44"/>
      <c r="U376" s="92"/>
      <c r="V376" s="44"/>
      <c r="W376" s="44"/>
      <c r="X376" s="92"/>
      <c r="Y376" s="96"/>
      <c r="Z376" s="44"/>
      <c r="AA376" s="91"/>
    </row>
    <row r="377" spans="1:27" x14ac:dyDescent="0.2">
      <c r="A377" s="97"/>
      <c r="B377" s="41"/>
      <c r="C377" s="94"/>
      <c r="D377" s="140"/>
      <c r="E377" s="41"/>
      <c r="F377" s="126"/>
      <c r="G377" s="127"/>
      <c r="H377" s="41"/>
      <c r="I377" s="95"/>
      <c r="J377" s="41"/>
      <c r="K377" s="41"/>
      <c r="L377" s="95"/>
      <c r="M377" s="128"/>
      <c r="N377" s="41"/>
      <c r="O377" s="42"/>
      <c r="P377" s="52"/>
      <c r="Q377" s="41"/>
      <c r="R377" s="42"/>
      <c r="S377" s="129"/>
      <c r="T377" s="41"/>
      <c r="U377" s="42"/>
      <c r="V377" s="41"/>
      <c r="W377" s="41"/>
      <c r="X377" s="42"/>
      <c r="Y377" s="97"/>
      <c r="Z377" s="41"/>
      <c r="AA377" s="94"/>
    </row>
    <row r="378" spans="1:27" x14ac:dyDescent="0.2">
      <c r="A378" s="97"/>
      <c r="B378" s="41"/>
      <c r="C378" s="94"/>
      <c r="D378" s="140"/>
      <c r="E378" s="41"/>
      <c r="F378" s="126"/>
      <c r="G378" s="127"/>
      <c r="H378" s="41"/>
      <c r="I378" s="95"/>
      <c r="J378" s="41"/>
      <c r="K378" s="41"/>
      <c r="L378" s="95"/>
      <c r="M378" s="128"/>
      <c r="N378" s="41"/>
      <c r="O378" s="42"/>
      <c r="P378" s="52"/>
      <c r="Q378" s="41"/>
      <c r="R378" s="42"/>
      <c r="S378" s="129"/>
      <c r="T378" s="41"/>
      <c r="U378" s="42"/>
      <c r="V378" s="41"/>
      <c r="W378" s="41"/>
      <c r="X378" s="42"/>
      <c r="Y378" s="97"/>
      <c r="Z378" s="41"/>
      <c r="AA378" s="94"/>
    </row>
    <row r="379" spans="1:27" x14ac:dyDescent="0.2">
      <c r="A379" s="96"/>
      <c r="B379" s="44"/>
      <c r="C379" s="91"/>
      <c r="D379" s="139"/>
      <c r="E379" s="44"/>
      <c r="F379" s="122"/>
      <c r="G379" s="123"/>
      <c r="H379" s="44"/>
      <c r="I379" s="93"/>
      <c r="J379" s="44"/>
      <c r="K379" s="44"/>
      <c r="L379" s="93"/>
      <c r="M379" s="124"/>
      <c r="N379" s="44"/>
      <c r="O379" s="92"/>
      <c r="P379" s="110"/>
      <c r="Q379" s="44"/>
      <c r="R379" s="92"/>
      <c r="S379" s="125"/>
      <c r="T379" s="44"/>
      <c r="U379" s="92"/>
      <c r="V379" s="44"/>
      <c r="W379" s="44"/>
      <c r="X379" s="92"/>
      <c r="Y379" s="96"/>
      <c r="Z379" s="44"/>
      <c r="AA379" s="91"/>
    </row>
    <row r="380" spans="1:27" x14ac:dyDescent="0.2">
      <c r="A380" s="96"/>
      <c r="B380" s="44"/>
      <c r="C380" s="91"/>
      <c r="D380" s="139"/>
      <c r="E380" s="44"/>
      <c r="F380" s="122"/>
      <c r="G380" s="123"/>
      <c r="H380" s="44"/>
      <c r="I380" s="93"/>
      <c r="J380" s="44"/>
      <c r="K380" s="44"/>
      <c r="L380" s="93"/>
      <c r="M380" s="124"/>
      <c r="N380" s="44"/>
      <c r="O380" s="92"/>
      <c r="P380" s="110"/>
      <c r="Q380" s="44"/>
      <c r="R380" s="92"/>
      <c r="S380" s="125"/>
      <c r="T380" s="44"/>
      <c r="U380" s="92"/>
      <c r="V380" s="44"/>
      <c r="W380" s="44"/>
      <c r="X380" s="92"/>
      <c r="Y380" s="96"/>
      <c r="Z380" s="44"/>
      <c r="AA380" s="91"/>
    </row>
    <row r="381" spans="1:27" x14ac:dyDescent="0.2">
      <c r="A381" s="97"/>
      <c r="B381" s="41"/>
      <c r="C381" s="94"/>
      <c r="D381" s="140"/>
      <c r="E381" s="41"/>
      <c r="F381" s="126"/>
      <c r="G381" s="127"/>
      <c r="H381" s="41"/>
      <c r="I381" s="95"/>
      <c r="J381" s="41"/>
      <c r="K381" s="41"/>
      <c r="L381" s="95"/>
      <c r="M381" s="128"/>
      <c r="N381" s="41"/>
      <c r="O381" s="42"/>
      <c r="P381" s="52"/>
      <c r="Q381" s="41"/>
      <c r="R381" s="42"/>
      <c r="S381" s="129"/>
      <c r="T381" s="41"/>
      <c r="U381" s="42"/>
      <c r="V381" s="41"/>
      <c r="W381" s="41"/>
      <c r="X381" s="42"/>
      <c r="Y381" s="97"/>
      <c r="Z381" s="41"/>
      <c r="AA381" s="94"/>
    </row>
    <row r="382" spans="1:27" x14ac:dyDescent="0.2">
      <c r="A382" s="87"/>
      <c r="B382" s="87"/>
      <c r="C382" s="88"/>
      <c r="D382" s="138"/>
      <c r="E382" s="87"/>
      <c r="F382" s="118"/>
      <c r="G382" s="119"/>
      <c r="H382" s="87"/>
      <c r="I382" s="90"/>
      <c r="J382" s="87"/>
      <c r="K382" s="87"/>
      <c r="L382" s="90"/>
      <c r="M382" s="120"/>
      <c r="N382" s="87"/>
      <c r="O382" s="89"/>
      <c r="P382" s="130"/>
      <c r="Q382" s="87"/>
      <c r="R382" s="89"/>
      <c r="S382" s="121"/>
      <c r="T382" s="87"/>
      <c r="U382" s="89"/>
      <c r="V382" s="87"/>
      <c r="W382" s="87"/>
      <c r="X382" s="89"/>
      <c r="Y382" s="87"/>
      <c r="Z382" s="87"/>
      <c r="AA382" s="88"/>
    </row>
    <row r="383" spans="1:27" x14ac:dyDescent="0.2">
      <c r="A383" s="44"/>
      <c r="B383" s="44"/>
      <c r="C383" s="91"/>
      <c r="D383" s="139"/>
      <c r="E383" s="44"/>
      <c r="F383" s="122"/>
      <c r="G383" s="123"/>
      <c r="H383" s="44"/>
      <c r="I383" s="93"/>
      <c r="J383" s="44"/>
      <c r="K383" s="44"/>
      <c r="L383" s="93"/>
      <c r="M383" s="124"/>
      <c r="N383" s="44"/>
      <c r="O383" s="92"/>
      <c r="P383" s="110"/>
      <c r="Q383" s="44"/>
      <c r="R383" s="92"/>
      <c r="S383" s="125"/>
      <c r="T383" s="44"/>
      <c r="U383" s="92"/>
      <c r="V383" s="44"/>
      <c r="W383" s="44"/>
      <c r="X383" s="92"/>
      <c r="Y383" s="44"/>
      <c r="Z383" s="44"/>
      <c r="AA383" s="91"/>
    </row>
    <row r="384" spans="1:27" x14ac:dyDescent="0.2">
      <c r="A384" s="41"/>
      <c r="B384" s="41"/>
      <c r="C384" s="94"/>
      <c r="D384" s="140"/>
      <c r="E384" s="41"/>
      <c r="F384" s="126"/>
      <c r="G384" s="127"/>
      <c r="H384" s="41"/>
      <c r="I384" s="95"/>
      <c r="J384" s="41"/>
      <c r="K384" s="41"/>
      <c r="L384" s="95"/>
      <c r="M384" s="128"/>
      <c r="N384" s="41"/>
      <c r="O384" s="42"/>
      <c r="P384" s="52"/>
      <c r="Q384" s="41"/>
      <c r="R384" s="42"/>
      <c r="S384" s="129"/>
      <c r="T384" s="41"/>
      <c r="U384" s="42"/>
      <c r="V384" s="41"/>
      <c r="W384" s="41"/>
      <c r="X384" s="42"/>
      <c r="Y384" s="41"/>
      <c r="Z384" s="41"/>
      <c r="AA384" s="94"/>
    </row>
    <row r="385" spans="1:27" x14ac:dyDescent="0.2">
      <c r="A385" s="44"/>
      <c r="B385" s="44"/>
      <c r="C385" s="91"/>
      <c r="D385" s="139"/>
      <c r="E385" s="44"/>
      <c r="F385" s="122"/>
      <c r="G385" s="123"/>
      <c r="H385" s="44"/>
      <c r="I385" s="93"/>
      <c r="J385" s="44"/>
      <c r="K385" s="44"/>
      <c r="L385" s="93"/>
      <c r="M385" s="124"/>
      <c r="N385" s="44"/>
      <c r="O385" s="92"/>
      <c r="P385" s="110"/>
      <c r="Q385" s="44"/>
      <c r="R385" s="92"/>
      <c r="S385" s="125"/>
      <c r="T385" s="44"/>
      <c r="U385" s="92"/>
      <c r="V385" s="44"/>
      <c r="W385" s="44"/>
      <c r="X385" s="92"/>
      <c r="Y385" s="44"/>
      <c r="Z385" s="44"/>
      <c r="AA385" s="91"/>
    </row>
    <row r="386" spans="1:27" x14ac:dyDescent="0.2">
      <c r="A386" s="87"/>
      <c r="B386" s="87"/>
      <c r="C386" s="88"/>
      <c r="D386" s="138"/>
      <c r="E386" s="87"/>
      <c r="F386" s="118"/>
      <c r="G386" s="119"/>
      <c r="H386" s="87"/>
      <c r="I386" s="90"/>
      <c r="J386" s="87"/>
      <c r="K386" s="87"/>
      <c r="L386" s="90"/>
      <c r="M386" s="120"/>
      <c r="N386" s="87"/>
      <c r="O386" s="89"/>
      <c r="P386" s="87"/>
      <c r="Q386" s="87"/>
      <c r="R386" s="89"/>
      <c r="S386" s="121"/>
      <c r="T386" s="87"/>
      <c r="U386" s="89"/>
      <c r="V386" s="87"/>
      <c r="W386" s="87"/>
      <c r="X386" s="89"/>
      <c r="Y386" s="87"/>
      <c r="Z386" s="87"/>
      <c r="AA386" s="88"/>
    </row>
    <row r="387" spans="1:27" x14ac:dyDescent="0.2">
      <c r="A387" s="44"/>
      <c r="B387" s="44"/>
      <c r="C387" s="91"/>
      <c r="D387" s="139"/>
      <c r="E387" s="44"/>
      <c r="F387" s="122"/>
      <c r="G387" s="123"/>
      <c r="H387" s="44"/>
      <c r="I387" s="93"/>
      <c r="J387" s="44"/>
      <c r="K387" s="44"/>
      <c r="L387" s="93"/>
      <c r="M387" s="124"/>
      <c r="N387" s="44"/>
      <c r="O387" s="92"/>
      <c r="P387" s="110"/>
      <c r="Q387" s="44"/>
      <c r="R387" s="92"/>
      <c r="S387" s="125"/>
      <c r="T387" s="44"/>
      <c r="U387" s="92"/>
      <c r="V387" s="44"/>
      <c r="W387" s="44"/>
      <c r="X387" s="92"/>
      <c r="Y387" s="44"/>
      <c r="Z387" s="44"/>
      <c r="AA387" s="91"/>
    </row>
    <row r="388" spans="1:27" x14ac:dyDescent="0.2">
      <c r="A388" s="41"/>
      <c r="B388" s="41"/>
      <c r="C388" s="94"/>
      <c r="D388" s="140"/>
      <c r="E388" s="41"/>
      <c r="F388" s="126"/>
      <c r="G388" s="127"/>
      <c r="H388" s="41"/>
      <c r="I388" s="95"/>
      <c r="J388" s="41"/>
      <c r="K388" s="41"/>
      <c r="L388" s="95"/>
      <c r="M388" s="128"/>
      <c r="N388" s="41"/>
      <c r="O388" s="42"/>
      <c r="P388" s="52"/>
      <c r="Q388" s="41"/>
      <c r="R388" s="42"/>
      <c r="S388" s="129"/>
      <c r="T388" s="41"/>
      <c r="U388" s="42"/>
      <c r="V388" s="41"/>
      <c r="W388" s="41"/>
      <c r="X388" s="42"/>
      <c r="Y388" s="41"/>
      <c r="Z388" s="41"/>
      <c r="AA388" s="94"/>
    </row>
    <row r="389" spans="1:27" x14ac:dyDescent="0.2">
      <c r="A389" s="44"/>
      <c r="B389" s="44"/>
      <c r="C389" s="91"/>
      <c r="D389" s="139"/>
      <c r="E389" s="44"/>
      <c r="F389" s="122"/>
      <c r="G389" s="123"/>
      <c r="H389" s="44"/>
      <c r="I389" s="93"/>
      <c r="J389" s="44"/>
      <c r="K389" s="44"/>
      <c r="L389" s="93"/>
      <c r="M389" s="124"/>
      <c r="N389" s="44"/>
      <c r="O389" s="92"/>
      <c r="P389" s="110"/>
      <c r="Q389" s="44"/>
      <c r="R389" s="92"/>
      <c r="S389" s="125"/>
      <c r="T389" s="44"/>
      <c r="U389" s="92"/>
      <c r="V389" s="44"/>
      <c r="W389" s="44"/>
      <c r="X389" s="92"/>
      <c r="Y389" s="44"/>
      <c r="Z389" s="44"/>
      <c r="AA389" s="91"/>
    </row>
    <row r="390" spans="1:27" x14ac:dyDescent="0.2">
      <c r="A390" s="41"/>
      <c r="B390" s="41"/>
      <c r="C390" s="94"/>
      <c r="D390" s="140"/>
      <c r="E390" s="41"/>
      <c r="F390" s="126"/>
      <c r="G390" s="127"/>
      <c r="H390" s="41"/>
      <c r="I390" s="95"/>
      <c r="J390" s="41"/>
      <c r="K390" s="41"/>
      <c r="L390" s="95"/>
      <c r="M390" s="128"/>
      <c r="N390" s="41"/>
      <c r="O390" s="42"/>
      <c r="P390" s="52"/>
      <c r="Q390" s="41"/>
      <c r="R390" s="42"/>
      <c r="S390" s="129"/>
      <c r="T390" s="41"/>
      <c r="U390" s="42"/>
      <c r="V390" s="41"/>
      <c r="W390" s="41"/>
      <c r="X390" s="42"/>
      <c r="Y390" s="41"/>
      <c r="Z390" s="41"/>
      <c r="AA390" s="94"/>
    </row>
    <row r="391" spans="1:27" x14ac:dyDescent="0.2">
      <c r="A391" s="44"/>
      <c r="B391" s="44"/>
      <c r="C391" s="91"/>
      <c r="D391" s="139"/>
      <c r="E391" s="44"/>
      <c r="F391" s="122"/>
      <c r="G391" s="123"/>
      <c r="H391" s="44"/>
      <c r="I391" s="93"/>
      <c r="J391" s="44"/>
      <c r="K391" s="44"/>
      <c r="L391" s="93"/>
      <c r="M391" s="124"/>
      <c r="N391" s="44"/>
      <c r="O391" s="92"/>
      <c r="P391" s="110"/>
      <c r="Q391" s="44"/>
      <c r="R391" s="92"/>
      <c r="S391" s="125"/>
      <c r="T391" s="44"/>
      <c r="U391" s="92"/>
      <c r="V391" s="44"/>
      <c r="W391" s="44"/>
      <c r="X391" s="92"/>
      <c r="Y391" s="44"/>
      <c r="Z391" s="44"/>
      <c r="AA391" s="91"/>
    </row>
    <row r="392" spans="1:27" x14ac:dyDescent="0.2">
      <c r="A392" s="41"/>
      <c r="B392" s="41"/>
      <c r="C392" s="94"/>
      <c r="D392" s="140"/>
      <c r="E392" s="41"/>
      <c r="F392" s="126"/>
      <c r="G392" s="127"/>
      <c r="H392" s="41"/>
      <c r="I392" s="95"/>
      <c r="J392" s="41"/>
      <c r="K392" s="41"/>
      <c r="L392" s="95"/>
      <c r="M392" s="128"/>
      <c r="N392" s="41"/>
      <c r="O392" s="42"/>
      <c r="P392" s="52"/>
      <c r="Q392" s="41"/>
      <c r="R392" s="42"/>
      <c r="S392" s="129"/>
      <c r="T392" s="41"/>
      <c r="U392" s="42"/>
      <c r="V392" s="41"/>
      <c r="W392" s="41"/>
      <c r="X392" s="42"/>
      <c r="Y392" s="41"/>
      <c r="Z392" s="41"/>
      <c r="AA392" s="94"/>
    </row>
    <row r="393" spans="1:27" x14ac:dyDescent="0.2">
      <c r="A393" s="44"/>
      <c r="B393" s="44"/>
      <c r="C393" s="91"/>
      <c r="D393" s="139"/>
      <c r="E393" s="44"/>
      <c r="F393" s="122"/>
      <c r="G393" s="123"/>
      <c r="H393" s="44"/>
      <c r="I393" s="93"/>
      <c r="J393" s="44"/>
      <c r="K393" s="44"/>
      <c r="L393" s="93"/>
      <c r="M393" s="124"/>
      <c r="N393" s="44"/>
      <c r="O393" s="92"/>
      <c r="P393" s="110"/>
      <c r="Q393" s="44"/>
      <c r="R393" s="92"/>
      <c r="S393" s="125"/>
      <c r="T393" s="44"/>
      <c r="U393" s="92"/>
      <c r="V393" s="44"/>
      <c r="W393" s="44"/>
      <c r="X393" s="92"/>
      <c r="Y393" s="44"/>
      <c r="Z393" s="44"/>
      <c r="AA393" s="91"/>
    </row>
    <row r="394" spans="1:27" x14ac:dyDescent="0.2">
      <c r="A394" s="41"/>
      <c r="B394" s="41"/>
      <c r="C394" s="94"/>
      <c r="D394" s="140"/>
      <c r="E394" s="41"/>
      <c r="F394" s="126"/>
      <c r="G394" s="127"/>
      <c r="H394" s="41"/>
      <c r="I394" s="95"/>
      <c r="J394" s="41"/>
      <c r="K394" s="41"/>
      <c r="L394" s="95"/>
      <c r="M394" s="128"/>
      <c r="N394" s="41"/>
      <c r="O394" s="42"/>
      <c r="P394" s="52"/>
      <c r="Q394" s="41"/>
      <c r="R394" s="42"/>
      <c r="S394" s="129"/>
      <c r="T394" s="41"/>
      <c r="U394" s="42"/>
      <c r="V394" s="41"/>
      <c r="W394" s="41"/>
      <c r="X394" s="42"/>
      <c r="Y394" s="41"/>
      <c r="Z394" s="41"/>
      <c r="AA394" s="94"/>
    </row>
    <row r="395" spans="1:27" x14ac:dyDescent="0.2">
      <c r="A395" s="44"/>
      <c r="B395" s="44"/>
      <c r="C395" s="91"/>
      <c r="D395" s="139"/>
      <c r="E395" s="44"/>
      <c r="F395" s="122"/>
      <c r="G395" s="123"/>
      <c r="H395" s="44"/>
      <c r="I395" s="93"/>
      <c r="J395" s="44"/>
      <c r="K395" s="44"/>
      <c r="L395" s="93"/>
      <c r="M395" s="124"/>
      <c r="N395" s="44"/>
      <c r="O395" s="92"/>
      <c r="P395" s="110"/>
      <c r="Q395" s="44"/>
      <c r="R395" s="92"/>
      <c r="S395" s="125"/>
      <c r="T395" s="44"/>
      <c r="U395" s="92"/>
      <c r="V395" s="44"/>
      <c r="W395" s="44"/>
      <c r="X395" s="92"/>
      <c r="Y395" s="44"/>
      <c r="Z395" s="44"/>
      <c r="AA395" s="91"/>
    </row>
    <row r="396" spans="1:27" x14ac:dyDescent="0.2">
      <c r="A396" s="41"/>
      <c r="B396" s="41"/>
      <c r="C396" s="94"/>
      <c r="D396" s="140"/>
      <c r="E396" s="41"/>
      <c r="F396" s="126"/>
      <c r="G396" s="127"/>
      <c r="H396" s="41"/>
      <c r="I396" s="95"/>
      <c r="J396" s="41"/>
      <c r="K396" s="41"/>
      <c r="L396" s="95"/>
      <c r="M396" s="128"/>
      <c r="N396" s="41"/>
      <c r="O396" s="42"/>
      <c r="P396" s="52"/>
      <c r="Q396" s="41"/>
      <c r="R396" s="42"/>
      <c r="S396" s="129"/>
      <c r="T396" s="41"/>
      <c r="U396" s="42"/>
      <c r="V396" s="41"/>
      <c r="W396" s="41"/>
      <c r="X396" s="42"/>
      <c r="Y396" s="41"/>
      <c r="Z396" s="41"/>
      <c r="AA396" s="94"/>
    </row>
    <row r="397" spans="1:27" x14ac:dyDescent="0.2">
      <c r="A397" s="44"/>
      <c r="B397" s="44"/>
      <c r="C397" s="91"/>
      <c r="D397" s="139"/>
      <c r="E397" s="44"/>
      <c r="F397" s="122"/>
      <c r="G397" s="123"/>
      <c r="H397" s="44"/>
      <c r="I397" s="93"/>
      <c r="J397" s="44"/>
      <c r="K397" s="44"/>
      <c r="L397" s="93"/>
      <c r="M397" s="124"/>
      <c r="N397" s="44"/>
      <c r="O397" s="92"/>
      <c r="P397" s="110"/>
      <c r="Q397" s="44"/>
      <c r="R397" s="92"/>
      <c r="S397" s="125"/>
      <c r="T397" s="44"/>
      <c r="U397" s="92"/>
      <c r="V397" s="44"/>
      <c r="W397" s="44"/>
      <c r="X397" s="92"/>
      <c r="Y397" s="44"/>
      <c r="Z397" s="44"/>
      <c r="AA397" s="91"/>
    </row>
    <row r="398" spans="1:27" x14ac:dyDescent="0.2">
      <c r="A398" s="41"/>
      <c r="B398" s="41"/>
      <c r="C398" s="94"/>
      <c r="D398" s="140"/>
      <c r="E398" s="41"/>
      <c r="F398" s="126"/>
      <c r="G398" s="127"/>
      <c r="H398" s="41"/>
      <c r="I398" s="95"/>
      <c r="J398" s="41"/>
      <c r="K398" s="41"/>
      <c r="L398" s="95"/>
      <c r="M398" s="128"/>
      <c r="N398" s="41"/>
      <c r="O398" s="42"/>
      <c r="P398" s="52"/>
      <c r="Q398" s="41"/>
      <c r="R398" s="42"/>
      <c r="S398" s="129"/>
      <c r="T398" s="41"/>
      <c r="U398" s="42"/>
      <c r="V398" s="41"/>
      <c r="W398" s="41"/>
      <c r="X398" s="42"/>
      <c r="Y398" s="41"/>
      <c r="Z398" s="41"/>
      <c r="AA398" s="94"/>
    </row>
    <row r="399" spans="1:27" x14ac:dyDescent="0.2">
      <c r="A399" s="44"/>
      <c r="B399" s="44"/>
      <c r="C399" s="91"/>
      <c r="D399" s="139"/>
      <c r="E399" s="44"/>
      <c r="F399" s="122"/>
      <c r="G399" s="123"/>
      <c r="H399" s="44"/>
      <c r="I399" s="93"/>
      <c r="J399" s="44"/>
      <c r="K399" s="44"/>
      <c r="L399" s="93"/>
      <c r="M399" s="124"/>
      <c r="N399" s="44"/>
      <c r="O399" s="92"/>
      <c r="P399" s="110"/>
      <c r="Q399" s="44"/>
      <c r="R399" s="92"/>
      <c r="S399" s="125"/>
      <c r="T399" s="44"/>
      <c r="U399" s="92"/>
      <c r="V399" s="44"/>
      <c r="W399" s="44"/>
      <c r="X399" s="92"/>
      <c r="Y399" s="44"/>
      <c r="Z399" s="44"/>
      <c r="AA399" s="91"/>
    </row>
    <row r="400" spans="1:27" x14ac:dyDescent="0.2">
      <c r="A400" s="41"/>
      <c r="B400" s="41"/>
      <c r="C400" s="94"/>
      <c r="D400" s="140"/>
      <c r="E400" s="41"/>
      <c r="F400" s="126"/>
      <c r="G400" s="127"/>
      <c r="H400" s="41"/>
      <c r="I400" s="95"/>
      <c r="J400" s="41"/>
      <c r="K400" s="41"/>
      <c r="L400" s="95"/>
      <c r="M400" s="128"/>
      <c r="N400" s="41"/>
      <c r="O400" s="42"/>
      <c r="P400" s="52"/>
      <c r="Q400" s="41"/>
      <c r="R400" s="42"/>
      <c r="S400" s="129"/>
      <c r="T400" s="41"/>
      <c r="U400" s="42"/>
      <c r="V400" s="41"/>
      <c r="W400" s="41"/>
      <c r="X400" s="42"/>
      <c r="Y400" s="41"/>
      <c r="Z400" s="41"/>
      <c r="AA400" s="94"/>
    </row>
    <row r="401" spans="1:27" x14ac:dyDescent="0.2">
      <c r="A401" s="44"/>
      <c r="B401" s="44"/>
      <c r="C401" s="91"/>
      <c r="D401" s="139"/>
      <c r="E401" s="44"/>
      <c r="F401" s="122"/>
      <c r="G401" s="123"/>
      <c r="H401" s="44"/>
      <c r="I401" s="93"/>
      <c r="J401" s="44"/>
      <c r="K401" s="44"/>
      <c r="L401" s="93"/>
      <c r="M401" s="124"/>
      <c r="N401" s="44"/>
      <c r="O401" s="92"/>
      <c r="P401" s="110"/>
      <c r="Q401" s="44"/>
      <c r="R401" s="92"/>
      <c r="S401" s="125"/>
      <c r="T401" s="44"/>
      <c r="U401" s="92"/>
      <c r="V401" s="44"/>
      <c r="W401" s="44"/>
      <c r="X401" s="92"/>
      <c r="Y401" s="44"/>
      <c r="Z401" s="44"/>
      <c r="AA401" s="91"/>
    </row>
    <row r="402" spans="1:27" x14ac:dyDescent="0.2">
      <c r="A402" s="41"/>
      <c r="B402" s="41"/>
      <c r="C402" s="94"/>
      <c r="D402" s="140"/>
      <c r="E402" s="41"/>
      <c r="F402" s="126"/>
      <c r="G402" s="127"/>
      <c r="H402" s="41"/>
      <c r="I402" s="95"/>
      <c r="J402" s="41"/>
      <c r="K402" s="41"/>
      <c r="L402" s="95"/>
      <c r="M402" s="128"/>
      <c r="N402" s="41"/>
      <c r="O402" s="42"/>
      <c r="P402" s="52"/>
      <c r="Q402" s="41"/>
      <c r="R402" s="42"/>
      <c r="S402" s="129"/>
      <c r="T402" s="41"/>
      <c r="U402" s="42"/>
      <c r="V402" s="41"/>
      <c r="W402" s="41"/>
      <c r="X402" s="42"/>
      <c r="Y402" s="41"/>
      <c r="Z402" s="41"/>
      <c r="AA402" s="94"/>
    </row>
    <row r="403" spans="1:27" x14ac:dyDescent="0.2">
      <c r="A403" s="44"/>
      <c r="B403" s="44"/>
      <c r="C403" s="91"/>
      <c r="D403" s="139"/>
      <c r="E403" s="44"/>
      <c r="F403" s="122"/>
      <c r="G403" s="123"/>
      <c r="H403" s="44"/>
      <c r="I403" s="93"/>
      <c r="J403" s="44"/>
      <c r="K403" s="44"/>
      <c r="L403" s="93"/>
      <c r="M403" s="124"/>
      <c r="N403" s="44"/>
      <c r="O403" s="92"/>
      <c r="P403" s="110"/>
      <c r="Q403" s="44"/>
      <c r="R403" s="92"/>
      <c r="S403" s="125"/>
      <c r="T403" s="44"/>
      <c r="U403" s="92"/>
      <c r="V403" s="44"/>
      <c r="W403" s="44"/>
      <c r="X403" s="92"/>
      <c r="Y403" s="44"/>
      <c r="Z403" s="44"/>
      <c r="AA403" s="91"/>
    </row>
    <row r="404" spans="1:27" x14ac:dyDescent="0.2">
      <c r="A404" s="41"/>
      <c r="B404" s="41"/>
      <c r="C404" s="94"/>
      <c r="D404" s="140"/>
      <c r="E404" s="41"/>
      <c r="F404" s="127"/>
      <c r="G404" s="127"/>
      <c r="H404" s="41"/>
      <c r="I404" s="95"/>
      <c r="J404" s="41"/>
      <c r="K404" s="41"/>
      <c r="L404" s="95"/>
      <c r="M404" s="128"/>
      <c r="N404" s="41"/>
      <c r="O404" s="42"/>
      <c r="P404" s="52"/>
      <c r="Q404" s="41"/>
      <c r="R404" s="42"/>
      <c r="S404" s="129"/>
      <c r="T404" s="41"/>
      <c r="U404" s="42"/>
      <c r="V404" s="41"/>
      <c r="W404" s="41"/>
      <c r="X404" s="42"/>
      <c r="Y404" s="41"/>
      <c r="Z404" s="41"/>
      <c r="AA404" s="94"/>
    </row>
    <row r="405" spans="1:27" x14ac:dyDescent="0.2">
      <c r="A405" s="44"/>
      <c r="B405" s="44"/>
      <c r="C405" s="91"/>
      <c r="D405" s="139"/>
      <c r="E405" s="44"/>
      <c r="F405" s="122"/>
      <c r="G405" s="123"/>
      <c r="H405" s="44"/>
      <c r="I405" s="93"/>
      <c r="J405" s="44"/>
      <c r="K405" s="44"/>
      <c r="L405" s="93"/>
      <c r="M405" s="124"/>
      <c r="N405" s="44"/>
      <c r="O405" s="92"/>
      <c r="P405" s="110"/>
      <c r="Q405" s="44"/>
      <c r="R405" s="92"/>
      <c r="S405" s="125"/>
      <c r="T405" s="44"/>
      <c r="U405" s="92"/>
      <c r="V405" s="44"/>
      <c r="W405" s="44"/>
      <c r="X405" s="92"/>
      <c r="Y405" s="44"/>
      <c r="Z405" s="44"/>
      <c r="AA405" s="91"/>
    </row>
    <row r="406" spans="1:27" x14ac:dyDescent="0.2">
      <c r="A406" s="41"/>
      <c r="B406" s="41"/>
      <c r="C406" s="94"/>
      <c r="D406" s="140"/>
      <c r="E406" s="41"/>
      <c r="F406" s="126"/>
      <c r="G406" s="127"/>
      <c r="H406" s="41"/>
      <c r="I406" s="95"/>
      <c r="J406" s="41"/>
      <c r="K406" s="41"/>
      <c r="L406" s="95"/>
      <c r="M406" s="128"/>
      <c r="N406" s="41"/>
      <c r="O406" s="42"/>
      <c r="P406" s="52"/>
      <c r="Q406" s="41"/>
      <c r="R406" s="42"/>
      <c r="S406" s="129"/>
      <c r="T406" s="41"/>
      <c r="U406" s="42"/>
      <c r="V406" s="41"/>
      <c r="W406" s="41"/>
      <c r="X406" s="42"/>
      <c r="Y406" s="41"/>
      <c r="Z406" s="41"/>
      <c r="AA406" s="94"/>
    </row>
    <row r="407" spans="1:27" x14ac:dyDescent="0.2">
      <c r="A407" s="44"/>
      <c r="B407" s="44"/>
      <c r="C407" s="91"/>
      <c r="D407" s="139"/>
      <c r="E407" s="44"/>
      <c r="F407" s="122"/>
      <c r="G407" s="123"/>
      <c r="H407" s="44"/>
      <c r="I407" s="93"/>
      <c r="J407" s="44"/>
      <c r="K407" s="44"/>
      <c r="L407" s="93"/>
      <c r="M407" s="124"/>
      <c r="N407" s="44"/>
      <c r="O407" s="92"/>
      <c r="P407" s="110"/>
      <c r="Q407" s="44"/>
      <c r="R407" s="92"/>
      <c r="S407" s="125"/>
      <c r="T407" s="44"/>
      <c r="U407" s="92"/>
      <c r="V407" s="44"/>
      <c r="W407" s="44"/>
      <c r="X407" s="92"/>
      <c r="Y407" s="44"/>
      <c r="Z407" s="44"/>
      <c r="AA407" s="91"/>
    </row>
    <row r="408" spans="1:27" x14ac:dyDescent="0.2">
      <c r="A408" s="41"/>
      <c r="B408" s="41"/>
      <c r="C408" s="94"/>
      <c r="D408" s="140"/>
      <c r="E408" s="41"/>
      <c r="F408" s="126"/>
      <c r="G408" s="127"/>
      <c r="H408" s="41"/>
      <c r="I408" s="95"/>
      <c r="J408" s="41"/>
      <c r="K408" s="41"/>
      <c r="L408" s="95"/>
      <c r="M408" s="128"/>
      <c r="N408" s="41"/>
      <c r="O408" s="42"/>
      <c r="P408" s="52"/>
      <c r="Q408" s="41"/>
      <c r="R408" s="42"/>
      <c r="S408" s="129"/>
      <c r="T408" s="41"/>
      <c r="U408" s="42"/>
      <c r="V408" s="41"/>
      <c r="W408" s="41"/>
      <c r="X408" s="42"/>
      <c r="Y408" s="41"/>
      <c r="Z408" s="41"/>
      <c r="AA408" s="94"/>
    </row>
    <row r="409" spans="1:27" x14ac:dyDescent="0.2">
      <c r="A409" s="44"/>
      <c r="B409" s="44"/>
      <c r="C409" s="91"/>
      <c r="D409" s="139"/>
      <c r="E409" s="44"/>
      <c r="F409" s="122"/>
      <c r="G409" s="123"/>
      <c r="H409" s="44"/>
      <c r="I409" s="93"/>
      <c r="J409" s="44"/>
      <c r="K409" s="44"/>
      <c r="L409" s="93"/>
      <c r="M409" s="124"/>
      <c r="N409" s="44"/>
      <c r="O409" s="92"/>
      <c r="P409" s="110"/>
      <c r="Q409" s="44"/>
      <c r="R409" s="92"/>
      <c r="S409" s="125"/>
      <c r="T409" s="44"/>
      <c r="U409" s="92"/>
      <c r="V409" s="44"/>
      <c r="W409" s="44"/>
      <c r="X409" s="92"/>
      <c r="Y409" s="44"/>
      <c r="Z409" s="44"/>
      <c r="AA409" s="91"/>
    </row>
    <row r="410" spans="1:27" x14ac:dyDescent="0.2">
      <c r="A410" s="41"/>
      <c r="B410" s="41"/>
      <c r="C410" s="94"/>
      <c r="D410" s="140"/>
      <c r="E410" s="41"/>
      <c r="F410" s="126"/>
      <c r="G410" s="127"/>
      <c r="H410" s="41"/>
      <c r="I410" s="95"/>
      <c r="J410" s="41"/>
      <c r="K410" s="41"/>
      <c r="L410" s="95"/>
      <c r="M410" s="128"/>
      <c r="N410" s="41"/>
      <c r="O410" s="42"/>
      <c r="P410" s="52"/>
      <c r="Q410" s="41"/>
      <c r="R410" s="42"/>
      <c r="S410" s="129"/>
      <c r="T410" s="41"/>
      <c r="U410" s="42"/>
      <c r="V410" s="41"/>
      <c r="W410" s="41"/>
      <c r="X410" s="42"/>
      <c r="Y410" s="41"/>
      <c r="Z410" s="41"/>
      <c r="AA410" s="94"/>
    </row>
    <row r="411" spans="1:27" x14ac:dyDescent="0.2">
      <c r="A411" s="44"/>
      <c r="B411" s="44"/>
      <c r="C411" s="91"/>
      <c r="D411" s="139"/>
      <c r="E411" s="44"/>
      <c r="F411" s="122"/>
      <c r="G411" s="123"/>
      <c r="H411" s="44"/>
      <c r="I411" s="93"/>
      <c r="J411" s="44"/>
      <c r="K411" s="44"/>
      <c r="L411" s="93"/>
      <c r="M411" s="124"/>
      <c r="N411" s="44"/>
      <c r="O411" s="92"/>
      <c r="P411" s="110"/>
      <c r="Q411" s="44"/>
      <c r="R411" s="92"/>
      <c r="S411" s="125"/>
      <c r="T411" s="44"/>
      <c r="U411" s="92"/>
      <c r="V411" s="44"/>
      <c r="W411" s="44"/>
      <c r="X411" s="92"/>
      <c r="Y411" s="44"/>
      <c r="Z411" s="44"/>
      <c r="AA411" s="91"/>
    </row>
    <row r="412" spans="1:27" x14ac:dyDescent="0.2">
      <c r="A412" s="96"/>
      <c r="B412" s="44"/>
      <c r="C412" s="91"/>
      <c r="D412" s="139"/>
      <c r="E412" s="44"/>
      <c r="F412" s="122"/>
      <c r="G412" s="123"/>
      <c r="H412" s="44"/>
      <c r="I412" s="93"/>
      <c r="J412" s="44"/>
      <c r="K412" s="44"/>
      <c r="L412" s="93"/>
      <c r="M412" s="124"/>
      <c r="N412" s="44"/>
      <c r="O412" s="92"/>
      <c r="P412" s="110"/>
      <c r="Q412" s="44"/>
      <c r="R412" s="92"/>
      <c r="S412" s="125"/>
      <c r="T412" s="44"/>
      <c r="U412" s="92"/>
      <c r="V412" s="44"/>
      <c r="W412" s="44"/>
      <c r="X412" s="92"/>
      <c r="Y412" s="96"/>
      <c r="Z412" s="44"/>
      <c r="AA412" s="91"/>
    </row>
    <row r="413" spans="1:27" x14ac:dyDescent="0.2">
      <c r="A413" s="97"/>
      <c r="B413" s="41"/>
      <c r="C413" s="94"/>
      <c r="D413" s="140"/>
      <c r="E413" s="41"/>
      <c r="F413" s="126"/>
      <c r="G413" s="127"/>
      <c r="H413" s="41"/>
      <c r="I413" s="95"/>
      <c r="J413" s="41"/>
      <c r="K413" s="41"/>
      <c r="L413" s="95"/>
      <c r="M413" s="128"/>
      <c r="N413" s="41"/>
      <c r="O413" s="42"/>
      <c r="P413" s="52"/>
      <c r="Q413" s="41"/>
      <c r="R413" s="42"/>
      <c r="S413" s="129"/>
      <c r="T413" s="41"/>
      <c r="U413" s="42"/>
      <c r="V413" s="41"/>
      <c r="W413" s="41"/>
      <c r="X413" s="42"/>
      <c r="Y413" s="97"/>
      <c r="Z413" s="41"/>
      <c r="AA413" s="94"/>
    </row>
    <row r="414" spans="1:27" x14ac:dyDescent="0.2">
      <c r="A414" s="96"/>
      <c r="B414" s="44"/>
      <c r="C414" s="91"/>
      <c r="D414" s="139"/>
      <c r="E414" s="44"/>
      <c r="F414" s="122"/>
      <c r="G414" s="123"/>
      <c r="H414" s="44"/>
      <c r="I414" s="93"/>
      <c r="J414" s="44"/>
      <c r="K414" s="44"/>
      <c r="L414" s="93"/>
      <c r="M414" s="124"/>
      <c r="N414" s="44"/>
      <c r="O414" s="92"/>
      <c r="P414" s="110"/>
      <c r="Q414" s="44"/>
      <c r="R414" s="92"/>
      <c r="S414" s="125"/>
      <c r="T414" s="44"/>
      <c r="U414" s="92"/>
      <c r="V414" s="44"/>
      <c r="W414" s="44"/>
      <c r="X414" s="92"/>
      <c r="Y414" s="96"/>
      <c r="Z414" s="44"/>
      <c r="AA414" s="91"/>
    </row>
    <row r="415" spans="1:27" x14ac:dyDescent="0.2">
      <c r="A415" s="97"/>
      <c r="B415" s="41"/>
      <c r="C415" s="94"/>
      <c r="D415" s="140"/>
      <c r="E415" s="41"/>
      <c r="F415" s="126"/>
      <c r="G415" s="127"/>
      <c r="H415" s="41"/>
      <c r="I415" s="95"/>
      <c r="J415" s="41"/>
      <c r="K415" s="41"/>
      <c r="L415" s="95"/>
      <c r="M415" s="128"/>
      <c r="N415" s="41"/>
      <c r="O415" s="42"/>
      <c r="P415" s="52"/>
      <c r="Q415" s="41"/>
      <c r="R415" s="42"/>
      <c r="S415" s="129"/>
      <c r="T415" s="41"/>
      <c r="U415" s="42"/>
      <c r="V415" s="41"/>
      <c r="W415" s="41"/>
      <c r="X415" s="42"/>
      <c r="Y415" s="97"/>
      <c r="Z415" s="41"/>
      <c r="AA415" s="94"/>
    </row>
    <row r="416" spans="1:27" x14ac:dyDescent="0.2">
      <c r="A416" s="97"/>
      <c r="B416" s="41"/>
      <c r="C416" s="94"/>
      <c r="D416" s="140"/>
      <c r="E416" s="41"/>
      <c r="F416" s="126"/>
      <c r="G416" s="127"/>
      <c r="H416" s="41"/>
      <c r="I416" s="95"/>
      <c r="J416" s="41"/>
      <c r="K416" s="41"/>
      <c r="L416" s="95"/>
      <c r="M416" s="128"/>
      <c r="N416" s="41"/>
      <c r="O416" s="42"/>
      <c r="P416" s="52"/>
      <c r="Q416" s="41"/>
      <c r="R416" s="42"/>
      <c r="S416" s="129"/>
      <c r="T416" s="41"/>
      <c r="U416" s="42"/>
      <c r="V416" s="41"/>
      <c r="W416" s="41"/>
      <c r="X416" s="42"/>
      <c r="Y416" s="97"/>
      <c r="Z416" s="41"/>
      <c r="AA416" s="94"/>
    </row>
    <row r="417" spans="1:27" x14ac:dyDescent="0.2">
      <c r="A417" s="97"/>
      <c r="B417" s="41"/>
      <c r="C417" s="94"/>
      <c r="D417" s="140"/>
      <c r="E417" s="41"/>
      <c r="F417" s="126"/>
      <c r="G417" s="127"/>
      <c r="H417" s="41"/>
      <c r="I417" s="95"/>
      <c r="J417" s="41"/>
      <c r="K417" s="41"/>
      <c r="L417" s="95"/>
      <c r="M417" s="128"/>
      <c r="N417" s="41"/>
      <c r="O417" s="42"/>
      <c r="P417" s="52"/>
      <c r="Q417" s="41"/>
      <c r="R417" s="42"/>
      <c r="S417" s="129"/>
      <c r="T417" s="41"/>
      <c r="U417" s="42"/>
      <c r="V417" s="41"/>
      <c r="W417" s="41"/>
      <c r="X417" s="42"/>
      <c r="Y417" s="97"/>
      <c r="Z417" s="41"/>
      <c r="AA417" s="94"/>
    </row>
    <row r="418" spans="1:27" x14ac:dyDescent="0.2">
      <c r="A418" s="97"/>
      <c r="B418" s="41"/>
      <c r="C418" s="94"/>
      <c r="D418" s="140"/>
      <c r="E418" s="41"/>
      <c r="F418" s="126"/>
      <c r="G418" s="127"/>
      <c r="H418" s="41"/>
      <c r="I418" s="95"/>
      <c r="J418" s="41"/>
      <c r="K418" s="41"/>
      <c r="L418" s="95"/>
      <c r="M418" s="128"/>
      <c r="N418" s="41"/>
      <c r="O418" s="42"/>
      <c r="P418" s="52"/>
      <c r="Q418" s="41"/>
      <c r="R418" s="42"/>
      <c r="S418" s="129"/>
      <c r="T418" s="41"/>
      <c r="U418" s="42"/>
      <c r="V418" s="41"/>
      <c r="W418" s="41"/>
      <c r="X418" s="42"/>
      <c r="Y418" s="97"/>
      <c r="Z418" s="41"/>
      <c r="AA418" s="94"/>
    </row>
    <row r="419" spans="1:27" x14ac:dyDescent="0.2">
      <c r="A419" s="96"/>
      <c r="B419" s="44"/>
      <c r="C419" s="91"/>
      <c r="D419" s="139"/>
      <c r="E419" s="44"/>
      <c r="F419" s="122"/>
      <c r="G419" s="123"/>
      <c r="H419" s="44"/>
      <c r="I419" s="93"/>
      <c r="J419" s="44"/>
      <c r="K419" s="44"/>
      <c r="L419" s="93"/>
      <c r="M419" s="124"/>
      <c r="N419" s="44"/>
      <c r="O419" s="92"/>
      <c r="P419" s="110"/>
      <c r="Q419" s="44"/>
      <c r="R419" s="92"/>
      <c r="S419" s="125"/>
      <c r="T419" s="44"/>
      <c r="U419" s="92"/>
      <c r="V419" s="44"/>
      <c r="W419" s="44"/>
      <c r="X419" s="92"/>
      <c r="Y419" s="96"/>
      <c r="Z419" s="44"/>
      <c r="AA419" s="91"/>
    </row>
    <row r="420" spans="1:27" x14ac:dyDescent="0.2">
      <c r="A420" s="96"/>
      <c r="B420" s="44"/>
      <c r="C420" s="91"/>
      <c r="D420" s="139"/>
      <c r="E420" s="44"/>
      <c r="F420" s="122"/>
      <c r="G420" s="123"/>
      <c r="H420" s="44"/>
      <c r="I420" s="93"/>
      <c r="J420" s="44"/>
      <c r="K420" s="44"/>
      <c r="L420" s="93"/>
      <c r="M420" s="124"/>
      <c r="N420" s="44"/>
      <c r="O420" s="92"/>
      <c r="P420" s="110"/>
      <c r="Q420" s="44"/>
      <c r="R420" s="92"/>
      <c r="S420" s="125"/>
      <c r="T420" s="44"/>
      <c r="U420" s="92"/>
      <c r="V420" s="44"/>
      <c r="W420" s="44"/>
      <c r="X420" s="92"/>
      <c r="Y420" s="96"/>
      <c r="Z420" s="44"/>
      <c r="AA420" s="91"/>
    </row>
    <row r="421" spans="1:27" x14ac:dyDescent="0.2">
      <c r="A421" s="96"/>
      <c r="B421" s="44"/>
      <c r="C421" s="91"/>
      <c r="D421" s="139"/>
      <c r="E421" s="44"/>
      <c r="F421" s="122"/>
      <c r="G421" s="123"/>
      <c r="H421" s="44"/>
      <c r="I421" s="93"/>
      <c r="J421" s="44"/>
      <c r="K421" s="44"/>
      <c r="L421" s="93"/>
      <c r="M421" s="124"/>
      <c r="N421" s="44"/>
      <c r="O421" s="92"/>
      <c r="P421" s="110"/>
      <c r="Q421" s="44"/>
      <c r="R421" s="92"/>
      <c r="S421" s="125"/>
      <c r="T421" s="44"/>
      <c r="U421" s="92"/>
      <c r="V421" s="44"/>
      <c r="W421" s="44"/>
      <c r="X421" s="92"/>
      <c r="Y421" s="96"/>
      <c r="Z421" s="44"/>
      <c r="AA421" s="91"/>
    </row>
    <row r="422" spans="1:27" x14ac:dyDescent="0.2">
      <c r="A422" s="96"/>
      <c r="B422" s="44"/>
      <c r="C422" s="91"/>
      <c r="D422" s="139"/>
      <c r="E422" s="44"/>
      <c r="F422" s="122"/>
      <c r="G422" s="123"/>
      <c r="H422" s="44"/>
      <c r="I422" s="93"/>
      <c r="J422" s="44"/>
      <c r="K422" s="44"/>
      <c r="L422" s="93"/>
      <c r="M422" s="124"/>
      <c r="N422" s="44"/>
      <c r="O422" s="92"/>
      <c r="P422" s="110"/>
      <c r="Q422" s="44"/>
      <c r="R422" s="92"/>
      <c r="S422" s="125"/>
      <c r="T422" s="44"/>
      <c r="U422" s="92"/>
      <c r="V422" s="44"/>
      <c r="W422" s="44"/>
      <c r="X422" s="92"/>
      <c r="Y422" s="96"/>
      <c r="Z422" s="44"/>
      <c r="AA422" s="91"/>
    </row>
    <row r="423" spans="1:27" x14ac:dyDescent="0.2">
      <c r="A423" s="96"/>
      <c r="B423" s="44"/>
      <c r="C423" s="91"/>
      <c r="D423" s="139"/>
      <c r="E423" s="44"/>
      <c r="F423" s="122"/>
      <c r="G423" s="123"/>
      <c r="H423" s="44"/>
      <c r="I423" s="93"/>
      <c r="J423" s="44"/>
      <c r="K423" s="44"/>
      <c r="L423" s="93"/>
      <c r="M423" s="124"/>
      <c r="N423" s="44"/>
      <c r="O423" s="92"/>
      <c r="P423" s="110"/>
      <c r="Q423" s="44"/>
      <c r="R423" s="92"/>
      <c r="S423" s="125"/>
      <c r="T423" s="44"/>
      <c r="U423" s="92"/>
      <c r="V423" s="44"/>
      <c r="W423" s="44"/>
      <c r="X423" s="92"/>
      <c r="Y423" s="96"/>
      <c r="Z423" s="44"/>
      <c r="AA423" s="91"/>
    </row>
    <row r="424" spans="1:27" x14ac:dyDescent="0.2">
      <c r="A424" s="97"/>
      <c r="B424" s="41"/>
      <c r="C424" s="94"/>
      <c r="D424" s="140"/>
      <c r="E424" s="41"/>
      <c r="F424" s="126"/>
      <c r="G424" s="127"/>
      <c r="H424" s="41"/>
      <c r="I424" s="95"/>
      <c r="J424" s="41"/>
      <c r="K424" s="41"/>
      <c r="L424" s="95"/>
      <c r="M424" s="128"/>
      <c r="N424" s="41"/>
      <c r="O424" s="42"/>
      <c r="P424" s="52"/>
      <c r="Q424" s="41"/>
      <c r="R424" s="42"/>
      <c r="S424" s="129"/>
      <c r="T424" s="41"/>
      <c r="U424" s="42"/>
      <c r="V424" s="41"/>
      <c r="W424" s="41"/>
      <c r="X424" s="42"/>
      <c r="Y424" s="97"/>
      <c r="Z424" s="41"/>
      <c r="AA424" s="94"/>
    </row>
    <row r="425" spans="1:27" x14ac:dyDescent="0.2">
      <c r="A425" s="96"/>
      <c r="B425" s="44"/>
      <c r="C425" s="91"/>
      <c r="D425" s="139"/>
      <c r="E425" s="44"/>
      <c r="F425" s="122"/>
      <c r="G425" s="123"/>
      <c r="H425" s="44"/>
      <c r="I425" s="93"/>
      <c r="J425" s="44"/>
      <c r="K425" s="44"/>
      <c r="L425" s="93"/>
      <c r="M425" s="124"/>
      <c r="N425" s="44"/>
      <c r="O425" s="92"/>
      <c r="P425" s="110"/>
      <c r="Q425" s="44"/>
      <c r="R425" s="92"/>
      <c r="S425" s="125"/>
      <c r="T425" s="44"/>
      <c r="U425" s="92"/>
      <c r="V425" s="44"/>
      <c r="W425" s="44"/>
      <c r="X425" s="92"/>
      <c r="Y425" s="96"/>
      <c r="Z425" s="44"/>
      <c r="AA425" s="91"/>
    </row>
    <row r="426" spans="1:27" x14ac:dyDescent="0.2">
      <c r="A426" s="97"/>
      <c r="B426" s="41"/>
      <c r="C426" s="94"/>
      <c r="D426" s="140"/>
      <c r="E426" s="41"/>
      <c r="F426" s="126"/>
      <c r="G426" s="127"/>
      <c r="H426" s="41"/>
      <c r="I426" s="95"/>
      <c r="J426" s="41"/>
      <c r="K426" s="41"/>
      <c r="L426" s="95"/>
      <c r="M426" s="128"/>
      <c r="N426" s="41"/>
      <c r="O426" s="42"/>
      <c r="P426" s="52"/>
      <c r="Q426" s="41"/>
      <c r="R426" s="42"/>
      <c r="S426" s="129"/>
      <c r="T426" s="41"/>
      <c r="U426" s="42"/>
      <c r="V426" s="41"/>
      <c r="W426" s="41"/>
      <c r="X426" s="42"/>
      <c r="Y426" s="97"/>
      <c r="Z426" s="41"/>
      <c r="AA426" s="94"/>
    </row>
    <row r="427" spans="1:27" x14ac:dyDescent="0.2">
      <c r="A427" s="96"/>
      <c r="B427" s="44"/>
      <c r="C427" s="91"/>
      <c r="D427" s="139"/>
      <c r="E427" s="44"/>
      <c r="F427" s="122"/>
      <c r="G427" s="123"/>
      <c r="H427" s="44"/>
      <c r="I427" s="93"/>
      <c r="J427" s="44"/>
      <c r="K427" s="44"/>
      <c r="L427" s="93"/>
      <c r="M427" s="124"/>
      <c r="N427" s="44"/>
      <c r="O427" s="92"/>
      <c r="P427" s="110"/>
      <c r="Q427" s="44"/>
      <c r="R427" s="92"/>
      <c r="S427" s="125"/>
      <c r="T427" s="44"/>
      <c r="U427" s="92"/>
      <c r="V427" s="44"/>
      <c r="W427" s="44"/>
      <c r="X427" s="92"/>
      <c r="Y427" s="96"/>
      <c r="Z427" s="44"/>
      <c r="AA427" s="91"/>
    </row>
    <row r="428" spans="1:27" x14ac:dyDescent="0.2">
      <c r="A428" s="96"/>
      <c r="B428" s="44"/>
      <c r="C428" s="91"/>
      <c r="D428" s="139"/>
      <c r="E428" s="44"/>
      <c r="F428" s="122"/>
      <c r="G428" s="123"/>
      <c r="H428" s="44"/>
      <c r="I428" s="93"/>
      <c r="J428" s="44"/>
      <c r="K428" s="44"/>
      <c r="L428" s="93"/>
      <c r="M428" s="124"/>
      <c r="N428" s="44"/>
      <c r="O428" s="92"/>
      <c r="P428" s="110"/>
      <c r="Q428" s="44"/>
      <c r="R428" s="92"/>
      <c r="S428" s="125"/>
      <c r="T428" s="44"/>
      <c r="U428" s="92"/>
      <c r="V428" s="44"/>
      <c r="W428" s="44"/>
      <c r="X428" s="92"/>
      <c r="Y428" s="96"/>
      <c r="Z428" s="44"/>
      <c r="AA428" s="91"/>
    </row>
    <row r="429" spans="1:27" x14ac:dyDescent="0.2">
      <c r="A429" s="97"/>
      <c r="B429" s="41"/>
      <c r="C429" s="94"/>
      <c r="D429" s="140"/>
      <c r="E429" s="41"/>
      <c r="F429" s="126"/>
      <c r="G429" s="127"/>
      <c r="H429" s="41"/>
      <c r="I429" s="95"/>
      <c r="J429" s="41"/>
      <c r="K429" s="41"/>
      <c r="L429" s="95"/>
      <c r="M429" s="128"/>
      <c r="N429" s="41"/>
      <c r="O429" s="42"/>
      <c r="P429" s="52"/>
      <c r="Q429" s="41"/>
      <c r="R429" s="42"/>
      <c r="S429" s="129"/>
      <c r="T429" s="41"/>
      <c r="U429" s="42"/>
      <c r="V429" s="41"/>
      <c r="W429" s="41"/>
      <c r="X429" s="42"/>
      <c r="Y429" s="97"/>
      <c r="Z429" s="41"/>
      <c r="AA429" s="94"/>
    </row>
    <row r="430" spans="1:27" x14ac:dyDescent="0.2">
      <c r="A430" s="96"/>
      <c r="B430" s="44"/>
      <c r="C430" s="91"/>
      <c r="D430" s="139"/>
      <c r="E430" s="44"/>
      <c r="F430" s="122"/>
      <c r="G430" s="123"/>
      <c r="H430" s="44"/>
      <c r="I430" s="93"/>
      <c r="J430" s="44"/>
      <c r="K430" s="44"/>
      <c r="L430" s="93"/>
      <c r="M430" s="124"/>
      <c r="N430" s="44"/>
      <c r="O430" s="92"/>
      <c r="P430" s="110"/>
      <c r="Q430" s="44"/>
      <c r="R430" s="92"/>
      <c r="S430" s="125"/>
      <c r="T430" s="44"/>
      <c r="U430" s="92"/>
      <c r="V430" s="44"/>
      <c r="W430" s="44"/>
      <c r="X430" s="92"/>
      <c r="Y430" s="96"/>
      <c r="Z430" s="44"/>
      <c r="AA430" s="91"/>
    </row>
    <row r="431" spans="1:27" x14ac:dyDescent="0.2">
      <c r="A431" s="96"/>
      <c r="B431" s="44"/>
      <c r="C431" s="91"/>
      <c r="D431" s="139"/>
      <c r="E431" s="44"/>
      <c r="F431" s="122"/>
      <c r="G431" s="123"/>
      <c r="H431" s="44"/>
      <c r="I431" s="93"/>
      <c r="J431" s="44"/>
      <c r="K431" s="44"/>
      <c r="L431" s="93"/>
      <c r="M431" s="124"/>
      <c r="N431" s="44"/>
      <c r="O431" s="92"/>
      <c r="P431" s="110"/>
      <c r="Q431" s="44"/>
      <c r="R431" s="92"/>
      <c r="S431" s="125"/>
      <c r="T431" s="44"/>
      <c r="U431" s="92"/>
      <c r="V431" s="44"/>
      <c r="W431" s="44"/>
      <c r="X431" s="92"/>
      <c r="Y431" s="96"/>
      <c r="Z431" s="44"/>
      <c r="AA431" s="91"/>
    </row>
    <row r="432" spans="1:27" x14ac:dyDescent="0.2">
      <c r="A432" s="97"/>
      <c r="B432" s="41"/>
      <c r="C432" s="94"/>
      <c r="D432" s="140"/>
      <c r="E432" s="41"/>
      <c r="F432" s="126"/>
      <c r="G432" s="127"/>
      <c r="H432" s="41"/>
      <c r="I432" s="95"/>
      <c r="J432" s="41"/>
      <c r="K432" s="41"/>
      <c r="L432" s="95"/>
      <c r="M432" s="128"/>
      <c r="N432" s="41"/>
      <c r="O432" s="42"/>
      <c r="P432" s="52"/>
      <c r="Q432" s="41"/>
      <c r="R432" s="42"/>
      <c r="S432" s="129"/>
      <c r="T432" s="41"/>
      <c r="U432" s="42"/>
      <c r="V432" s="41"/>
      <c r="W432" s="41"/>
      <c r="X432" s="42"/>
      <c r="Y432" s="97"/>
      <c r="Z432" s="41"/>
      <c r="AA432" s="94"/>
    </row>
    <row r="433" spans="1:27" x14ac:dyDescent="0.2">
      <c r="A433" s="97"/>
      <c r="B433" s="41"/>
      <c r="C433" s="94"/>
      <c r="D433" s="140"/>
      <c r="E433" s="41"/>
      <c r="F433" s="126"/>
      <c r="G433" s="127"/>
      <c r="H433" s="41"/>
      <c r="I433" s="95"/>
      <c r="J433" s="41"/>
      <c r="K433" s="41"/>
      <c r="L433" s="95"/>
      <c r="M433" s="128"/>
      <c r="N433" s="41"/>
      <c r="O433" s="42"/>
      <c r="P433" s="52"/>
      <c r="Q433" s="41"/>
      <c r="R433" s="42"/>
      <c r="S433" s="129"/>
      <c r="T433" s="41"/>
      <c r="U433" s="42"/>
      <c r="V433" s="41"/>
      <c r="W433" s="41"/>
      <c r="X433" s="42"/>
      <c r="Y433" s="97"/>
      <c r="Z433" s="41"/>
      <c r="AA433" s="94"/>
    </row>
    <row r="434" spans="1:27" x14ac:dyDescent="0.2">
      <c r="A434" s="96"/>
      <c r="B434" s="44"/>
      <c r="C434" s="91"/>
      <c r="D434" s="139"/>
      <c r="E434" s="44"/>
      <c r="F434" s="122"/>
      <c r="G434" s="123"/>
      <c r="H434" s="44"/>
      <c r="I434" s="93"/>
      <c r="J434" s="44"/>
      <c r="K434" s="44"/>
      <c r="L434" s="93"/>
      <c r="M434" s="124"/>
      <c r="N434" s="44"/>
      <c r="O434" s="92"/>
      <c r="P434" s="110"/>
      <c r="Q434" s="44"/>
      <c r="R434" s="92"/>
      <c r="S434" s="125"/>
      <c r="T434" s="44"/>
      <c r="U434" s="92"/>
      <c r="V434" s="44"/>
      <c r="W434" s="44"/>
      <c r="X434" s="92"/>
      <c r="Y434" s="96"/>
      <c r="Z434" s="44"/>
      <c r="AA434" s="91"/>
    </row>
    <row r="435" spans="1:27" x14ac:dyDescent="0.2">
      <c r="A435" s="96"/>
      <c r="B435" s="44"/>
      <c r="C435" s="91"/>
      <c r="D435" s="139"/>
      <c r="E435" s="44"/>
      <c r="F435" s="122"/>
      <c r="G435" s="123"/>
      <c r="H435" s="44"/>
      <c r="I435" s="93"/>
      <c r="J435" s="44"/>
      <c r="K435" s="44"/>
      <c r="L435" s="93"/>
      <c r="M435" s="124"/>
      <c r="N435" s="44"/>
      <c r="O435" s="92"/>
      <c r="P435" s="110"/>
      <c r="Q435" s="44"/>
      <c r="R435" s="92"/>
      <c r="S435" s="125"/>
      <c r="T435" s="44"/>
      <c r="U435" s="92"/>
      <c r="V435" s="44"/>
      <c r="W435" s="44"/>
      <c r="X435" s="92"/>
      <c r="Y435" s="96"/>
      <c r="Z435" s="44"/>
      <c r="AA435" s="91"/>
    </row>
    <row r="436" spans="1:27" x14ac:dyDescent="0.2">
      <c r="A436" s="97"/>
      <c r="B436" s="41"/>
      <c r="C436" s="94"/>
      <c r="D436" s="140"/>
      <c r="E436" s="41"/>
      <c r="F436" s="126"/>
      <c r="G436" s="127"/>
      <c r="H436" s="41"/>
      <c r="I436" s="95"/>
      <c r="J436" s="41"/>
      <c r="K436" s="41"/>
      <c r="L436" s="95"/>
      <c r="M436" s="128"/>
      <c r="N436" s="41"/>
      <c r="O436" s="42"/>
      <c r="P436" s="52"/>
      <c r="Q436" s="41"/>
      <c r="R436" s="42"/>
      <c r="S436" s="129"/>
      <c r="T436" s="41"/>
      <c r="U436" s="42"/>
      <c r="V436" s="41"/>
      <c r="W436" s="41"/>
      <c r="X436" s="42"/>
      <c r="Y436" s="97"/>
      <c r="Z436" s="41"/>
      <c r="AA436" s="94"/>
    </row>
    <row r="437" spans="1:27" x14ac:dyDescent="0.2">
      <c r="A437" s="87"/>
      <c r="B437" s="87"/>
      <c r="C437" s="88"/>
      <c r="D437" s="138"/>
      <c r="E437" s="87"/>
      <c r="F437" s="118"/>
      <c r="G437" s="119"/>
      <c r="H437" s="87"/>
      <c r="I437" s="90"/>
      <c r="J437" s="87"/>
      <c r="K437" s="87"/>
      <c r="L437" s="90"/>
      <c r="M437" s="120"/>
      <c r="N437" s="87"/>
      <c r="O437" s="89"/>
      <c r="P437" s="130"/>
      <c r="Q437" s="87"/>
      <c r="R437" s="89"/>
      <c r="S437" s="121"/>
      <c r="T437" s="87"/>
      <c r="U437" s="89"/>
      <c r="V437" s="87"/>
      <c r="W437" s="87"/>
      <c r="X437" s="89"/>
      <c r="Y437" s="87"/>
      <c r="Z437" s="87"/>
      <c r="AA437" s="88"/>
    </row>
    <row r="438" spans="1:27" x14ac:dyDescent="0.2">
      <c r="A438" s="44"/>
      <c r="B438" s="44"/>
      <c r="C438" s="91"/>
      <c r="D438" s="139"/>
      <c r="E438" s="44"/>
      <c r="F438" s="122"/>
      <c r="G438" s="123"/>
      <c r="H438" s="44"/>
      <c r="I438" s="93"/>
      <c r="J438" s="44"/>
      <c r="K438" s="44"/>
      <c r="L438" s="93"/>
      <c r="M438" s="124"/>
      <c r="N438" s="44"/>
      <c r="O438" s="92"/>
      <c r="P438" s="110"/>
      <c r="Q438" s="44"/>
      <c r="R438" s="92"/>
      <c r="S438" s="125"/>
      <c r="T438" s="44"/>
      <c r="U438" s="92"/>
      <c r="V438" s="44"/>
      <c r="W438" s="44"/>
      <c r="X438" s="92"/>
      <c r="Y438" s="44"/>
      <c r="Z438" s="44"/>
      <c r="AA438" s="91"/>
    </row>
    <row r="439" spans="1:27" x14ac:dyDescent="0.2">
      <c r="A439" s="41"/>
      <c r="B439" s="41"/>
      <c r="C439" s="94"/>
      <c r="D439" s="140"/>
      <c r="E439" s="41"/>
      <c r="F439" s="126"/>
      <c r="G439" s="127"/>
      <c r="H439" s="41"/>
      <c r="I439" s="95"/>
      <c r="J439" s="41"/>
      <c r="K439" s="41"/>
      <c r="L439" s="95"/>
      <c r="M439" s="128"/>
      <c r="N439" s="41"/>
      <c r="O439" s="42"/>
      <c r="P439" s="52"/>
      <c r="Q439" s="41"/>
      <c r="R439" s="42"/>
      <c r="S439" s="129"/>
      <c r="T439" s="41"/>
      <c r="U439" s="42"/>
      <c r="V439" s="41"/>
      <c r="W439" s="41"/>
      <c r="X439" s="42"/>
      <c r="Y439" s="41"/>
      <c r="Z439" s="41"/>
      <c r="AA439" s="94"/>
    </row>
    <row r="440" spans="1:27" x14ac:dyDescent="0.2">
      <c r="A440" s="44"/>
      <c r="B440" s="44"/>
      <c r="C440" s="91"/>
      <c r="D440" s="139"/>
      <c r="E440" s="44"/>
      <c r="F440" s="122"/>
      <c r="G440" s="123"/>
      <c r="H440" s="44"/>
      <c r="I440" s="93"/>
      <c r="J440" s="44"/>
      <c r="K440" s="44"/>
      <c r="L440" s="93"/>
      <c r="M440" s="124"/>
      <c r="N440" s="44"/>
      <c r="O440" s="92"/>
      <c r="P440" s="110"/>
      <c r="Q440" s="44"/>
      <c r="R440" s="92"/>
      <c r="S440" s="125"/>
      <c r="T440" s="44"/>
      <c r="U440" s="92"/>
      <c r="V440" s="44"/>
      <c r="W440" s="44"/>
      <c r="X440" s="92"/>
      <c r="Y440" s="44"/>
      <c r="Z440" s="44"/>
      <c r="AA440" s="91"/>
    </row>
    <row r="441" spans="1:27" x14ac:dyDescent="0.2">
      <c r="A441" s="87"/>
      <c r="B441" s="87"/>
      <c r="C441" s="88"/>
      <c r="D441" s="138"/>
      <c r="E441" s="87"/>
      <c r="F441" s="118"/>
      <c r="G441" s="119"/>
      <c r="H441" s="87"/>
      <c r="I441" s="90"/>
      <c r="J441" s="87"/>
      <c r="K441" s="87"/>
      <c r="L441" s="90"/>
      <c r="M441" s="120"/>
      <c r="N441" s="87"/>
      <c r="O441" s="89"/>
      <c r="P441" s="87"/>
      <c r="Q441" s="87"/>
      <c r="R441" s="89"/>
      <c r="S441" s="121"/>
      <c r="T441" s="87"/>
      <c r="U441" s="89"/>
      <c r="V441" s="87"/>
      <c r="W441" s="87"/>
      <c r="X441" s="89"/>
      <c r="Y441" s="87"/>
      <c r="Z441" s="87"/>
      <c r="AA441" s="88"/>
    </row>
    <row r="442" spans="1:27" x14ac:dyDescent="0.2">
      <c r="A442" s="44"/>
      <c r="B442" s="44"/>
      <c r="C442" s="91"/>
      <c r="D442" s="139"/>
      <c r="E442" s="44"/>
      <c r="F442" s="122"/>
      <c r="G442" s="123"/>
      <c r="H442" s="44"/>
      <c r="I442" s="93"/>
      <c r="J442" s="44"/>
      <c r="K442" s="44"/>
      <c r="L442" s="93"/>
      <c r="M442" s="124"/>
      <c r="N442" s="44"/>
      <c r="O442" s="92"/>
      <c r="P442" s="110"/>
      <c r="Q442" s="44"/>
      <c r="R442" s="92"/>
      <c r="S442" s="125"/>
      <c r="T442" s="44"/>
      <c r="U442" s="92"/>
      <c r="V442" s="44"/>
      <c r="W442" s="44"/>
      <c r="X442" s="92"/>
      <c r="Y442" s="44"/>
      <c r="Z442" s="44"/>
      <c r="AA442" s="91"/>
    </row>
    <row r="443" spans="1:27" x14ac:dyDescent="0.2">
      <c r="A443" s="41"/>
      <c r="B443" s="41"/>
      <c r="C443" s="94"/>
      <c r="D443" s="140"/>
      <c r="E443" s="41"/>
      <c r="F443" s="126"/>
      <c r="G443" s="127"/>
      <c r="H443" s="41"/>
      <c r="I443" s="95"/>
      <c r="J443" s="41"/>
      <c r="K443" s="41"/>
      <c r="L443" s="95"/>
      <c r="M443" s="128"/>
      <c r="N443" s="41"/>
      <c r="O443" s="42"/>
      <c r="P443" s="52"/>
      <c r="Q443" s="41"/>
      <c r="R443" s="42"/>
      <c r="S443" s="129"/>
      <c r="T443" s="41"/>
      <c r="U443" s="42"/>
      <c r="V443" s="41"/>
      <c r="W443" s="41"/>
      <c r="X443" s="42"/>
      <c r="Y443" s="41"/>
      <c r="Z443" s="41"/>
      <c r="AA443" s="94"/>
    </row>
    <row r="444" spans="1:27" x14ac:dyDescent="0.2">
      <c r="A444" s="44"/>
      <c r="B444" s="44"/>
      <c r="C444" s="91"/>
      <c r="D444" s="139"/>
      <c r="E444" s="44"/>
      <c r="F444" s="122"/>
      <c r="G444" s="123"/>
      <c r="H444" s="44"/>
      <c r="I444" s="93"/>
      <c r="J444" s="44"/>
      <c r="K444" s="44"/>
      <c r="L444" s="93"/>
      <c r="M444" s="124"/>
      <c r="N444" s="44"/>
      <c r="O444" s="92"/>
      <c r="P444" s="110"/>
      <c r="Q444" s="44"/>
      <c r="R444" s="92"/>
      <c r="S444" s="125"/>
      <c r="T444" s="44"/>
      <c r="U444" s="92"/>
      <c r="V444" s="44"/>
      <c r="W444" s="44"/>
      <c r="X444" s="92"/>
      <c r="Y444" s="44"/>
      <c r="Z444" s="44"/>
      <c r="AA444" s="91"/>
    </row>
    <row r="445" spans="1:27" x14ac:dyDescent="0.2">
      <c r="A445" s="41"/>
      <c r="B445" s="41"/>
      <c r="C445" s="94"/>
      <c r="D445" s="140"/>
      <c r="E445" s="41"/>
      <c r="F445" s="126"/>
      <c r="G445" s="127"/>
      <c r="H445" s="41"/>
      <c r="I445" s="95"/>
      <c r="J445" s="41"/>
      <c r="K445" s="41"/>
      <c r="L445" s="95"/>
      <c r="M445" s="128"/>
      <c r="N445" s="41"/>
      <c r="O445" s="42"/>
      <c r="P445" s="52"/>
      <c r="Q445" s="41"/>
      <c r="R445" s="42"/>
      <c r="S445" s="129"/>
      <c r="T445" s="41"/>
      <c r="U445" s="42"/>
      <c r="V445" s="41"/>
      <c r="W445" s="41"/>
      <c r="X445" s="42"/>
      <c r="Y445" s="41"/>
      <c r="Z445" s="41"/>
      <c r="AA445" s="94"/>
    </row>
    <row r="446" spans="1:27" x14ac:dyDescent="0.2">
      <c r="A446" s="44"/>
      <c r="B446" s="44"/>
      <c r="C446" s="91"/>
      <c r="D446" s="139"/>
      <c r="E446" s="44"/>
      <c r="F446" s="122"/>
      <c r="G446" s="123"/>
      <c r="H446" s="44"/>
      <c r="I446" s="93"/>
      <c r="J446" s="44"/>
      <c r="K446" s="44"/>
      <c r="L446" s="93"/>
      <c r="M446" s="124"/>
      <c r="N446" s="44"/>
      <c r="O446" s="92"/>
      <c r="P446" s="110"/>
      <c r="Q446" s="44"/>
      <c r="R446" s="92"/>
      <c r="S446" s="125"/>
      <c r="T446" s="44"/>
      <c r="U446" s="92"/>
      <c r="V446" s="44"/>
      <c r="W446" s="44"/>
      <c r="X446" s="92"/>
      <c r="Y446" s="44"/>
      <c r="Z446" s="44"/>
      <c r="AA446" s="91"/>
    </row>
    <row r="447" spans="1:27" x14ac:dyDescent="0.2">
      <c r="A447" s="41"/>
      <c r="B447" s="41"/>
      <c r="C447" s="94"/>
      <c r="D447" s="140"/>
      <c r="E447" s="41"/>
      <c r="F447" s="126"/>
      <c r="G447" s="127"/>
      <c r="H447" s="41"/>
      <c r="I447" s="95"/>
      <c r="J447" s="41"/>
      <c r="K447" s="41"/>
      <c r="L447" s="95"/>
      <c r="M447" s="128"/>
      <c r="N447" s="41"/>
      <c r="O447" s="42"/>
      <c r="P447" s="52"/>
      <c r="Q447" s="41"/>
      <c r="R447" s="42"/>
      <c r="S447" s="129"/>
      <c r="T447" s="41"/>
      <c r="U447" s="42"/>
      <c r="V447" s="41"/>
      <c r="W447" s="41"/>
      <c r="X447" s="42"/>
      <c r="Y447" s="41"/>
      <c r="Z447" s="41"/>
      <c r="AA447" s="94"/>
    </row>
    <row r="448" spans="1:27" x14ac:dyDescent="0.2">
      <c r="A448" s="44"/>
      <c r="B448" s="44"/>
      <c r="C448" s="91"/>
      <c r="D448" s="139"/>
      <c r="E448" s="44"/>
      <c r="F448" s="122"/>
      <c r="G448" s="123"/>
      <c r="H448" s="44"/>
      <c r="I448" s="93"/>
      <c r="J448" s="44"/>
      <c r="K448" s="44"/>
      <c r="L448" s="93"/>
      <c r="M448" s="124"/>
      <c r="N448" s="44"/>
      <c r="O448" s="92"/>
      <c r="P448" s="110"/>
      <c r="Q448" s="44"/>
      <c r="R448" s="92"/>
      <c r="S448" s="125"/>
      <c r="T448" s="44"/>
      <c r="U448" s="92"/>
      <c r="V448" s="44"/>
      <c r="W448" s="44"/>
      <c r="X448" s="92"/>
      <c r="Y448" s="44"/>
      <c r="Z448" s="44"/>
      <c r="AA448" s="91"/>
    </row>
    <row r="449" spans="1:27" x14ac:dyDescent="0.2">
      <c r="A449" s="41"/>
      <c r="B449" s="41"/>
      <c r="C449" s="94"/>
      <c r="D449" s="140"/>
      <c r="E449" s="41"/>
      <c r="F449" s="126"/>
      <c r="G449" s="127"/>
      <c r="H449" s="41"/>
      <c r="I449" s="95"/>
      <c r="J449" s="41"/>
      <c r="K449" s="41"/>
      <c r="L449" s="95"/>
      <c r="M449" s="128"/>
      <c r="N449" s="41"/>
      <c r="O449" s="42"/>
      <c r="P449" s="52"/>
      <c r="Q449" s="41"/>
      <c r="R449" s="42"/>
      <c r="S449" s="129"/>
      <c r="T449" s="41"/>
      <c r="U449" s="42"/>
      <c r="V449" s="41"/>
      <c r="W449" s="41"/>
      <c r="X449" s="42"/>
      <c r="Y449" s="41"/>
      <c r="Z449" s="41"/>
      <c r="AA449" s="94"/>
    </row>
    <row r="450" spans="1:27" x14ac:dyDescent="0.2">
      <c r="A450" s="44"/>
      <c r="B450" s="44"/>
      <c r="C450" s="91"/>
      <c r="D450" s="139"/>
      <c r="E450" s="44"/>
      <c r="F450" s="122"/>
      <c r="G450" s="123"/>
      <c r="H450" s="44"/>
      <c r="I450" s="93"/>
      <c r="J450" s="44"/>
      <c r="K450" s="44"/>
      <c r="L450" s="93"/>
      <c r="M450" s="124"/>
      <c r="N450" s="44"/>
      <c r="O450" s="92"/>
      <c r="P450" s="110"/>
      <c r="Q450" s="44"/>
      <c r="R450" s="92"/>
      <c r="S450" s="125"/>
      <c r="T450" s="44"/>
      <c r="U450" s="92"/>
      <c r="V450" s="44"/>
      <c r="W450" s="44"/>
      <c r="X450" s="92"/>
      <c r="Y450" s="44"/>
      <c r="Z450" s="44"/>
      <c r="AA450" s="91"/>
    </row>
    <row r="451" spans="1:27" x14ac:dyDescent="0.2">
      <c r="A451" s="41"/>
      <c r="B451" s="41"/>
      <c r="C451" s="94"/>
      <c r="D451" s="140"/>
      <c r="E451" s="41"/>
      <c r="F451" s="126"/>
      <c r="G451" s="127"/>
      <c r="H451" s="41"/>
      <c r="I451" s="95"/>
      <c r="J451" s="41"/>
      <c r="K451" s="41"/>
      <c r="L451" s="95"/>
      <c r="M451" s="128"/>
      <c r="N451" s="41"/>
      <c r="O451" s="42"/>
      <c r="P451" s="52"/>
      <c r="Q451" s="41"/>
      <c r="R451" s="42"/>
      <c r="S451" s="129"/>
      <c r="T451" s="41"/>
      <c r="U451" s="42"/>
      <c r="V451" s="41"/>
      <c r="W451" s="41"/>
      <c r="X451" s="42"/>
      <c r="Y451" s="41"/>
      <c r="Z451" s="41"/>
      <c r="AA451" s="94"/>
    </row>
    <row r="452" spans="1:27" x14ac:dyDescent="0.2">
      <c r="A452" s="44"/>
      <c r="B452" s="44"/>
      <c r="C452" s="91"/>
      <c r="D452" s="139"/>
      <c r="E452" s="44"/>
      <c r="F452" s="122"/>
      <c r="G452" s="123"/>
      <c r="H452" s="44"/>
      <c r="I452" s="93"/>
      <c r="J452" s="44"/>
      <c r="K452" s="44"/>
      <c r="L452" s="93"/>
      <c r="M452" s="124"/>
      <c r="N452" s="44"/>
      <c r="O452" s="92"/>
      <c r="P452" s="110"/>
      <c r="Q452" s="44"/>
      <c r="R452" s="92"/>
      <c r="S452" s="125"/>
      <c r="T452" s="44"/>
      <c r="U452" s="92"/>
      <c r="V452" s="44"/>
      <c r="W452" s="44"/>
      <c r="X452" s="92"/>
      <c r="Y452" s="44"/>
      <c r="Z452" s="44"/>
      <c r="AA452" s="91"/>
    </row>
    <row r="453" spans="1:27" x14ac:dyDescent="0.2">
      <c r="A453" s="41"/>
      <c r="B453" s="41"/>
      <c r="C453" s="94"/>
      <c r="D453" s="140"/>
      <c r="E453" s="41"/>
      <c r="F453" s="126"/>
      <c r="G453" s="127"/>
      <c r="H453" s="41"/>
      <c r="I453" s="95"/>
      <c r="J453" s="41"/>
      <c r="K453" s="41"/>
      <c r="L453" s="95"/>
      <c r="M453" s="128"/>
      <c r="N453" s="41"/>
      <c r="O453" s="42"/>
      <c r="P453" s="52"/>
      <c r="Q453" s="41"/>
      <c r="R453" s="42"/>
      <c r="S453" s="129"/>
      <c r="T453" s="41"/>
      <c r="U453" s="42"/>
      <c r="V453" s="41"/>
      <c r="W453" s="41"/>
      <c r="X453" s="42"/>
      <c r="Y453" s="41"/>
      <c r="Z453" s="41"/>
      <c r="AA453" s="94"/>
    </row>
    <row r="454" spans="1:27" x14ac:dyDescent="0.2">
      <c r="A454" s="44"/>
      <c r="B454" s="44"/>
      <c r="C454" s="91"/>
      <c r="D454" s="139"/>
      <c r="E454" s="44"/>
      <c r="F454" s="122"/>
      <c r="G454" s="123"/>
      <c r="H454" s="44"/>
      <c r="I454" s="93"/>
      <c r="J454" s="44"/>
      <c r="K454" s="44"/>
      <c r="L454" s="93"/>
      <c r="M454" s="124"/>
      <c r="N454" s="44"/>
      <c r="O454" s="92"/>
      <c r="P454" s="110"/>
      <c r="Q454" s="44"/>
      <c r="R454" s="92"/>
      <c r="S454" s="125"/>
      <c r="T454" s="44"/>
      <c r="U454" s="92"/>
      <c r="V454" s="44"/>
      <c r="W454" s="44"/>
      <c r="X454" s="92"/>
      <c r="Y454" s="44"/>
      <c r="Z454" s="44"/>
      <c r="AA454" s="91"/>
    </row>
    <row r="455" spans="1:27" x14ac:dyDescent="0.2">
      <c r="A455" s="41"/>
      <c r="B455" s="41"/>
      <c r="C455" s="94"/>
      <c r="D455" s="140"/>
      <c r="E455" s="41"/>
      <c r="F455" s="126"/>
      <c r="G455" s="127"/>
      <c r="H455" s="41"/>
      <c r="I455" s="95"/>
      <c r="J455" s="41"/>
      <c r="K455" s="41"/>
      <c r="L455" s="95"/>
      <c r="M455" s="128"/>
      <c r="N455" s="41"/>
      <c r="O455" s="42"/>
      <c r="P455" s="52"/>
      <c r="Q455" s="41"/>
      <c r="R455" s="42"/>
      <c r="S455" s="129"/>
      <c r="T455" s="41"/>
      <c r="U455" s="42"/>
      <c r="V455" s="41"/>
      <c r="W455" s="41"/>
      <c r="X455" s="42"/>
      <c r="Y455" s="41"/>
      <c r="Z455" s="41"/>
      <c r="AA455" s="94"/>
    </row>
    <row r="456" spans="1:27" x14ac:dyDescent="0.2">
      <c r="A456" s="44"/>
      <c r="B456" s="44"/>
      <c r="C456" s="91"/>
      <c r="D456" s="139"/>
      <c r="E456" s="44"/>
      <c r="F456" s="122"/>
      <c r="G456" s="123"/>
      <c r="H456" s="44"/>
      <c r="I456" s="93"/>
      <c r="J456" s="44"/>
      <c r="K456" s="44"/>
      <c r="L456" s="93"/>
      <c r="M456" s="124"/>
      <c r="N456" s="44"/>
      <c r="O456" s="92"/>
      <c r="P456" s="110"/>
      <c r="Q456" s="44"/>
      <c r="R456" s="92"/>
      <c r="S456" s="125"/>
      <c r="T456" s="44"/>
      <c r="U456" s="92"/>
      <c r="V456" s="44"/>
      <c r="W456" s="44"/>
      <c r="X456" s="92"/>
      <c r="Y456" s="44"/>
      <c r="Z456" s="44"/>
      <c r="AA456" s="91"/>
    </row>
    <row r="457" spans="1:27" x14ac:dyDescent="0.2">
      <c r="A457" s="41"/>
      <c r="B457" s="41"/>
      <c r="C457" s="94"/>
      <c r="D457" s="140"/>
      <c r="E457" s="41"/>
      <c r="F457" s="126"/>
      <c r="G457" s="127"/>
      <c r="H457" s="41"/>
      <c r="I457" s="95"/>
      <c r="J457" s="41"/>
      <c r="K457" s="41"/>
      <c r="L457" s="95"/>
      <c r="M457" s="128"/>
      <c r="N457" s="41"/>
      <c r="O457" s="42"/>
      <c r="P457" s="52"/>
      <c r="Q457" s="41"/>
      <c r="R457" s="42"/>
      <c r="S457" s="129"/>
      <c r="T457" s="41"/>
      <c r="U457" s="42"/>
      <c r="V457" s="41"/>
      <c r="W457" s="41"/>
      <c r="X457" s="42"/>
      <c r="Y457" s="41"/>
      <c r="Z457" s="41"/>
      <c r="AA457" s="94"/>
    </row>
    <row r="458" spans="1:27" x14ac:dyDescent="0.2">
      <c r="A458" s="44"/>
      <c r="B458" s="44"/>
      <c r="C458" s="91"/>
      <c r="D458" s="139"/>
      <c r="E458" s="44"/>
      <c r="F458" s="122"/>
      <c r="G458" s="123"/>
      <c r="H458" s="44"/>
      <c r="I458" s="93"/>
      <c r="J458" s="44"/>
      <c r="K458" s="44"/>
      <c r="L458" s="93"/>
      <c r="M458" s="124"/>
      <c r="N458" s="44"/>
      <c r="O458" s="92"/>
      <c r="P458" s="110"/>
      <c r="Q458" s="44"/>
      <c r="R458" s="92"/>
      <c r="S458" s="125"/>
      <c r="T458" s="44"/>
      <c r="U458" s="92"/>
      <c r="V458" s="44"/>
      <c r="W458" s="44"/>
      <c r="X458" s="92"/>
      <c r="Y458" s="44"/>
      <c r="Z458" s="44"/>
      <c r="AA458" s="91"/>
    </row>
    <row r="459" spans="1:27" x14ac:dyDescent="0.2">
      <c r="A459" s="41"/>
      <c r="B459" s="41"/>
      <c r="C459" s="94"/>
      <c r="D459" s="140"/>
      <c r="E459" s="41"/>
      <c r="F459" s="127"/>
      <c r="G459" s="127"/>
      <c r="H459" s="41"/>
      <c r="I459" s="95"/>
      <c r="J459" s="41"/>
      <c r="K459" s="41"/>
      <c r="L459" s="95"/>
      <c r="M459" s="128"/>
      <c r="N459" s="41"/>
      <c r="O459" s="42"/>
      <c r="P459" s="52"/>
      <c r="Q459" s="41"/>
      <c r="R459" s="42"/>
      <c r="S459" s="129"/>
      <c r="T459" s="41"/>
      <c r="U459" s="42"/>
      <c r="V459" s="41"/>
      <c r="W459" s="41"/>
      <c r="X459" s="42"/>
      <c r="Y459" s="41"/>
      <c r="Z459" s="41"/>
      <c r="AA459" s="94"/>
    </row>
    <row r="460" spans="1:27" x14ac:dyDescent="0.2">
      <c r="A460" s="44"/>
      <c r="B460" s="44"/>
      <c r="C460" s="91"/>
      <c r="D460" s="139"/>
      <c r="E460" s="44"/>
      <c r="F460" s="122"/>
      <c r="G460" s="123"/>
      <c r="H460" s="44"/>
      <c r="I460" s="93"/>
      <c r="J460" s="44"/>
      <c r="K460" s="44"/>
      <c r="L460" s="93"/>
      <c r="M460" s="124"/>
      <c r="N460" s="44"/>
      <c r="O460" s="92"/>
      <c r="P460" s="110"/>
      <c r="Q460" s="44"/>
      <c r="R460" s="92"/>
      <c r="S460" s="125"/>
      <c r="T460" s="44"/>
      <c r="U460" s="92"/>
      <c r="V460" s="44"/>
      <c r="W460" s="44"/>
      <c r="X460" s="92"/>
      <c r="Y460" s="44"/>
      <c r="Z460" s="44"/>
      <c r="AA460" s="91"/>
    </row>
    <row r="461" spans="1:27" x14ac:dyDescent="0.2">
      <c r="A461" s="41"/>
      <c r="B461" s="41"/>
      <c r="C461" s="94"/>
      <c r="D461" s="140"/>
      <c r="E461" s="41"/>
      <c r="F461" s="126"/>
      <c r="G461" s="127"/>
      <c r="H461" s="41"/>
      <c r="I461" s="95"/>
      <c r="J461" s="41"/>
      <c r="K461" s="41"/>
      <c r="L461" s="95"/>
      <c r="M461" s="128"/>
      <c r="N461" s="41"/>
      <c r="O461" s="42"/>
      <c r="P461" s="52"/>
      <c r="Q461" s="41"/>
      <c r="R461" s="42"/>
      <c r="S461" s="129"/>
      <c r="T461" s="41"/>
      <c r="U461" s="42"/>
      <c r="V461" s="41"/>
      <c r="W461" s="41"/>
      <c r="X461" s="42"/>
      <c r="Y461" s="41"/>
      <c r="Z461" s="41"/>
      <c r="AA461" s="94"/>
    </row>
    <row r="462" spans="1:27" x14ac:dyDescent="0.2">
      <c r="A462" s="44"/>
      <c r="B462" s="44"/>
      <c r="C462" s="91"/>
      <c r="D462" s="139"/>
      <c r="E462" s="44"/>
      <c r="F462" s="122"/>
      <c r="G462" s="123"/>
      <c r="H462" s="44"/>
      <c r="I462" s="93"/>
      <c r="J462" s="44"/>
      <c r="K462" s="44"/>
      <c r="L462" s="93"/>
      <c r="M462" s="124"/>
      <c r="N462" s="44"/>
      <c r="O462" s="92"/>
      <c r="P462" s="110"/>
      <c r="Q462" s="44"/>
      <c r="R462" s="92"/>
      <c r="S462" s="125"/>
      <c r="T462" s="44"/>
      <c r="U462" s="92"/>
      <c r="V462" s="44"/>
      <c r="W462" s="44"/>
      <c r="X462" s="92"/>
      <c r="Y462" s="44"/>
      <c r="Z462" s="44"/>
      <c r="AA462" s="91"/>
    </row>
    <row r="463" spans="1:27" x14ac:dyDescent="0.2">
      <c r="A463" s="41"/>
      <c r="B463" s="41"/>
      <c r="C463" s="94"/>
      <c r="D463" s="140"/>
      <c r="E463" s="41"/>
      <c r="F463" s="126"/>
      <c r="G463" s="127"/>
      <c r="H463" s="41"/>
      <c r="I463" s="95"/>
      <c r="J463" s="41"/>
      <c r="K463" s="41"/>
      <c r="L463" s="95"/>
      <c r="M463" s="128"/>
      <c r="N463" s="41"/>
      <c r="O463" s="42"/>
      <c r="P463" s="52"/>
      <c r="Q463" s="41"/>
      <c r="R463" s="42"/>
      <c r="S463" s="129"/>
      <c r="T463" s="41"/>
      <c r="U463" s="42"/>
      <c r="V463" s="41"/>
      <c r="W463" s="41"/>
      <c r="X463" s="42"/>
      <c r="Y463" s="41"/>
      <c r="Z463" s="41"/>
      <c r="AA463" s="94"/>
    </row>
    <row r="464" spans="1:27" x14ac:dyDescent="0.2">
      <c r="A464" s="44"/>
      <c r="B464" s="44"/>
      <c r="C464" s="91"/>
      <c r="D464" s="139"/>
      <c r="E464" s="44"/>
      <c r="F464" s="122"/>
      <c r="G464" s="123"/>
      <c r="H464" s="44"/>
      <c r="I464" s="93"/>
      <c r="J464" s="44"/>
      <c r="K464" s="44"/>
      <c r="L464" s="93"/>
      <c r="M464" s="124"/>
      <c r="N464" s="44"/>
      <c r="O464" s="92"/>
      <c r="P464" s="110"/>
      <c r="Q464" s="44"/>
      <c r="R464" s="92"/>
      <c r="S464" s="125"/>
      <c r="T464" s="44"/>
      <c r="U464" s="92"/>
      <c r="V464" s="44"/>
      <c r="W464" s="44"/>
      <c r="X464" s="92"/>
      <c r="Y464" s="44"/>
      <c r="Z464" s="44"/>
      <c r="AA464" s="91"/>
    </row>
    <row r="465" spans="1:27" x14ac:dyDescent="0.2">
      <c r="A465" s="41"/>
      <c r="B465" s="41"/>
      <c r="C465" s="94"/>
      <c r="D465" s="140"/>
      <c r="E465" s="41"/>
      <c r="F465" s="126"/>
      <c r="G465" s="127"/>
      <c r="H465" s="41"/>
      <c r="I465" s="95"/>
      <c r="J465" s="41"/>
      <c r="K465" s="41"/>
      <c r="L465" s="95"/>
      <c r="M465" s="128"/>
      <c r="N465" s="41"/>
      <c r="O465" s="42"/>
      <c r="P465" s="52"/>
      <c r="Q465" s="41"/>
      <c r="R465" s="42"/>
      <c r="S465" s="129"/>
      <c r="T465" s="41"/>
      <c r="U465" s="42"/>
      <c r="V465" s="41"/>
      <c r="W465" s="41"/>
      <c r="X465" s="42"/>
      <c r="Y465" s="41"/>
      <c r="Z465" s="41"/>
      <c r="AA465" s="94"/>
    </row>
    <row r="466" spans="1:27" x14ac:dyDescent="0.2">
      <c r="A466" s="44"/>
      <c r="B466" s="44"/>
      <c r="C466" s="91"/>
      <c r="D466" s="139"/>
      <c r="E466" s="44"/>
      <c r="F466" s="122"/>
      <c r="G466" s="123"/>
      <c r="H466" s="44"/>
      <c r="I466" s="93"/>
      <c r="J466" s="44"/>
      <c r="K466" s="44"/>
      <c r="L466" s="93"/>
      <c r="M466" s="124"/>
      <c r="N466" s="44"/>
      <c r="O466" s="92"/>
      <c r="P466" s="110"/>
      <c r="Q466" s="44"/>
      <c r="R466" s="92"/>
      <c r="S466" s="125"/>
      <c r="T466" s="44"/>
      <c r="U466" s="92"/>
      <c r="V466" s="44"/>
      <c r="W466" s="44"/>
      <c r="X466" s="92"/>
      <c r="Y466" s="44"/>
      <c r="Z466" s="44"/>
      <c r="AA466" s="91"/>
    </row>
    <row r="467" spans="1:27" x14ac:dyDescent="0.2">
      <c r="A467" s="96"/>
      <c r="B467" s="44"/>
      <c r="C467" s="91"/>
      <c r="D467" s="139"/>
      <c r="E467" s="44"/>
      <c r="F467" s="122"/>
      <c r="G467" s="123"/>
      <c r="H467" s="44"/>
      <c r="I467" s="93"/>
      <c r="J467" s="44"/>
      <c r="K467" s="44"/>
      <c r="L467" s="93"/>
      <c r="M467" s="124"/>
      <c r="N467" s="44"/>
      <c r="O467" s="92"/>
      <c r="P467" s="110"/>
      <c r="Q467" s="44"/>
      <c r="R467" s="92"/>
      <c r="S467" s="125"/>
      <c r="T467" s="44"/>
      <c r="U467" s="92"/>
      <c r="V467" s="44"/>
      <c r="W467" s="44"/>
      <c r="X467" s="92"/>
      <c r="Y467" s="96"/>
      <c r="Z467" s="44"/>
      <c r="AA467" s="91"/>
    </row>
    <row r="468" spans="1:27" x14ac:dyDescent="0.2">
      <c r="A468" s="97"/>
      <c r="B468" s="41"/>
      <c r="C468" s="94"/>
      <c r="D468" s="140"/>
      <c r="E468" s="41"/>
      <c r="F468" s="126"/>
      <c r="G468" s="127"/>
      <c r="H468" s="41"/>
      <c r="I468" s="95"/>
      <c r="J468" s="41"/>
      <c r="K468" s="41"/>
      <c r="L468" s="95"/>
      <c r="M468" s="128"/>
      <c r="N468" s="41"/>
      <c r="O468" s="42"/>
      <c r="P468" s="52"/>
      <c r="Q468" s="41"/>
      <c r="R468" s="42"/>
      <c r="S468" s="129"/>
      <c r="T468" s="41"/>
      <c r="U468" s="42"/>
      <c r="V468" s="41"/>
      <c r="W468" s="41"/>
      <c r="X468" s="42"/>
      <c r="Y468" s="97"/>
      <c r="Z468" s="41"/>
      <c r="AA468" s="94"/>
    </row>
    <row r="469" spans="1:27" x14ac:dyDescent="0.2">
      <c r="A469" s="96"/>
      <c r="B469" s="44"/>
      <c r="C469" s="91"/>
      <c r="D469" s="139"/>
      <c r="E469" s="44"/>
      <c r="F469" s="122"/>
      <c r="G469" s="123"/>
      <c r="H469" s="44"/>
      <c r="I469" s="93"/>
      <c r="J469" s="44"/>
      <c r="K469" s="44"/>
      <c r="L469" s="93"/>
      <c r="M469" s="124"/>
      <c r="N469" s="44"/>
      <c r="O469" s="92"/>
      <c r="P469" s="110"/>
      <c r="Q469" s="44"/>
      <c r="R469" s="92"/>
      <c r="S469" s="125"/>
      <c r="T469" s="44"/>
      <c r="U469" s="92"/>
      <c r="V469" s="44"/>
      <c r="W469" s="44"/>
      <c r="X469" s="92"/>
      <c r="Y469" s="96"/>
      <c r="Z469" s="44"/>
      <c r="AA469" s="91"/>
    </row>
    <row r="470" spans="1:27" x14ac:dyDescent="0.2">
      <c r="A470" s="97"/>
      <c r="B470" s="41"/>
      <c r="C470" s="94"/>
      <c r="D470" s="140"/>
      <c r="E470" s="41"/>
      <c r="F470" s="126"/>
      <c r="G470" s="127"/>
      <c r="H470" s="41"/>
      <c r="I470" s="95"/>
      <c r="J470" s="41"/>
      <c r="K470" s="41"/>
      <c r="L470" s="95"/>
      <c r="M470" s="128"/>
      <c r="N470" s="41"/>
      <c r="O470" s="42"/>
      <c r="P470" s="52"/>
      <c r="Q470" s="41"/>
      <c r="R470" s="42"/>
      <c r="S470" s="129"/>
      <c r="T470" s="41"/>
      <c r="U470" s="42"/>
      <c r="V470" s="41"/>
      <c r="W470" s="41"/>
      <c r="X470" s="42"/>
      <c r="Y470" s="97"/>
      <c r="Z470" s="41"/>
      <c r="AA470" s="94"/>
    </row>
    <row r="471" spans="1:27" x14ac:dyDescent="0.2">
      <c r="A471" s="97"/>
      <c r="B471" s="41"/>
      <c r="C471" s="94"/>
      <c r="D471" s="140"/>
      <c r="E471" s="41"/>
      <c r="F471" s="126"/>
      <c r="G471" s="127"/>
      <c r="H471" s="41"/>
      <c r="I471" s="95"/>
      <c r="J471" s="41"/>
      <c r="K471" s="41"/>
      <c r="L471" s="95"/>
      <c r="M471" s="128"/>
      <c r="N471" s="41"/>
      <c r="O471" s="42"/>
      <c r="P471" s="52"/>
      <c r="Q471" s="41"/>
      <c r="R471" s="42"/>
      <c r="S471" s="129"/>
      <c r="T471" s="41"/>
      <c r="U471" s="42"/>
      <c r="V471" s="41"/>
      <c r="W471" s="41"/>
      <c r="X471" s="42"/>
      <c r="Y471" s="97"/>
      <c r="Z471" s="41"/>
      <c r="AA471" s="94"/>
    </row>
    <row r="472" spans="1:27" x14ac:dyDescent="0.2">
      <c r="A472" s="97"/>
      <c r="B472" s="41"/>
      <c r="C472" s="94"/>
      <c r="D472" s="140"/>
      <c r="E472" s="41"/>
      <c r="F472" s="126"/>
      <c r="G472" s="127"/>
      <c r="H472" s="41"/>
      <c r="I472" s="95"/>
      <c r="J472" s="41"/>
      <c r="K472" s="41"/>
      <c r="L472" s="95"/>
      <c r="M472" s="128"/>
      <c r="N472" s="41"/>
      <c r="O472" s="42"/>
      <c r="P472" s="52"/>
      <c r="Q472" s="41"/>
      <c r="R472" s="42"/>
      <c r="S472" s="129"/>
      <c r="T472" s="41"/>
      <c r="U472" s="42"/>
      <c r="V472" s="41"/>
      <c r="W472" s="41"/>
      <c r="X472" s="42"/>
      <c r="Y472" s="97"/>
      <c r="Z472" s="41"/>
      <c r="AA472" s="94"/>
    </row>
    <row r="473" spans="1:27" x14ac:dyDescent="0.2">
      <c r="A473" s="97"/>
      <c r="B473" s="41"/>
      <c r="C473" s="94"/>
      <c r="D473" s="140"/>
      <c r="E473" s="41"/>
      <c r="F473" s="126"/>
      <c r="G473" s="127"/>
      <c r="H473" s="41"/>
      <c r="I473" s="95"/>
      <c r="J473" s="41"/>
      <c r="K473" s="41"/>
      <c r="L473" s="95"/>
      <c r="M473" s="128"/>
      <c r="N473" s="41"/>
      <c r="O473" s="42"/>
      <c r="P473" s="52"/>
      <c r="Q473" s="41"/>
      <c r="R473" s="42"/>
      <c r="S473" s="129"/>
      <c r="T473" s="41"/>
      <c r="U473" s="42"/>
      <c r="V473" s="41"/>
      <c r="W473" s="41"/>
      <c r="X473" s="42"/>
      <c r="Y473" s="97"/>
      <c r="Z473" s="41"/>
      <c r="AA473" s="94"/>
    </row>
    <row r="474" spans="1:27" x14ac:dyDescent="0.2">
      <c r="A474" s="96"/>
      <c r="B474" s="44"/>
      <c r="C474" s="91"/>
      <c r="D474" s="139"/>
      <c r="E474" s="44"/>
      <c r="F474" s="122"/>
      <c r="G474" s="123"/>
      <c r="H474" s="44"/>
      <c r="I474" s="93"/>
      <c r="J474" s="44"/>
      <c r="K474" s="44"/>
      <c r="L474" s="93"/>
      <c r="M474" s="124"/>
      <c r="N474" s="44"/>
      <c r="O474" s="92"/>
      <c r="P474" s="110"/>
      <c r="Q474" s="44"/>
      <c r="R474" s="92"/>
      <c r="S474" s="125"/>
      <c r="T474" s="44"/>
      <c r="U474" s="92"/>
      <c r="V474" s="44"/>
      <c r="W474" s="44"/>
      <c r="X474" s="92"/>
      <c r="Y474" s="96"/>
      <c r="Z474" s="44"/>
      <c r="AA474" s="91"/>
    </row>
    <row r="475" spans="1:27" x14ac:dyDescent="0.2">
      <c r="A475" s="96"/>
      <c r="B475" s="44"/>
      <c r="C475" s="91"/>
      <c r="D475" s="139"/>
      <c r="E475" s="44"/>
      <c r="F475" s="122"/>
      <c r="G475" s="123"/>
      <c r="H475" s="44"/>
      <c r="I475" s="93"/>
      <c r="J475" s="44"/>
      <c r="K475" s="44"/>
      <c r="L475" s="93"/>
      <c r="M475" s="124"/>
      <c r="N475" s="44"/>
      <c r="O475" s="92"/>
      <c r="P475" s="110"/>
      <c r="Q475" s="44"/>
      <c r="R475" s="92"/>
      <c r="S475" s="125"/>
      <c r="T475" s="44"/>
      <c r="U475" s="92"/>
      <c r="V475" s="44"/>
      <c r="W475" s="44"/>
      <c r="X475" s="92"/>
      <c r="Y475" s="96"/>
      <c r="Z475" s="44"/>
      <c r="AA475" s="91"/>
    </row>
    <row r="476" spans="1:27" x14ac:dyDescent="0.2">
      <c r="A476" s="96"/>
      <c r="B476" s="44"/>
      <c r="C476" s="91"/>
      <c r="D476" s="139"/>
      <c r="E476" s="44"/>
      <c r="F476" s="122"/>
      <c r="G476" s="123"/>
      <c r="H476" s="44"/>
      <c r="I476" s="93"/>
      <c r="J476" s="44"/>
      <c r="K476" s="44"/>
      <c r="L476" s="93"/>
      <c r="M476" s="124"/>
      <c r="N476" s="44"/>
      <c r="O476" s="92"/>
      <c r="P476" s="110"/>
      <c r="Q476" s="44"/>
      <c r="R476" s="92"/>
      <c r="S476" s="125"/>
      <c r="T476" s="44"/>
      <c r="U476" s="92"/>
      <c r="V476" s="44"/>
      <c r="W476" s="44"/>
      <c r="X476" s="92"/>
      <c r="Y476" s="96"/>
      <c r="Z476" s="44"/>
      <c r="AA476" s="91"/>
    </row>
    <row r="477" spans="1:27" x14ac:dyDescent="0.2">
      <c r="A477" s="96"/>
      <c r="B477" s="44"/>
      <c r="C477" s="91"/>
      <c r="D477" s="139"/>
      <c r="E477" s="44"/>
      <c r="F477" s="122"/>
      <c r="G477" s="123"/>
      <c r="H477" s="44"/>
      <c r="I477" s="93"/>
      <c r="J477" s="44"/>
      <c r="K477" s="44"/>
      <c r="L477" s="93"/>
      <c r="M477" s="124"/>
      <c r="N477" s="44"/>
      <c r="O477" s="92"/>
      <c r="P477" s="110"/>
      <c r="Q477" s="44"/>
      <c r="R477" s="92"/>
      <c r="S477" s="125"/>
      <c r="T477" s="44"/>
      <c r="U477" s="92"/>
      <c r="V477" s="44"/>
      <c r="W477" s="44"/>
      <c r="X477" s="92"/>
      <c r="Y477" s="96"/>
      <c r="Z477" s="44"/>
      <c r="AA477" s="91"/>
    </row>
    <row r="478" spans="1:27" x14ac:dyDescent="0.2">
      <c r="A478" s="96"/>
      <c r="B478" s="44"/>
      <c r="C478" s="91"/>
      <c r="D478" s="139"/>
      <c r="E478" s="44"/>
      <c r="F478" s="122"/>
      <c r="G478" s="123"/>
      <c r="H478" s="44"/>
      <c r="I478" s="93"/>
      <c r="J478" s="44"/>
      <c r="K478" s="44"/>
      <c r="L478" s="93"/>
      <c r="M478" s="124"/>
      <c r="N478" s="44"/>
      <c r="O478" s="92"/>
      <c r="P478" s="110"/>
      <c r="Q478" s="44"/>
      <c r="R478" s="92"/>
      <c r="S478" s="125"/>
      <c r="T478" s="44"/>
      <c r="U478" s="92"/>
      <c r="V478" s="44"/>
      <c r="W478" s="44"/>
      <c r="X478" s="92"/>
      <c r="Y478" s="96"/>
      <c r="Z478" s="44"/>
      <c r="AA478" s="91"/>
    </row>
    <row r="479" spans="1:27" x14ac:dyDescent="0.2">
      <c r="A479" s="97"/>
      <c r="B479" s="41"/>
      <c r="C479" s="94"/>
      <c r="D479" s="140"/>
      <c r="E479" s="41"/>
      <c r="F479" s="126"/>
      <c r="G479" s="127"/>
      <c r="H479" s="41"/>
      <c r="I479" s="95"/>
      <c r="J479" s="41"/>
      <c r="K479" s="41"/>
      <c r="L479" s="95"/>
      <c r="M479" s="128"/>
      <c r="N479" s="41"/>
      <c r="O479" s="42"/>
      <c r="P479" s="52"/>
      <c r="Q479" s="41"/>
      <c r="R479" s="42"/>
      <c r="S479" s="129"/>
      <c r="T479" s="41"/>
      <c r="U479" s="42"/>
      <c r="V479" s="41"/>
      <c r="W479" s="41"/>
      <c r="X479" s="42"/>
      <c r="Y479" s="97"/>
      <c r="Z479" s="41"/>
      <c r="AA479" s="94"/>
    </row>
    <row r="480" spans="1:27" x14ac:dyDescent="0.2">
      <c r="A480" s="96"/>
      <c r="B480" s="44"/>
      <c r="C480" s="91"/>
      <c r="D480" s="139"/>
      <c r="E480" s="44"/>
      <c r="F480" s="122"/>
      <c r="G480" s="123"/>
      <c r="H480" s="44"/>
      <c r="I480" s="93"/>
      <c r="J480" s="44"/>
      <c r="K480" s="44"/>
      <c r="L480" s="93"/>
      <c r="M480" s="124"/>
      <c r="N480" s="44"/>
      <c r="O480" s="92"/>
      <c r="P480" s="110"/>
      <c r="Q480" s="44"/>
      <c r="R480" s="92"/>
      <c r="S480" s="125"/>
      <c r="T480" s="44"/>
      <c r="U480" s="92"/>
      <c r="V480" s="44"/>
      <c r="W480" s="44"/>
      <c r="X480" s="92"/>
      <c r="Y480" s="96"/>
      <c r="Z480" s="44"/>
      <c r="AA480" s="91"/>
    </row>
    <row r="481" spans="1:27" x14ac:dyDescent="0.2">
      <c r="A481" s="97"/>
      <c r="B481" s="41"/>
      <c r="C481" s="94"/>
      <c r="D481" s="140"/>
      <c r="E481" s="41"/>
      <c r="F481" s="126"/>
      <c r="G481" s="127"/>
      <c r="H481" s="41"/>
      <c r="I481" s="95"/>
      <c r="J481" s="41"/>
      <c r="K481" s="41"/>
      <c r="L481" s="95"/>
      <c r="M481" s="128"/>
      <c r="N481" s="41"/>
      <c r="O481" s="42"/>
      <c r="P481" s="52"/>
      <c r="Q481" s="41"/>
      <c r="R481" s="42"/>
      <c r="S481" s="129"/>
      <c r="T481" s="41"/>
      <c r="U481" s="42"/>
      <c r="V481" s="41"/>
      <c r="W481" s="41"/>
      <c r="X481" s="42"/>
      <c r="Y481" s="97"/>
      <c r="Z481" s="41"/>
      <c r="AA481" s="94"/>
    </row>
    <row r="482" spans="1:27" x14ac:dyDescent="0.2">
      <c r="A482" s="96"/>
      <c r="B482" s="44"/>
      <c r="C482" s="91"/>
      <c r="D482" s="139"/>
      <c r="E482" s="44"/>
      <c r="F482" s="122"/>
      <c r="G482" s="123"/>
      <c r="H482" s="44"/>
      <c r="I482" s="93"/>
      <c r="J482" s="44"/>
      <c r="K482" s="44"/>
      <c r="L482" s="93"/>
      <c r="M482" s="124"/>
      <c r="N482" s="44"/>
      <c r="O482" s="92"/>
      <c r="P482" s="110"/>
      <c r="Q482" s="44"/>
      <c r="R482" s="92"/>
      <c r="S482" s="125"/>
      <c r="T482" s="44"/>
      <c r="U482" s="92"/>
      <c r="V482" s="44"/>
      <c r="W482" s="44"/>
      <c r="X482" s="92"/>
      <c r="Y482" s="96"/>
      <c r="Z482" s="44"/>
      <c r="AA482" s="91"/>
    </row>
    <row r="483" spans="1:27" x14ac:dyDescent="0.2">
      <c r="A483" s="96"/>
      <c r="B483" s="44"/>
      <c r="C483" s="91"/>
      <c r="D483" s="139"/>
      <c r="E483" s="44"/>
      <c r="F483" s="122"/>
      <c r="G483" s="123"/>
      <c r="H483" s="44"/>
      <c r="I483" s="93"/>
      <c r="J483" s="44"/>
      <c r="K483" s="44"/>
      <c r="L483" s="93"/>
      <c r="M483" s="124"/>
      <c r="N483" s="44"/>
      <c r="O483" s="92"/>
      <c r="P483" s="110"/>
      <c r="Q483" s="44"/>
      <c r="R483" s="92"/>
      <c r="S483" s="125"/>
      <c r="T483" s="44"/>
      <c r="U483" s="92"/>
      <c r="V483" s="44"/>
      <c r="W483" s="44"/>
      <c r="X483" s="92"/>
      <c r="Y483" s="96"/>
      <c r="Z483" s="44"/>
      <c r="AA483" s="91"/>
    </row>
    <row r="484" spans="1:27" x14ac:dyDescent="0.2">
      <c r="A484" s="97"/>
      <c r="B484" s="41"/>
      <c r="C484" s="94"/>
      <c r="D484" s="140"/>
      <c r="E484" s="41"/>
      <c r="F484" s="126"/>
      <c r="G484" s="127"/>
      <c r="H484" s="41"/>
      <c r="I484" s="95"/>
      <c r="J484" s="41"/>
      <c r="K484" s="41"/>
      <c r="L484" s="95"/>
      <c r="M484" s="128"/>
      <c r="N484" s="41"/>
      <c r="O484" s="42"/>
      <c r="P484" s="52"/>
      <c r="Q484" s="41"/>
      <c r="R484" s="42"/>
      <c r="S484" s="129"/>
      <c r="T484" s="41"/>
      <c r="U484" s="42"/>
      <c r="V484" s="41"/>
      <c r="W484" s="41"/>
      <c r="X484" s="42"/>
      <c r="Y484" s="97"/>
      <c r="Z484" s="41"/>
      <c r="AA484" s="94"/>
    </row>
    <row r="485" spans="1:27" x14ac:dyDescent="0.2">
      <c r="A485" s="96"/>
      <c r="B485" s="44"/>
      <c r="C485" s="91"/>
      <c r="D485" s="139"/>
      <c r="E485" s="44"/>
      <c r="F485" s="122"/>
      <c r="G485" s="123"/>
      <c r="H485" s="44"/>
      <c r="I485" s="93"/>
      <c r="J485" s="44"/>
      <c r="K485" s="44"/>
      <c r="L485" s="93"/>
      <c r="M485" s="124"/>
      <c r="N485" s="44"/>
      <c r="O485" s="92"/>
      <c r="P485" s="110"/>
      <c r="Q485" s="44"/>
      <c r="R485" s="92"/>
      <c r="S485" s="125"/>
      <c r="T485" s="44"/>
      <c r="U485" s="92"/>
      <c r="V485" s="44"/>
      <c r="W485" s="44"/>
      <c r="X485" s="92"/>
      <c r="Y485" s="96"/>
      <c r="Z485" s="44"/>
      <c r="AA485" s="91"/>
    </row>
    <row r="486" spans="1:27" x14ac:dyDescent="0.2">
      <c r="A486" s="96"/>
      <c r="B486" s="44"/>
      <c r="C486" s="91"/>
      <c r="D486" s="139"/>
      <c r="E486" s="44"/>
      <c r="F486" s="122"/>
      <c r="G486" s="123"/>
      <c r="H486" s="44"/>
      <c r="I486" s="93"/>
      <c r="J486" s="44"/>
      <c r="K486" s="44"/>
      <c r="L486" s="93"/>
      <c r="M486" s="124"/>
      <c r="N486" s="44"/>
      <c r="O486" s="92"/>
      <c r="P486" s="110"/>
      <c r="Q486" s="44"/>
      <c r="R486" s="92"/>
      <c r="S486" s="125"/>
      <c r="T486" s="44"/>
      <c r="U486" s="92"/>
      <c r="V486" s="44"/>
      <c r="W486" s="44"/>
      <c r="X486" s="92"/>
      <c r="Y486" s="96"/>
      <c r="Z486" s="44"/>
      <c r="AA486" s="91"/>
    </row>
    <row r="487" spans="1:27" x14ac:dyDescent="0.2">
      <c r="A487" s="97"/>
      <c r="B487" s="41"/>
      <c r="C487" s="94"/>
      <c r="D487" s="140"/>
      <c r="E487" s="41"/>
      <c r="F487" s="126"/>
      <c r="G487" s="127"/>
      <c r="H487" s="41"/>
      <c r="I487" s="95"/>
      <c r="J487" s="41"/>
      <c r="K487" s="41"/>
      <c r="L487" s="95"/>
      <c r="M487" s="128"/>
      <c r="N487" s="41"/>
      <c r="O487" s="42"/>
      <c r="P487" s="52"/>
      <c r="Q487" s="41"/>
      <c r="R487" s="42"/>
      <c r="S487" s="129"/>
      <c r="T487" s="41"/>
      <c r="U487" s="42"/>
      <c r="V487" s="41"/>
      <c r="W487" s="41"/>
      <c r="X487" s="42"/>
      <c r="Y487" s="97"/>
      <c r="Z487" s="41"/>
      <c r="AA487" s="94"/>
    </row>
    <row r="488" spans="1:27" x14ac:dyDescent="0.2">
      <c r="A488" s="97"/>
      <c r="B488" s="41"/>
      <c r="C488" s="94"/>
      <c r="D488" s="140"/>
      <c r="E488" s="41"/>
      <c r="F488" s="126"/>
      <c r="G488" s="127"/>
      <c r="H488" s="41"/>
      <c r="I488" s="95"/>
      <c r="J488" s="41"/>
      <c r="K488" s="41"/>
      <c r="L488" s="95"/>
      <c r="M488" s="128"/>
      <c r="N488" s="41"/>
      <c r="O488" s="42"/>
      <c r="P488" s="52"/>
      <c r="Q488" s="41"/>
      <c r="R488" s="42"/>
      <c r="S488" s="129"/>
      <c r="T488" s="41"/>
      <c r="U488" s="42"/>
      <c r="V488" s="41"/>
      <c r="W488" s="41"/>
      <c r="X488" s="42"/>
      <c r="Y488" s="97"/>
      <c r="Z488" s="41"/>
      <c r="AA488" s="94"/>
    </row>
    <row r="489" spans="1:27" x14ac:dyDescent="0.2">
      <c r="A489" s="96"/>
      <c r="B489" s="44"/>
      <c r="C489" s="91"/>
      <c r="D489" s="139"/>
      <c r="E489" s="44"/>
      <c r="F489" s="122"/>
      <c r="G489" s="123"/>
      <c r="H489" s="44"/>
      <c r="I489" s="93"/>
      <c r="J489" s="44"/>
      <c r="K489" s="44"/>
      <c r="L489" s="93"/>
      <c r="M489" s="124"/>
      <c r="N489" s="44"/>
      <c r="O489" s="92"/>
      <c r="P489" s="110"/>
      <c r="Q489" s="44"/>
      <c r="R489" s="92"/>
      <c r="S489" s="125"/>
      <c r="T489" s="44"/>
      <c r="U489" s="92"/>
      <c r="V489" s="44"/>
      <c r="W489" s="44"/>
      <c r="X489" s="92"/>
      <c r="Y489" s="96"/>
      <c r="Z489" s="44"/>
      <c r="AA489" s="91"/>
    </row>
    <row r="490" spans="1:27" x14ac:dyDescent="0.2">
      <c r="A490" s="96"/>
      <c r="B490" s="44"/>
      <c r="C490" s="91"/>
      <c r="D490" s="139"/>
      <c r="E490" s="44"/>
      <c r="F490" s="122"/>
      <c r="G490" s="123"/>
      <c r="H490" s="44"/>
      <c r="I490" s="93"/>
      <c r="J490" s="44"/>
      <c r="K490" s="44"/>
      <c r="L490" s="93"/>
      <c r="M490" s="124"/>
      <c r="N490" s="44"/>
      <c r="O490" s="92"/>
      <c r="P490" s="110"/>
      <c r="Q490" s="44"/>
      <c r="R490" s="92"/>
      <c r="S490" s="125"/>
      <c r="T490" s="44"/>
      <c r="U490" s="92"/>
      <c r="V490" s="44"/>
      <c r="W490" s="44"/>
      <c r="X490" s="92"/>
      <c r="Y490" s="96"/>
      <c r="Z490" s="44"/>
      <c r="AA490" s="91"/>
    </row>
    <row r="491" spans="1:27" x14ac:dyDescent="0.2">
      <c r="A491" s="97"/>
      <c r="B491" s="41"/>
      <c r="C491" s="94"/>
      <c r="D491" s="140"/>
      <c r="E491" s="41"/>
      <c r="F491" s="126"/>
      <c r="G491" s="127"/>
      <c r="H491" s="41"/>
      <c r="I491" s="95"/>
      <c r="J491" s="41"/>
      <c r="K491" s="41"/>
      <c r="L491" s="95"/>
      <c r="M491" s="128"/>
      <c r="N491" s="41"/>
      <c r="O491" s="42"/>
      <c r="P491" s="52"/>
      <c r="Q491" s="41"/>
      <c r="R491" s="42"/>
      <c r="S491" s="129"/>
      <c r="T491" s="41"/>
      <c r="U491" s="42"/>
      <c r="V491" s="41"/>
      <c r="W491" s="41"/>
      <c r="X491" s="42"/>
      <c r="Y491" s="97"/>
      <c r="Z491" s="41"/>
      <c r="AA491" s="94"/>
    </row>
    <row r="492" spans="1:27" x14ac:dyDescent="0.2">
      <c r="A492" s="87"/>
      <c r="B492" s="87"/>
      <c r="C492" s="88"/>
      <c r="D492" s="138"/>
      <c r="E492" s="87"/>
      <c r="F492" s="118"/>
      <c r="G492" s="119"/>
      <c r="H492" s="87"/>
      <c r="I492" s="90"/>
      <c r="J492" s="87"/>
      <c r="K492" s="87"/>
      <c r="L492" s="90"/>
      <c r="M492" s="120"/>
      <c r="N492" s="87"/>
      <c r="O492" s="89"/>
      <c r="P492" s="130"/>
      <c r="Q492" s="87"/>
      <c r="R492" s="89"/>
      <c r="S492" s="121"/>
      <c r="T492" s="87"/>
      <c r="U492" s="89"/>
      <c r="V492" s="87"/>
      <c r="W492" s="87"/>
      <c r="X492" s="89"/>
      <c r="Y492" s="87"/>
      <c r="Z492" s="87"/>
      <c r="AA492" s="88"/>
    </row>
    <row r="493" spans="1:27" x14ac:dyDescent="0.2">
      <c r="A493" s="44"/>
      <c r="B493" s="44"/>
      <c r="C493" s="91"/>
      <c r="D493" s="139"/>
      <c r="E493" s="44"/>
      <c r="F493" s="122"/>
      <c r="G493" s="123"/>
      <c r="H493" s="44"/>
      <c r="I493" s="93"/>
      <c r="J493" s="44"/>
      <c r="K493" s="44"/>
      <c r="L493" s="93"/>
      <c r="M493" s="124"/>
      <c r="N493" s="44"/>
      <c r="O493" s="92"/>
      <c r="P493" s="110"/>
      <c r="Q493" s="44"/>
      <c r="R493" s="92"/>
      <c r="S493" s="125"/>
      <c r="T493" s="44"/>
      <c r="U493" s="92"/>
      <c r="V493" s="44"/>
      <c r="W493" s="44"/>
      <c r="X493" s="92"/>
      <c r="Y493" s="44"/>
      <c r="Z493" s="44"/>
      <c r="AA493" s="91"/>
    </row>
    <row r="494" spans="1:27" x14ac:dyDescent="0.2">
      <c r="A494" s="41"/>
      <c r="B494" s="41"/>
      <c r="C494" s="94"/>
      <c r="D494" s="140"/>
      <c r="E494" s="41"/>
      <c r="F494" s="126"/>
      <c r="G494" s="127"/>
      <c r="H494" s="41"/>
      <c r="I494" s="95"/>
      <c r="J494" s="41"/>
      <c r="K494" s="41"/>
      <c r="L494" s="95"/>
      <c r="M494" s="128"/>
      <c r="N494" s="41"/>
      <c r="O494" s="42"/>
      <c r="P494" s="52"/>
      <c r="Q494" s="41"/>
      <c r="R494" s="42"/>
      <c r="S494" s="129"/>
      <c r="T494" s="41"/>
      <c r="U494" s="42"/>
      <c r="V494" s="41"/>
      <c r="W494" s="41"/>
      <c r="X494" s="42"/>
      <c r="Y494" s="41"/>
      <c r="Z494" s="41"/>
      <c r="AA494" s="94"/>
    </row>
    <row r="495" spans="1:27" x14ac:dyDescent="0.2">
      <c r="A495" s="44"/>
      <c r="B495" s="44"/>
      <c r="C495" s="91"/>
      <c r="D495" s="139"/>
      <c r="E495" s="44"/>
      <c r="F495" s="122"/>
      <c r="G495" s="123"/>
      <c r="H495" s="44"/>
      <c r="I495" s="93"/>
      <c r="J495" s="44"/>
      <c r="K495" s="44"/>
      <c r="L495" s="93"/>
      <c r="M495" s="124"/>
      <c r="N495" s="44"/>
      <c r="O495" s="92"/>
      <c r="P495" s="110"/>
      <c r="Q495" s="44"/>
      <c r="R495" s="92"/>
      <c r="S495" s="125"/>
      <c r="T495" s="44"/>
      <c r="U495" s="92"/>
      <c r="V495" s="44"/>
      <c r="W495" s="44"/>
      <c r="X495" s="92"/>
      <c r="Y495" s="44"/>
      <c r="Z495" s="44"/>
      <c r="AA495" s="91"/>
    </row>
    <row r="496" spans="1:27" x14ac:dyDescent="0.2">
      <c r="A496" s="87"/>
      <c r="B496" s="87"/>
      <c r="C496" s="88"/>
      <c r="D496" s="138"/>
      <c r="E496" s="87"/>
      <c r="F496" s="118"/>
      <c r="G496" s="119"/>
      <c r="H496" s="87"/>
      <c r="I496" s="90"/>
      <c r="J496" s="87"/>
      <c r="K496" s="87"/>
      <c r="L496" s="90"/>
      <c r="M496" s="120"/>
      <c r="N496" s="87"/>
      <c r="O496" s="89"/>
      <c r="P496" s="87"/>
      <c r="Q496" s="87"/>
      <c r="R496" s="89"/>
      <c r="S496" s="121"/>
      <c r="T496" s="87"/>
      <c r="U496" s="89"/>
      <c r="V496" s="87"/>
      <c r="W496" s="87"/>
      <c r="X496" s="89"/>
      <c r="Y496" s="87"/>
      <c r="Z496" s="87"/>
      <c r="AA496" s="88"/>
    </row>
    <row r="497" spans="1:27" x14ac:dyDescent="0.2">
      <c r="A497" s="44"/>
      <c r="B497" s="44"/>
      <c r="C497" s="91"/>
      <c r="D497" s="139"/>
      <c r="E497" s="44"/>
      <c r="F497" s="122"/>
      <c r="G497" s="123"/>
      <c r="H497" s="44"/>
      <c r="I497" s="93"/>
      <c r="J497" s="44"/>
      <c r="K497" s="44"/>
      <c r="L497" s="93"/>
      <c r="M497" s="124"/>
      <c r="N497" s="44"/>
      <c r="O497" s="92"/>
      <c r="P497" s="110"/>
      <c r="Q497" s="44"/>
      <c r="R497" s="92"/>
      <c r="S497" s="125"/>
      <c r="T497" s="44"/>
      <c r="U497" s="92"/>
      <c r="V497" s="44"/>
      <c r="W497" s="44"/>
      <c r="X497" s="92"/>
      <c r="Y497" s="44"/>
      <c r="Z497" s="44"/>
      <c r="AA497" s="91"/>
    </row>
    <row r="498" spans="1:27" x14ac:dyDescent="0.2">
      <c r="A498" s="41"/>
      <c r="B498" s="41"/>
      <c r="C498" s="94"/>
      <c r="D498" s="140"/>
      <c r="E498" s="41"/>
      <c r="F498" s="126"/>
      <c r="G498" s="127"/>
      <c r="H498" s="41"/>
      <c r="I498" s="95"/>
      <c r="J498" s="41"/>
      <c r="K498" s="41"/>
      <c r="L498" s="95"/>
      <c r="M498" s="128"/>
      <c r="N498" s="41"/>
      <c r="O498" s="42"/>
      <c r="P498" s="52"/>
      <c r="Q498" s="41"/>
      <c r="R498" s="42"/>
      <c r="S498" s="129"/>
      <c r="T498" s="41"/>
      <c r="U498" s="42"/>
      <c r="V498" s="41"/>
      <c r="W498" s="41"/>
      <c r="X498" s="42"/>
      <c r="Y498" s="41"/>
      <c r="Z498" s="41"/>
      <c r="AA498" s="94"/>
    </row>
    <row r="499" spans="1:27" x14ac:dyDescent="0.2">
      <c r="A499" s="44"/>
      <c r="B499" s="44"/>
      <c r="C499" s="91"/>
      <c r="D499" s="139"/>
      <c r="E499" s="44"/>
      <c r="F499" s="122"/>
      <c r="G499" s="123"/>
      <c r="H499" s="44"/>
      <c r="I499" s="93"/>
      <c r="J499" s="44"/>
      <c r="K499" s="44"/>
      <c r="L499" s="93"/>
      <c r="M499" s="124"/>
      <c r="N499" s="44"/>
      <c r="O499" s="92"/>
      <c r="P499" s="110"/>
      <c r="Q499" s="44"/>
      <c r="R499" s="92"/>
      <c r="S499" s="125"/>
      <c r="T499" s="44"/>
      <c r="U499" s="92"/>
      <c r="V499" s="44"/>
      <c r="W499" s="44"/>
      <c r="X499" s="92"/>
      <c r="Y499" s="44"/>
      <c r="Z499" s="44"/>
      <c r="AA499" s="91"/>
    </row>
    <row r="500" spans="1:27" x14ac:dyDescent="0.2">
      <c r="A500" s="41"/>
      <c r="B500" s="41"/>
      <c r="C500" s="94"/>
      <c r="D500" s="140"/>
      <c r="E500" s="41"/>
      <c r="F500" s="126"/>
      <c r="G500" s="127"/>
      <c r="H500" s="41"/>
      <c r="I500" s="95"/>
      <c r="J500" s="41"/>
      <c r="K500" s="41"/>
      <c r="L500" s="95"/>
      <c r="M500" s="128"/>
      <c r="N500" s="41"/>
      <c r="O500" s="42"/>
      <c r="P500" s="52"/>
      <c r="Q500" s="41"/>
      <c r="R500" s="42"/>
      <c r="S500" s="129"/>
      <c r="T500" s="41"/>
      <c r="U500" s="42"/>
      <c r="V500" s="41"/>
      <c r="W500" s="41"/>
      <c r="X500" s="42"/>
      <c r="Y500" s="41"/>
      <c r="Z500" s="41"/>
      <c r="AA500" s="94"/>
    </row>
    <row r="501" spans="1:27" x14ac:dyDescent="0.2">
      <c r="A501" s="44"/>
      <c r="B501" s="44"/>
      <c r="C501" s="91"/>
      <c r="D501" s="139"/>
      <c r="E501" s="44"/>
      <c r="F501" s="122"/>
      <c r="G501" s="123"/>
      <c r="H501" s="44"/>
      <c r="I501" s="93"/>
      <c r="J501" s="44"/>
      <c r="K501" s="44"/>
      <c r="L501" s="93"/>
      <c r="M501" s="124"/>
      <c r="N501" s="44"/>
      <c r="O501" s="92"/>
      <c r="P501" s="110"/>
      <c r="Q501" s="44"/>
      <c r="R501" s="92"/>
      <c r="S501" s="125"/>
      <c r="T501" s="44"/>
      <c r="U501" s="92"/>
      <c r="V501" s="44"/>
      <c r="W501" s="44"/>
      <c r="X501" s="92"/>
      <c r="Y501" s="44"/>
      <c r="Z501" s="44"/>
      <c r="AA501" s="91"/>
    </row>
    <row r="502" spans="1:27" x14ac:dyDescent="0.2">
      <c r="A502" s="41"/>
      <c r="B502" s="41"/>
      <c r="C502" s="94"/>
      <c r="D502" s="140"/>
      <c r="E502" s="41"/>
      <c r="F502" s="126"/>
      <c r="G502" s="127"/>
      <c r="H502" s="41"/>
      <c r="I502" s="95"/>
      <c r="J502" s="41"/>
      <c r="K502" s="41"/>
      <c r="L502" s="95"/>
      <c r="M502" s="128"/>
      <c r="N502" s="41"/>
      <c r="O502" s="42"/>
      <c r="P502" s="52"/>
      <c r="Q502" s="41"/>
      <c r="R502" s="42"/>
      <c r="S502" s="129"/>
      <c r="T502" s="41"/>
      <c r="U502" s="42"/>
      <c r="V502" s="41"/>
      <c r="W502" s="41"/>
      <c r="X502" s="42"/>
      <c r="Y502" s="41"/>
      <c r="Z502" s="41"/>
      <c r="AA502" s="94"/>
    </row>
    <row r="503" spans="1:27" x14ac:dyDescent="0.2">
      <c r="A503" s="44"/>
      <c r="B503" s="44"/>
      <c r="C503" s="91"/>
      <c r="D503" s="139"/>
      <c r="E503" s="44"/>
      <c r="F503" s="122"/>
      <c r="G503" s="123"/>
      <c r="H503" s="44"/>
      <c r="I503" s="93"/>
      <c r="J503" s="44"/>
      <c r="K503" s="44"/>
      <c r="L503" s="93"/>
      <c r="M503" s="124"/>
      <c r="N503" s="44"/>
      <c r="O503" s="92"/>
      <c r="P503" s="110"/>
      <c r="Q503" s="44"/>
      <c r="R503" s="92"/>
      <c r="S503" s="125"/>
      <c r="T503" s="44"/>
      <c r="U503" s="92"/>
      <c r="V503" s="44"/>
      <c r="W503" s="44"/>
      <c r="X503" s="92"/>
      <c r="Y503" s="44"/>
      <c r="Z503" s="44"/>
      <c r="AA503" s="91"/>
    </row>
    <row r="504" spans="1:27" x14ac:dyDescent="0.2">
      <c r="A504" s="41"/>
      <c r="B504" s="41"/>
      <c r="C504" s="94"/>
      <c r="D504" s="140"/>
      <c r="E504" s="41"/>
      <c r="F504" s="126"/>
      <c r="G504" s="127"/>
      <c r="H504" s="41"/>
      <c r="I504" s="95"/>
      <c r="J504" s="41"/>
      <c r="K504" s="41"/>
      <c r="L504" s="95"/>
      <c r="M504" s="128"/>
      <c r="N504" s="41"/>
      <c r="O504" s="42"/>
      <c r="P504" s="52"/>
      <c r="Q504" s="41"/>
      <c r="R504" s="42"/>
      <c r="S504" s="129"/>
      <c r="T504" s="41"/>
      <c r="U504" s="42"/>
      <c r="V504" s="41"/>
      <c r="W504" s="41"/>
      <c r="X504" s="42"/>
      <c r="Y504" s="41"/>
      <c r="Z504" s="41"/>
      <c r="AA504" s="94"/>
    </row>
    <row r="505" spans="1:27" x14ac:dyDescent="0.2">
      <c r="A505" s="44"/>
      <c r="B505" s="44"/>
      <c r="C505" s="91"/>
      <c r="D505" s="139"/>
      <c r="E505" s="44"/>
      <c r="F505" s="122"/>
      <c r="G505" s="123"/>
      <c r="H505" s="44"/>
      <c r="I505" s="93"/>
      <c r="J505" s="44"/>
      <c r="K505" s="44"/>
      <c r="L505" s="93"/>
      <c r="M505" s="124"/>
      <c r="N505" s="44"/>
      <c r="O505" s="92"/>
      <c r="P505" s="110"/>
      <c r="Q505" s="44"/>
      <c r="R505" s="92"/>
      <c r="S505" s="125"/>
      <c r="T505" s="44"/>
      <c r="U505" s="92"/>
      <c r="V505" s="44"/>
      <c r="W505" s="44"/>
      <c r="X505" s="92"/>
      <c r="Y505" s="44"/>
      <c r="Z505" s="44"/>
      <c r="AA505" s="91"/>
    </row>
    <row r="506" spans="1:27" x14ac:dyDescent="0.2">
      <c r="A506" s="41"/>
      <c r="B506" s="41"/>
      <c r="C506" s="94"/>
      <c r="D506" s="140"/>
      <c r="E506" s="41"/>
      <c r="F506" s="126"/>
      <c r="G506" s="127"/>
      <c r="H506" s="41"/>
      <c r="I506" s="95"/>
      <c r="J506" s="41"/>
      <c r="K506" s="41"/>
      <c r="L506" s="95"/>
      <c r="M506" s="128"/>
      <c r="N506" s="41"/>
      <c r="O506" s="42"/>
      <c r="P506" s="52"/>
      <c r="Q506" s="41"/>
      <c r="R506" s="42"/>
      <c r="S506" s="129"/>
      <c r="T506" s="41"/>
      <c r="U506" s="42"/>
      <c r="V506" s="41"/>
      <c r="W506" s="41"/>
      <c r="X506" s="42"/>
      <c r="Y506" s="41"/>
      <c r="Z506" s="41"/>
      <c r="AA506" s="94"/>
    </row>
    <row r="507" spans="1:27" x14ac:dyDescent="0.2">
      <c r="A507" s="44"/>
      <c r="B507" s="44"/>
      <c r="C507" s="91"/>
      <c r="D507" s="139"/>
      <c r="E507" s="44"/>
      <c r="F507" s="122"/>
      <c r="G507" s="123"/>
      <c r="H507" s="44"/>
      <c r="I507" s="93"/>
      <c r="J507" s="44"/>
      <c r="K507" s="44"/>
      <c r="L507" s="93"/>
      <c r="M507" s="124"/>
      <c r="N507" s="44"/>
      <c r="O507" s="92"/>
      <c r="P507" s="110"/>
      <c r="Q507" s="44"/>
      <c r="R507" s="92"/>
      <c r="S507" s="125"/>
      <c r="T507" s="44"/>
      <c r="U507" s="92"/>
      <c r="V507" s="44"/>
      <c r="W507" s="44"/>
      <c r="X507" s="92"/>
      <c r="Y507" s="44"/>
      <c r="Z507" s="44"/>
      <c r="AA507" s="91"/>
    </row>
    <row r="508" spans="1:27" x14ac:dyDescent="0.2">
      <c r="A508" s="41"/>
      <c r="B508" s="41"/>
      <c r="C508" s="94"/>
      <c r="D508" s="140"/>
      <c r="E508" s="41"/>
      <c r="F508" s="126"/>
      <c r="G508" s="127"/>
      <c r="H508" s="41"/>
      <c r="I508" s="95"/>
      <c r="J508" s="41"/>
      <c r="K508" s="41"/>
      <c r="L508" s="95"/>
      <c r="M508" s="128"/>
      <c r="N508" s="41"/>
      <c r="O508" s="42"/>
      <c r="P508" s="52"/>
      <c r="Q508" s="41"/>
      <c r="R508" s="42"/>
      <c r="S508" s="129"/>
      <c r="T508" s="41"/>
      <c r="U508" s="42"/>
      <c r="V508" s="41"/>
      <c r="W508" s="41"/>
      <c r="X508" s="42"/>
      <c r="Y508" s="41"/>
      <c r="Z508" s="41"/>
      <c r="AA508" s="94"/>
    </row>
    <row r="509" spans="1:27" x14ac:dyDescent="0.2">
      <c r="A509" s="44"/>
      <c r="B509" s="44"/>
      <c r="C509" s="91"/>
      <c r="D509" s="139"/>
      <c r="E509" s="44"/>
      <c r="F509" s="122"/>
      <c r="G509" s="123"/>
      <c r="H509" s="44"/>
      <c r="I509" s="93"/>
      <c r="J509" s="44"/>
      <c r="K509" s="44"/>
      <c r="L509" s="93"/>
      <c r="M509" s="124"/>
      <c r="N509" s="44"/>
      <c r="O509" s="92"/>
      <c r="P509" s="110"/>
      <c r="Q509" s="44"/>
      <c r="R509" s="92"/>
      <c r="S509" s="125"/>
      <c r="T509" s="44"/>
      <c r="U509" s="92"/>
      <c r="V509" s="44"/>
      <c r="W509" s="44"/>
      <c r="X509" s="92"/>
      <c r="Y509" s="44"/>
      <c r="Z509" s="44"/>
      <c r="AA509" s="91"/>
    </row>
    <row r="510" spans="1:27" x14ac:dyDescent="0.2">
      <c r="A510" s="41"/>
      <c r="B510" s="41"/>
      <c r="C510" s="94"/>
      <c r="D510" s="140"/>
      <c r="E510" s="41"/>
      <c r="F510" s="126"/>
      <c r="G510" s="127"/>
      <c r="H510" s="41"/>
      <c r="I510" s="95"/>
      <c r="J510" s="41"/>
      <c r="K510" s="41"/>
      <c r="L510" s="95"/>
      <c r="M510" s="128"/>
      <c r="N510" s="41"/>
      <c r="O510" s="42"/>
      <c r="P510" s="52"/>
      <c r="Q510" s="41"/>
      <c r="R510" s="42"/>
      <c r="S510" s="129"/>
      <c r="T510" s="41"/>
      <c r="U510" s="42"/>
      <c r="V510" s="41"/>
      <c r="W510" s="41"/>
      <c r="X510" s="42"/>
      <c r="Y510" s="41"/>
      <c r="Z510" s="41"/>
      <c r="AA510" s="94"/>
    </row>
    <row r="511" spans="1:27" x14ac:dyDescent="0.2">
      <c r="A511" s="44"/>
      <c r="B511" s="44"/>
      <c r="C511" s="91"/>
      <c r="D511" s="139"/>
      <c r="E511" s="44"/>
      <c r="F511" s="122"/>
      <c r="G511" s="123"/>
      <c r="H511" s="44"/>
      <c r="I511" s="93"/>
      <c r="J511" s="44"/>
      <c r="K511" s="44"/>
      <c r="L511" s="93"/>
      <c r="M511" s="124"/>
      <c r="N511" s="44"/>
      <c r="O511" s="92"/>
      <c r="P511" s="110"/>
      <c r="Q511" s="44"/>
      <c r="R511" s="92"/>
      <c r="S511" s="125"/>
      <c r="T511" s="44"/>
      <c r="U511" s="92"/>
      <c r="V511" s="44"/>
      <c r="W511" s="44"/>
      <c r="X511" s="92"/>
      <c r="Y511" s="44"/>
      <c r="Z511" s="44"/>
      <c r="AA511" s="91"/>
    </row>
    <row r="512" spans="1:27" x14ac:dyDescent="0.2">
      <c r="A512" s="41"/>
      <c r="B512" s="41"/>
      <c r="C512" s="94"/>
      <c r="D512" s="140"/>
      <c r="E512" s="41"/>
      <c r="F512" s="126"/>
      <c r="G512" s="127"/>
      <c r="H512" s="41"/>
      <c r="I512" s="95"/>
      <c r="J512" s="41"/>
      <c r="K512" s="41"/>
      <c r="L512" s="95"/>
      <c r="M512" s="128"/>
      <c r="N512" s="41"/>
      <c r="O512" s="42"/>
      <c r="P512" s="52"/>
      <c r="Q512" s="41"/>
      <c r="R512" s="42"/>
      <c r="S512" s="129"/>
      <c r="T512" s="41"/>
      <c r="U512" s="42"/>
      <c r="V512" s="41"/>
      <c r="W512" s="41"/>
      <c r="X512" s="42"/>
      <c r="Y512" s="41"/>
      <c r="Z512" s="41"/>
      <c r="AA512" s="94"/>
    </row>
    <row r="513" spans="1:27" x14ac:dyDescent="0.2">
      <c r="A513" s="44"/>
      <c r="B513" s="44"/>
      <c r="C513" s="91"/>
      <c r="D513" s="139"/>
      <c r="E513" s="44"/>
      <c r="F513" s="122"/>
      <c r="G513" s="123"/>
      <c r="H513" s="44"/>
      <c r="I513" s="93"/>
      <c r="J513" s="44"/>
      <c r="K513" s="44"/>
      <c r="L513" s="93"/>
      <c r="M513" s="124"/>
      <c r="N513" s="44"/>
      <c r="O513" s="92"/>
      <c r="P513" s="110"/>
      <c r="Q513" s="44"/>
      <c r="R513" s="92"/>
      <c r="S513" s="125"/>
      <c r="T513" s="44"/>
      <c r="U513" s="92"/>
      <c r="V513" s="44"/>
      <c r="W513" s="44"/>
      <c r="X513" s="92"/>
      <c r="Y513" s="44"/>
      <c r="Z513" s="44"/>
      <c r="AA513" s="91"/>
    </row>
    <row r="514" spans="1:27" x14ac:dyDescent="0.2">
      <c r="A514" s="41"/>
      <c r="B514" s="41"/>
      <c r="C514" s="94"/>
      <c r="D514" s="140"/>
      <c r="E514" s="41"/>
      <c r="F514" s="127"/>
      <c r="G514" s="127"/>
      <c r="H514" s="41"/>
      <c r="I514" s="95"/>
      <c r="J514" s="41"/>
      <c r="K514" s="41"/>
      <c r="L514" s="95"/>
      <c r="M514" s="128"/>
      <c r="N514" s="41"/>
      <c r="O514" s="42"/>
      <c r="P514" s="52"/>
      <c r="Q514" s="41"/>
      <c r="R514" s="42"/>
      <c r="S514" s="129"/>
      <c r="T514" s="41"/>
      <c r="U514" s="42"/>
      <c r="V514" s="41"/>
      <c r="W514" s="41"/>
      <c r="X514" s="42"/>
      <c r="Y514" s="41"/>
      <c r="Z514" s="41"/>
      <c r="AA514" s="94"/>
    </row>
    <row r="515" spans="1:27" x14ac:dyDescent="0.2">
      <c r="A515" s="44"/>
      <c r="B515" s="44"/>
      <c r="C515" s="91"/>
      <c r="D515" s="139"/>
      <c r="E515" s="44"/>
      <c r="F515" s="122"/>
      <c r="G515" s="123"/>
      <c r="H515" s="44"/>
      <c r="I515" s="93"/>
      <c r="J515" s="44"/>
      <c r="K515" s="44"/>
      <c r="L515" s="93"/>
      <c r="M515" s="124"/>
      <c r="N515" s="44"/>
      <c r="O515" s="92"/>
      <c r="P515" s="110"/>
      <c r="Q515" s="44"/>
      <c r="R515" s="92"/>
      <c r="S515" s="125"/>
      <c r="T515" s="44"/>
      <c r="U515" s="92"/>
      <c r="V515" s="44"/>
      <c r="W515" s="44"/>
      <c r="X515" s="92"/>
      <c r="Y515" s="44"/>
      <c r="Z515" s="44"/>
      <c r="AA515" s="91"/>
    </row>
    <row r="516" spans="1:27" x14ac:dyDescent="0.2">
      <c r="A516" s="41"/>
      <c r="B516" s="41"/>
      <c r="C516" s="94"/>
      <c r="D516" s="140"/>
      <c r="E516" s="41"/>
      <c r="F516" s="126"/>
      <c r="G516" s="127"/>
      <c r="H516" s="41"/>
      <c r="I516" s="95"/>
      <c r="J516" s="41"/>
      <c r="K516" s="41"/>
      <c r="L516" s="95"/>
      <c r="M516" s="128"/>
      <c r="N516" s="41"/>
      <c r="O516" s="42"/>
      <c r="P516" s="52"/>
      <c r="Q516" s="41"/>
      <c r="R516" s="42"/>
      <c r="S516" s="129"/>
      <c r="T516" s="41"/>
      <c r="U516" s="42"/>
      <c r="V516" s="41"/>
      <c r="W516" s="41"/>
      <c r="X516" s="42"/>
      <c r="Y516" s="41"/>
      <c r="Z516" s="41"/>
      <c r="AA516" s="94"/>
    </row>
    <row r="517" spans="1:27" x14ac:dyDescent="0.2">
      <c r="A517" s="44"/>
      <c r="B517" s="44"/>
      <c r="C517" s="91"/>
      <c r="D517" s="139"/>
      <c r="E517" s="44"/>
      <c r="F517" s="122"/>
      <c r="G517" s="123"/>
      <c r="H517" s="44"/>
      <c r="I517" s="93"/>
      <c r="J517" s="44"/>
      <c r="K517" s="44"/>
      <c r="L517" s="93"/>
      <c r="M517" s="124"/>
      <c r="N517" s="44"/>
      <c r="O517" s="92"/>
      <c r="P517" s="110"/>
      <c r="Q517" s="44"/>
      <c r="R517" s="92"/>
      <c r="S517" s="125"/>
      <c r="T517" s="44"/>
      <c r="U517" s="92"/>
      <c r="V517" s="44"/>
      <c r="W517" s="44"/>
      <c r="X517" s="92"/>
      <c r="Y517" s="44"/>
      <c r="Z517" s="44"/>
      <c r="AA517" s="91"/>
    </row>
    <row r="518" spans="1:27" x14ac:dyDescent="0.2">
      <c r="A518" s="41"/>
      <c r="B518" s="41"/>
      <c r="C518" s="94"/>
      <c r="D518" s="140"/>
      <c r="E518" s="41"/>
      <c r="F518" s="126"/>
      <c r="G518" s="127"/>
      <c r="H518" s="41"/>
      <c r="I518" s="95"/>
      <c r="J518" s="41"/>
      <c r="K518" s="41"/>
      <c r="L518" s="95"/>
      <c r="M518" s="128"/>
      <c r="N518" s="41"/>
      <c r="O518" s="42"/>
      <c r="P518" s="52"/>
      <c r="Q518" s="41"/>
      <c r="R518" s="42"/>
      <c r="S518" s="129"/>
      <c r="T518" s="41"/>
      <c r="U518" s="42"/>
      <c r="V518" s="41"/>
      <c r="W518" s="41"/>
      <c r="X518" s="42"/>
      <c r="Y518" s="41"/>
      <c r="Z518" s="41"/>
      <c r="AA518" s="94"/>
    </row>
    <row r="519" spans="1:27" x14ac:dyDescent="0.2">
      <c r="A519" s="44"/>
      <c r="B519" s="44"/>
      <c r="C519" s="91"/>
      <c r="D519" s="139"/>
      <c r="E519" s="44"/>
      <c r="F519" s="122"/>
      <c r="G519" s="123"/>
      <c r="H519" s="44"/>
      <c r="I519" s="93"/>
      <c r="J519" s="44"/>
      <c r="K519" s="44"/>
      <c r="L519" s="93"/>
      <c r="M519" s="124"/>
      <c r="N519" s="44"/>
      <c r="O519" s="92"/>
      <c r="P519" s="110"/>
      <c r="Q519" s="44"/>
      <c r="R519" s="92"/>
      <c r="S519" s="125"/>
      <c r="T519" s="44"/>
      <c r="U519" s="92"/>
      <c r="V519" s="44"/>
      <c r="W519" s="44"/>
      <c r="X519" s="92"/>
      <c r="Y519" s="44"/>
      <c r="Z519" s="44"/>
      <c r="AA519" s="91"/>
    </row>
    <row r="520" spans="1:27" x14ac:dyDescent="0.2">
      <c r="A520" s="41"/>
      <c r="B520" s="41"/>
      <c r="C520" s="94"/>
      <c r="D520" s="140"/>
      <c r="E520" s="41"/>
      <c r="F520" s="126"/>
      <c r="G520" s="127"/>
      <c r="H520" s="41"/>
      <c r="I520" s="95"/>
      <c r="J520" s="41"/>
      <c r="K520" s="41"/>
      <c r="L520" s="95"/>
      <c r="M520" s="128"/>
      <c r="N520" s="41"/>
      <c r="O520" s="42"/>
      <c r="P520" s="52"/>
      <c r="Q520" s="41"/>
      <c r="R520" s="42"/>
      <c r="S520" s="129"/>
      <c r="T520" s="41"/>
      <c r="U520" s="42"/>
      <c r="V520" s="41"/>
      <c r="W520" s="41"/>
      <c r="X520" s="42"/>
      <c r="Y520" s="41"/>
      <c r="Z520" s="41"/>
      <c r="AA520" s="94"/>
    </row>
    <row r="521" spans="1:27" x14ac:dyDescent="0.2">
      <c r="A521" s="44"/>
      <c r="B521" s="44"/>
      <c r="C521" s="91"/>
      <c r="D521" s="139"/>
      <c r="E521" s="44"/>
      <c r="F521" s="122"/>
      <c r="G521" s="123"/>
      <c r="H521" s="44"/>
      <c r="I521" s="93"/>
      <c r="J521" s="44"/>
      <c r="K521" s="44"/>
      <c r="L521" s="93"/>
      <c r="M521" s="124"/>
      <c r="N521" s="44"/>
      <c r="O521" s="92"/>
      <c r="P521" s="110"/>
      <c r="Q521" s="44"/>
      <c r="R521" s="92"/>
      <c r="S521" s="125"/>
      <c r="T521" s="44"/>
      <c r="U521" s="92"/>
      <c r="V521" s="44"/>
      <c r="W521" s="44"/>
      <c r="X521" s="92"/>
      <c r="Y521" s="44"/>
      <c r="Z521" s="44"/>
      <c r="AA521" s="91"/>
    </row>
    <row r="522" spans="1:27" x14ac:dyDescent="0.2">
      <c r="A522" s="96"/>
      <c r="B522" s="44"/>
      <c r="C522" s="91"/>
      <c r="D522" s="139"/>
      <c r="E522" s="44"/>
      <c r="F522" s="122"/>
      <c r="G522" s="123"/>
      <c r="H522" s="44"/>
      <c r="I522" s="93"/>
      <c r="J522" s="44"/>
      <c r="K522" s="44"/>
      <c r="L522" s="93"/>
      <c r="M522" s="124"/>
      <c r="N522" s="44"/>
      <c r="O522" s="92"/>
      <c r="P522" s="110"/>
      <c r="Q522" s="44"/>
      <c r="R522" s="92"/>
      <c r="S522" s="125"/>
      <c r="T522" s="44"/>
      <c r="U522" s="92"/>
      <c r="V522" s="44"/>
      <c r="W522" s="44"/>
      <c r="X522" s="92"/>
      <c r="Y522" s="96"/>
      <c r="Z522" s="44"/>
      <c r="AA522" s="91"/>
    </row>
    <row r="523" spans="1:27" x14ac:dyDescent="0.2">
      <c r="A523" s="97"/>
      <c r="B523" s="41"/>
      <c r="C523" s="94"/>
      <c r="D523" s="140"/>
      <c r="E523" s="41"/>
      <c r="F523" s="126"/>
      <c r="G523" s="127"/>
      <c r="H523" s="41"/>
      <c r="I523" s="95"/>
      <c r="J523" s="41"/>
      <c r="K523" s="41"/>
      <c r="L523" s="95"/>
      <c r="M523" s="128"/>
      <c r="N523" s="41"/>
      <c r="O523" s="42"/>
      <c r="P523" s="52"/>
      <c r="Q523" s="41"/>
      <c r="R523" s="42"/>
      <c r="S523" s="129"/>
      <c r="T523" s="41"/>
      <c r="U523" s="42"/>
      <c r="V523" s="41"/>
      <c r="W523" s="41"/>
      <c r="X523" s="42"/>
      <c r="Y523" s="97"/>
      <c r="Z523" s="41"/>
      <c r="AA523" s="94"/>
    </row>
    <row r="524" spans="1:27" x14ac:dyDescent="0.2">
      <c r="A524" s="96"/>
      <c r="B524" s="44"/>
      <c r="C524" s="91"/>
      <c r="D524" s="139"/>
      <c r="E524" s="44"/>
      <c r="F524" s="122"/>
      <c r="G524" s="123"/>
      <c r="H524" s="44"/>
      <c r="I524" s="93"/>
      <c r="J524" s="44"/>
      <c r="K524" s="44"/>
      <c r="L524" s="93"/>
      <c r="M524" s="124"/>
      <c r="N524" s="44"/>
      <c r="O524" s="92"/>
      <c r="P524" s="110"/>
      <c r="Q524" s="44"/>
      <c r="R524" s="92"/>
      <c r="S524" s="125"/>
      <c r="T524" s="44"/>
      <c r="U524" s="92"/>
      <c r="V524" s="44"/>
      <c r="W524" s="44"/>
      <c r="X524" s="92"/>
      <c r="Y524" s="96"/>
      <c r="Z524" s="44"/>
      <c r="AA524" s="91"/>
    </row>
    <row r="525" spans="1:27" x14ac:dyDescent="0.2">
      <c r="A525" s="97"/>
      <c r="B525" s="41"/>
      <c r="C525" s="94"/>
      <c r="D525" s="140"/>
      <c r="E525" s="41"/>
      <c r="F525" s="126"/>
      <c r="G525" s="127"/>
      <c r="H525" s="41"/>
      <c r="I525" s="95"/>
      <c r="J525" s="41"/>
      <c r="K525" s="41"/>
      <c r="L525" s="95"/>
      <c r="M525" s="128"/>
      <c r="N525" s="41"/>
      <c r="O525" s="42"/>
      <c r="P525" s="52"/>
      <c r="Q525" s="41"/>
      <c r="R525" s="42"/>
      <c r="S525" s="129"/>
      <c r="T525" s="41"/>
      <c r="U525" s="42"/>
      <c r="V525" s="41"/>
      <c r="W525" s="41"/>
      <c r="X525" s="42"/>
      <c r="Y525" s="97"/>
      <c r="Z525" s="41"/>
      <c r="AA525" s="94"/>
    </row>
    <row r="526" spans="1:27" x14ac:dyDescent="0.2">
      <c r="A526" s="97"/>
      <c r="B526" s="41"/>
      <c r="C526" s="94"/>
      <c r="D526" s="140"/>
      <c r="E526" s="41"/>
      <c r="F526" s="126"/>
      <c r="G526" s="127"/>
      <c r="H526" s="41"/>
      <c r="I526" s="95"/>
      <c r="J526" s="41"/>
      <c r="K526" s="41"/>
      <c r="L526" s="95"/>
      <c r="M526" s="128"/>
      <c r="N526" s="41"/>
      <c r="O526" s="42"/>
      <c r="P526" s="52"/>
      <c r="Q526" s="41"/>
      <c r="R526" s="42"/>
      <c r="S526" s="129"/>
      <c r="T526" s="41"/>
      <c r="U526" s="42"/>
      <c r="V526" s="41"/>
      <c r="W526" s="41"/>
      <c r="X526" s="42"/>
      <c r="Y526" s="97"/>
      <c r="Z526" s="41"/>
      <c r="AA526" s="94"/>
    </row>
    <row r="527" spans="1:27" x14ac:dyDescent="0.2">
      <c r="A527" s="97"/>
      <c r="B527" s="41"/>
      <c r="C527" s="94"/>
      <c r="D527" s="140"/>
      <c r="E527" s="41"/>
      <c r="F527" s="126"/>
      <c r="G527" s="127"/>
      <c r="H527" s="41"/>
      <c r="I527" s="95"/>
      <c r="J527" s="41"/>
      <c r="K527" s="41"/>
      <c r="L527" s="95"/>
      <c r="M527" s="128"/>
      <c r="N527" s="41"/>
      <c r="O527" s="42"/>
      <c r="P527" s="52"/>
      <c r="Q527" s="41"/>
      <c r="R527" s="42"/>
      <c r="S527" s="129"/>
      <c r="T527" s="41"/>
      <c r="U527" s="42"/>
      <c r="V527" s="41"/>
      <c r="W527" s="41"/>
      <c r="X527" s="42"/>
      <c r="Y527" s="97"/>
      <c r="Z527" s="41"/>
      <c r="AA527" s="94"/>
    </row>
    <row r="528" spans="1:27" x14ac:dyDescent="0.2">
      <c r="A528" s="97"/>
      <c r="B528" s="41"/>
      <c r="C528" s="94"/>
      <c r="D528" s="140"/>
      <c r="E528" s="41"/>
      <c r="F528" s="126"/>
      <c r="G528" s="127"/>
      <c r="H528" s="41"/>
      <c r="I528" s="95"/>
      <c r="J528" s="41"/>
      <c r="K528" s="41"/>
      <c r="L528" s="95"/>
      <c r="M528" s="128"/>
      <c r="N528" s="41"/>
      <c r="O528" s="42"/>
      <c r="P528" s="52"/>
      <c r="Q528" s="41"/>
      <c r="R528" s="42"/>
      <c r="S528" s="129"/>
      <c r="T528" s="41"/>
      <c r="U528" s="42"/>
      <c r="V528" s="41"/>
      <c r="W528" s="41"/>
      <c r="X528" s="42"/>
      <c r="Y528" s="97"/>
      <c r="Z528" s="41"/>
      <c r="AA528" s="94"/>
    </row>
    <row r="529" spans="1:27" x14ac:dyDescent="0.2">
      <c r="A529" s="96"/>
      <c r="B529" s="44"/>
      <c r="C529" s="91"/>
      <c r="D529" s="139"/>
      <c r="E529" s="44"/>
      <c r="F529" s="122"/>
      <c r="G529" s="123"/>
      <c r="H529" s="44"/>
      <c r="I529" s="93"/>
      <c r="J529" s="44"/>
      <c r="K529" s="44"/>
      <c r="L529" s="93"/>
      <c r="M529" s="124"/>
      <c r="N529" s="44"/>
      <c r="O529" s="92"/>
      <c r="P529" s="110"/>
      <c r="Q529" s="44"/>
      <c r="R529" s="92"/>
      <c r="S529" s="125"/>
      <c r="T529" s="44"/>
      <c r="U529" s="92"/>
      <c r="V529" s="44"/>
      <c r="W529" s="44"/>
      <c r="X529" s="92"/>
      <c r="Y529" s="96"/>
      <c r="Z529" s="44"/>
      <c r="AA529" s="91"/>
    </row>
    <row r="530" spans="1:27" x14ac:dyDescent="0.2">
      <c r="A530" s="96"/>
      <c r="B530" s="44"/>
      <c r="C530" s="91"/>
      <c r="D530" s="139"/>
      <c r="E530" s="44"/>
      <c r="F530" s="122"/>
      <c r="G530" s="123"/>
      <c r="H530" s="44"/>
      <c r="I530" s="93"/>
      <c r="J530" s="44"/>
      <c r="K530" s="44"/>
      <c r="L530" s="93"/>
      <c r="M530" s="124"/>
      <c r="N530" s="44"/>
      <c r="O530" s="92"/>
      <c r="P530" s="110"/>
      <c r="Q530" s="44"/>
      <c r="R530" s="92"/>
      <c r="S530" s="125"/>
      <c r="T530" s="44"/>
      <c r="U530" s="92"/>
      <c r="V530" s="44"/>
      <c r="W530" s="44"/>
      <c r="X530" s="92"/>
      <c r="Y530" s="96"/>
      <c r="Z530" s="44"/>
      <c r="AA530" s="91"/>
    </row>
    <row r="531" spans="1:27" x14ac:dyDescent="0.2">
      <c r="A531" s="96"/>
      <c r="B531" s="44"/>
      <c r="C531" s="91"/>
      <c r="D531" s="139"/>
      <c r="E531" s="44"/>
      <c r="F531" s="122"/>
      <c r="G531" s="123"/>
      <c r="H531" s="44"/>
      <c r="I531" s="93"/>
      <c r="J531" s="44"/>
      <c r="K531" s="44"/>
      <c r="L531" s="93"/>
      <c r="M531" s="124"/>
      <c r="N531" s="44"/>
      <c r="O531" s="92"/>
      <c r="P531" s="110"/>
      <c r="Q531" s="44"/>
      <c r="R531" s="92"/>
      <c r="S531" s="125"/>
      <c r="T531" s="44"/>
      <c r="U531" s="92"/>
      <c r="V531" s="44"/>
      <c r="W531" s="44"/>
      <c r="X531" s="92"/>
      <c r="Y531" s="96"/>
      <c r="Z531" s="44"/>
      <c r="AA531" s="91"/>
    </row>
    <row r="532" spans="1:27" x14ac:dyDescent="0.2">
      <c r="A532" s="96"/>
      <c r="B532" s="44"/>
      <c r="C532" s="91"/>
      <c r="D532" s="139"/>
      <c r="E532" s="44"/>
      <c r="F532" s="122"/>
      <c r="G532" s="123"/>
      <c r="H532" s="44"/>
      <c r="I532" s="93"/>
      <c r="J532" s="44"/>
      <c r="K532" s="44"/>
      <c r="L532" s="93"/>
      <c r="M532" s="124"/>
      <c r="N532" s="44"/>
      <c r="O532" s="92"/>
      <c r="P532" s="110"/>
      <c r="Q532" s="44"/>
      <c r="R532" s="92"/>
      <c r="S532" s="125"/>
      <c r="T532" s="44"/>
      <c r="U532" s="92"/>
      <c r="V532" s="44"/>
      <c r="W532" s="44"/>
      <c r="X532" s="92"/>
      <c r="Y532" s="96"/>
      <c r="Z532" s="44"/>
      <c r="AA532" s="91"/>
    </row>
    <row r="533" spans="1:27" x14ac:dyDescent="0.2">
      <c r="A533" s="96"/>
      <c r="B533" s="44"/>
      <c r="C533" s="91"/>
      <c r="D533" s="139"/>
      <c r="E533" s="44"/>
      <c r="F533" s="122"/>
      <c r="G533" s="123"/>
      <c r="H533" s="44"/>
      <c r="I533" s="93"/>
      <c r="J533" s="44"/>
      <c r="K533" s="44"/>
      <c r="L533" s="93"/>
      <c r="M533" s="124"/>
      <c r="N533" s="44"/>
      <c r="O533" s="92"/>
      <c r="P533" s="110"/>
      <c r="Q533" s="44"/>
      <c r="R533" s="92"/>
      <c r="S533" s="125"/>
      <c r="T533" s="44"/>
      <c r="U533" s="92"/>
      <c r="V533" s="44"/>
      <c r="W533" s="44"/>
      <c r="X533" s="92"/>
      <c r="Y533" s="96"/>
      <c r="Z533" s="44"/>
      <c r="AA533" s="91"/>
    </row>
    <row r="534" spans="1:27" x14ac:dyDescent="0.2">
      <c r="A534" s="97"/>
      <c r="B534" s="41"/>
      <c r="C534" s="94"/>
      <c r="D534" s="140"/>
      <c r="E534" s="41"/>
      <c r="F534" s="126"/>
      <c r="G534" s="127"/>
      <c r="H534" s="41"/>
      <c r="I534" s="95"/>
      <c r="J534" s="41"/>
      <c r="K534" s="41"/>
      <c r="L534" s="95"/>
      <c r="M534" s="128"/>
      <c r="N534" s="41"/>
      <c r="O534" s="42"/>
      <c r="P534" s="52"/>
      <c r="Q534" s="41"/>
      <c r="R534" s="42"/>
      <c r="S534" s="129"/>
      <c r="T534" s="41"/>
      <c r="U534" s="42"/>
      <c r="V534" s="41"/>
      <c r="W534" s="41"/>
      <c r="X534" s="42"/>
      <c r="Y534" s="97"/>
      <c r="Z534" s="41"/>
      <c r="AA534" s="94"/>
    </row>
    <row r="535" spans="1:27" x14ac:dyDescent="0.2">
      <c r="A535" s="96"/>
      <c r="B535" s="44"/>
      <c r="C535" s="91"/>
      <c r="D535" s="139"/>
      <c r="E535" s="44"/>
      <c r="F535" s="122"/>
      <c r="G535" s="123"/>
      <c r="H535" s="44"/>
      <c r="I535" s="93"/>
      <c r="J535" s="44"/>
      <c r="K535" s="44"/>
      <c r="L535" s="93"/>
      <c r="M535" s="124"/>
      <c r="N535" s="44"/>
      <c r="O535" s="92"/>
      <c r="P535" s="110"/>
      <c r="Q535" s="44"/>
      <c r="R535" s="92"/>
      <c r="S535" s="125"/>
      <c r="T535" s="44"/>
      <c r="U535" s="92"/>
      <c r="V535" s="44"/>
      <c r="W535" s="44"/>
      <c r="X535" s="92"/>
      <c r="Y535" s="96"/>
      <c r="Z535" s="44"/>
      <c r="AA535" s="91"/>
    </row>
    <row r="536" spans="1:27" x14ac:dyDescent="0.2">
      <c r="A536" s="97"/>
      <c r="B536" s="41"/>
      <c r="C536" s="94"/>
      <c r="D536" s="140"/>
      <c r="E536" s="41"/>
      <c r="F536" s="126"/>
      <c r="G536" s="127"/>
      <c r="H536" s="41"/>
      <c r="I536" s="95"/>
      <c r="J536" s="41"/>
      <c r="K536" s="41"/>
      <c r="L536" s="95"/>
      <c r="M536" s="128"/>
      <c r="N536" s="41"/>
      <c r="O536" s="42"/>
      <c r="P536" s="52"/>
      <c r="Q536" s="41"/>
      <c r="R536" s="42"/>
      <c r="S536" s="129"/>
      <c r="T536" s="41"/>
      <c r="U536" s="42"/>
      <c r="V536" s="41"/>
      <c r="W536" s="41"/>
      <c r="X536" s="42"/>
      <c r="Y536" s="97"/>
      <c r="Z536" s="41"/>
      <c r="AA536" s="94"/>
    </row>
    <row r="537" spans="1:27" x14ac:dyDescent="0.2">
      <c r="A537" s="96"/>
      <c r="B537" s="44"/>
      <c r="C537" s="91"/>
      <c r="D537" s="139"/>
      <c r="E537" s="44"/>
      <c r="F537" s="122"/>
      <c r="G537" s="123"/>
      <c r="H537" s="44"/>
      <c r="I537" s="93"/>
      <c r="J537" s="44"/>
      <c r="K537" s="44"/>
      <c r="L537" s="93"/>
      <c r="M537" s="124"/>
      <c r="N537" s="44"/>
      <c r="O537" s="92"/>
      <c r="P537" s="110"/>
      <c r="Q537" s="44"/>
      <c r="R537" s="92"/>
      <c r="S537" s="125"/>
      <c r="T537" s="44"/>
      <c r="U537" s="92"/>
      <c r="V537" s="44"/>
      <c r="W537" s="44"/>
      <c r="X537" s="92"/>
      <c r="Y537" s="96"/>
      <c r="Z537" s="44"/>
      <c r="AA537" s="91"/>
    </row>
    <row r="538" spans="1:27" x14ac:dyDescent="0.2">
      <c r="A538" s="96"/>
      <c r="B538" s="44"/>
      <c r="C538" s="91"/>
      <c r="D538" s="139"/>
      <c r="E538" s="44"/>
      <c r="F538" s="122"/>
      <c r="G538" s="123"/>
      <c r="H538" s="44"/>
      <c r="I538" s="93"/>
      <c r="J538" s="44"/>
      <c r="K538" s="44"/>
      <c r="L538" s="93"/>
      <c r="M538" s="124"/>
      <c r="N538" s="44"/>
      <c r="O538" s="92"/>
      <c r="P538" s="110"/>
      <c r="Q538" s="44"/>
      <c r="R538" s="92"/>
      <c r="S538" s="125"/>
      <c r="T538" s="44"/>
      <c r="U538" s="92"/>
      <c r="V538" s="44"/>
      <c r="W538" s="44"/>
      <c r="X538" s="92"/>
      <c r="Y538" s="96"/>
      <c r="Z538" s="44"/>
      <c r="AA538" s="91"/>
    </row>
    <row r="539" spans="1:27" x14ac:dyDescent="0.2">
      <c r="A539" s="97"/>
      <c r="B539" s="41"/>
      <c r="C539" s="94"/>
      <c r="D539" s="140"/>
      <c r="E539" s="41"/>
      <c r="F539" s="126"/>
      <c r="G539" s="127"/>
      <c r="H539" s="41"/>
      <c r="I539" s="95"/>
      <c r="J539" s="41"/>
      <c r="K539" s="41"/>
      <c r="L539" s="95"/>
      <c r="M539" s="128"/>
      <c r="N539" s="41"/>
      <c r="O539" s="42"/>
      <c r="P539" s="52"/>
      <c r="Q539" s="41"/>
      <c r="R539" s="42"/>
      <c r="S539" s="129"/>
      <c r="T539" s="41"/>
      <c r="U539" s="42"/>
      <c r="V539" s="41"/>
      <c r="W539" s="41"/>
      <c r="X539" s="42"/>
      <c r="Y539" s="97"/>
      <c r="Z539" s="41"/>
      <c r="AA539" s="94"/>
    </row>
    <row r="540" spans="1:27" x14ac:dyDescent="0.2">
      <c r="A540" s="96"/>
      <c r="B540" s="44"/>
      <c r="C540" s="91"/>
      <c r="D540" s="139"/>
      <c r="E540" s="44"/>
      <c r="F540" s="122"/>
      <c r="G540" s="123"/>
      <c r="H540" s="44"/>
      <c r="I540" s="93"/>
      <c r="J540" s="44"/>
      <c r="K540" s="44"/>
      <c r="L540" s="93"/>
      <c r="M540" s="124"/>
      <c r="N540" s="44"/>
      <c r="O540" s="92"/>
      <c r="P540" s="110"/>
      <c r="Q540" s="44"/>
      <c r="R540" s="92"/>
      <c r="S540" s="125"/>
      <c r="T540" s="44"/>
      <c r="U540" s="92"/>
      <c r="V540" s="44"/>
      <c r="W540" s="44"/>
      <c r="X540" s="92"/>
      <c r="Y540" s="96"/>
      <c r="Z540" s="44"/>
      <c r="AA540" s="91"/>
    </row>
    <row r="541" spans="1:27" x14ac:dyDescent="0.2">
      <c r="A541" s="96"/>
      <c r="B541" s="44"/>
      <c r="C541" s="91"/>
      <c r="D541" s="139"/>
      <c r="E541" s="44"/>
      <c r="F541" s="122"/>
      <c r="G541" s="123"/>
      <c r="H541" s="44"/>
      <c r="I541" s="93"/>
      <c r="J541" s="44"/>
      <c r="K541" s="44"/>
      <c r="L541" s="93"/>
      <c r="M541" s="124"/>
      <c r="N541" s="44"/>
      <c r="O541" s="92"/>
      <c r="P541" s="110"/>
      <c r="Q541" s="44"/>
      <c r="R541" s="92"/>
      <c r="S541" s="125"/>
      <c r="T541" s="44"/>
      <c r="U541" s="92"/>
      <c r="V541" s="44"/>
      <c r="W541" s="44"/>
      <c r="X541" s="92"/>
      <c r="Y541" s="96"/>
      <c r="Z541" s="44"/>
      <c r="AA541" s="91"/>
    </row>
    <row r="542" spans="1:27" x14ac:dyDescent="0.2">
      <c r="A542" s="97"/>
      <c r="B542" s="41"/>
      <c r="C542" s="94"/>
      <c r="D542" s="140"/>
      <c r="E542" s="41"/>
      <c r="F542" s="126"/>
      <c r="G542" s="127"/>
      <c r="H542" s="41"/>
      <c r="I542" s="95"/>
      <c r="J542" s="41"/>
      <c r="K542" s="41"/>
      <c r="L542" s="95"/>
      <c r="M542" s="128"/>
      <c r="N542" s="41"/>
      <c r="O542" s="42"/>
      <c r="P542" s="52"/>
      <c r="Q542" s="41"/>
      <c r="R542" s="42"/>
      <c r="S542" s="129"/>
      <c r="T542" s="41"/>
      <c r="U542" s="42"/>
      <c r="V542" s="41"/>
      <c r="W542" s="41"/>
      <c r="X542" s="42"/>
      <c r="Y542" s="97"/>
      <c r="Z542" s="41"/>
      <c r="AA542" s="94"/>
    </row>
    <row r="543" spans="1:27" x14ac:dyDescent="0.2">
      <c r="A543" s="97"/>
      <c r="B543" s="41"/>
      <c r="C543" s="94"/>
      <c r="D543" s="140"/>
      <c r="E543" s="41"/>
      <c r="F543" s="126"/>
      <c r="G543" s="127"/>
      <c r="H543" s="41"/>
      <c r="I543" s="95"/>
      <c r="J543" s="41"/>
      <c r="K543" s="41"/>
      <c r="L543" s="95"/>
      <c r="M543" s="128"/>
      <c r="N543" s="41"/>
      <c r="O543" s="42"/>
      <c r="P543" s="52"/>
      <c r="Q543" s="41"/>
      <c r="R543" s="42"/>
      <c r="S543" s="129"/>
      <c r="T543" s="41"/>
      <c r="U543" s="42"/>
      <c r="V543" s="41"/>
      <c r="W543" s="41"/>
      <c r="X543" s="42"/>
      <c r="Y543" s="97"/>
      <c r="Z543" s="41"/>
      <c r="AA543" s="94"/>
    </row>
    <row r="544" spans="1:27" x14ac:dyDescent="0.2">
      <c r="A544" s="96"/>
      <c r="B544" s="44"/>
      <c r="C544" s="91"/>
      <c r="D544" s="139"/>
      <c r="E544" s="44"/>
      <c r="F544" s="122"/>
      <c r="G544" s="123"/>
      <c r="H544" s="44"/>
      <c r="I544" s="93"/>
      <c r="J544" s="44"/>
      <c r="K544" s="44"/>
      <c r="L544" s="93"/>
      <c r="M544" s="124"/>
      <c r="N544" s="44"/>
      <c r="O544" s="92"/>
      <c r="P544" s="110"/>
      <c r="Q544" s="44"/>
      <c r="R544" s="92"/>
      <c r="S544" s="125"/>
      <c r="T544" s="44"/>
      <c r="U544" s="92"/>
      <c r="V544" s="44"/>
      <c r="W544" s="44"/>
      <c r="X544" s="92"/>
      <c r="Y544" s="96"/>
      <c r="Z544" s="44"/>
      <c r="AA544" s="91"/>
    </row>
    <row r="545" spans="1:27" x14ac:dyDescent="0.2">
      <c r="A545" s="96"/>
      <c r="B545" s="44"/>
      <c r="C545" s="91"/>
      <c r="D545" s="139"/>
      <c r="E545" s="44"/>
      <c r="F545" s="122"/>
      <c r="G545" s="123"/>
      <c r="H545" s="44"/>
      <c r="I545" s="93"/>
      <c r="J545" s="44"/>
      <c r="K545" s="44"/>
      <c r="L545" s="93"/>
      <c r="M545" s="124"/>
      <c r="N545" s="44"/>
      <c r="O545" s="92"/>
      <c r="P545" s="110"/>
      <c r="Q545" s="44"/>
      <c r="R545" s="92"/>
      <c r="S545" s="125"/>
      <c r="T545" s="44"/>
      <c r="U545" s="92"/>
      <c r="V545" s="44"/>
      <c r="W545" s="44"/>
      <c r="X545" s="92"/>
      <c r="Y545" s="96"/>
      <c r="Z545" s="44"/>
      <c r="AA545" s="91"/>
    </row>
    <row r="546" spans="1:27" x14ac:dyDescent="0.2">
      <c r="A546" s="97"/>
      <c r="B546" s="41"/>
      <c r="C546" s="94"/>
      <c r="D546" s="140"/>
      <c r="E546" s="41"/>
      <c r="F546" s="126"/>
      <c r="G546" s="127"/>
      <c r="H546" s="41"/>
      <c r="I546" s="95"/>
      <c r="J546" s="41"/>
      <c r="K546" s="41"/>
      <c r="L546" s="95"/>
      <c r="M546" s="128"/>
      <c r="N546" s="41"/>
      <c r="O546" s="42"/>
      <c r="P546" s="52"/>
      <c r="Q546" s="41"/>
      <c r="R546" s="42"/>
      <c r="S546" s="129"/>
      <c r="T546" s="41"/>
      <c r="U546" s="42"/>
      <c r="V546" s="41"/>
      <c r="W546" s="41"/>
      <c r="X546" s="42"/>
      <c r="Y546" s="97"/>
      <c r="Z546" s="41"/>
      <c r="AA546" s="94"/>
    </row>
    <row r="547" spans="1:27" x14ac:dyDescent="0.2">
      <c r="A547" s="87"/>
      <c r="B547" s="87"/>
      <c r="C547" s="88"/>
      <c r="D547" s="138"/>
      <c r="E547" s="87"/>
      <c r="F547" s="118"/>
      <c r="G547" s="119"/>
      <c r="H547" s="87"/>
      <c r="I547" s="90"/>
      <c r="J547" s="87"/>
      <c r="K547" s="87"/>
      <c r="L547" s="90"/>
      <c r="M547" s="120"/>
      <c r="N547" s="87"/>
      <c r="O547" s="89"/>
      <c r="P547" s="130"/>
      <c r="Q547" s="87"/>
      <c r="R547" s="89"/>
      <c r="S547" s="121"/>
      <c r="T547" s="87"/>
      <c r="U547" s="89"/>
      <c r="V547" s="87"/>
      <c r="W547" s="87"/>
      <c r="X547" s="89"/>
      <c r="Y547" s="87"/>
      <c r="Z547" s="87"/>
      <c r="AA547" s="88"/>
    </row>
    <row r="548" spans="1:27" x14ac:dyDescent="0.2">
      <c r="A548" s="44"/>
      <c r="B548" s="44"/>
      <c r="C548" s="91"/>
      <c r="D548" s="139"/>
      <c r="E548" s="44"/>
      <c r="F548" s="122"/>
      <c r="G548" s="123"/>
      <c r="H548" s="44"/>
      <c r="I548" s="93"/>
      <c r="J548" s="44"/>
      <c r="K548" s="44"/>
      <c r="L548" s="93"/>
      <c r="M548" s="124"/>
      <c r="N548" s="44"/>
      <c r="O548" s="92"/>
      <c r="P548" s="110"/>
      <c r="Q548" s="44"/>
      <c r="R548" s="92"/>
      <c r="S548" s="125"/>
      <c r="T548" s="44"/>
      <c r="U548" s="92"/>
      <c r="V548" s="44"/>
      <c r="W548" s="44"/>
      <c r="X548" s="92"/>
      <c r="Y548" s="44"/>
      <c r="Z548" s="44"/>
      <c r="AA548" s="91"/>
    </row>
    <row r="549" spans="1:27" x14ac:dyDescent="0.2">
      <c r="A549" s="41"/>
      <c r="B549" s="41"/>
      <c r="C549" s="94"/>
      <c r="D549" s="140"/>
      <c r="E549" s="41"/>
      <c r="F549" s="126"/>
      <c r="G549" s="127"/>
      <c r="H549" s="41"/>
      <c r="I549" s="95"/>
      <c r="J549" s="41"/>
      <c r="K549" s="41"/>
      <c r="L549" s="95"/>
      <c r="M549" s="128"/>
      <c r="N549" s="41"/>
      <c r="O549" s="42"/>
      <c r="P549" s="52"/>
      <c r="Q549" s="41"/>
      <c r="R549" s="42"/>
      <c r="S549" s="129"/>
      <c r="T549" s="41"/>
      <c r="U549" s="42"/>
      <c r="V549" s="41"/>
      <c r="W549" s="41"/>
      <c r="X549" s="42"/>
      <c r="Y549" s="41"/>
      <c r="Z549" s="41"/>
      <c r="AA549" s="94"/>
    </row>
    <row r="550" spans="1:27" x14ac:dyDescent="0.2">
      <c r="A550" s="44"/>
      <c r="B550" s="44"/>
      <c r="C550" s="91"/>
      <c r="D550" s="139"/>
      <c r="E550" s="44"/>
      <c r="F550" s="122"/>
      <c r="G550" s="123"/>
      <c r="H550" s="44"/>
      <c r="I550" s="93"/>
      <c r="J550" s="44"/>
      <c r="K550" s="44"/>
      <c r="L550" s="93"/>
      <c r="M550" s="124"/>
      <c r="N550" s="44"/>
      <c r="O550" s="92"/>
      <c r="P550" s="110"/>
      <c r="Q550" s="44"/>
      <c r="R550" s="92"/>
      <c r="S550" s="125"/>
      <c r="T550" s="44"/>
      <c r="U550" s="92"/>
      <c r="V550" s="44"/>
      <c r="W550" s="44"/>
      <c r="X550" s="92"/>
      <c r="Y550" s="44"/>
      <c r="Z550" s="44"/>
      <c r="AA550" s="91"/>
    </row>
    <row r="551" spans="1:27" x14ac:dyDescent="0.2">
      <c r="A551" s="87"/>
      <c r="B551" s="87"/>
      <c r="C551" s="88"/>
      <c r="D551" s="138"/>
      <c r="E551" s="87"/>
      <c r="F551" s="118"/>
      <c r="G551" s="119"/>
      <c r="H551" s="87"/>
      <c r="I551" s="90"/>
      <c r="J551" s="87"/>
      <c r="K551" s="87"/>
      <c r="L551" s="90"/>
      <c r="M551" s="120"/>
      <c r="N551" s="87"/>
      <c r="O551" s="89"/>
      <c r="P551" s="87"/>
      <c r="Q551" s="87"/>
      <c r="R551" s="89"/>
      <c r="S551" s="121"/>
      <c r="T551" s="87"/>
      <c r="U551" s="89"/>
      <c r="V551" s="87"/>
      <c r="W551" s="87"/>
      <c r="X551" s="89"/>
      <c r="Y551" s="87"/>
      <c r="Z551" s="87"/>
      <c r="AA551" s="88"/>
    </row>
    <row r="552" spans="1:27" x14ac:dyDescent="0.2">
      <c r="A552" s="44"/>
      <c r="B552" s="44"/>
      <c r="C552" s="91"/>
      <c r="D552" s="139"/>
      <c r="E552" s="44"/>
      <c r="F552" s="122"/>
      <c r="G552" s="123"/>
      <c r="H552" s="44"/>
      <c r="I552" s="93"/>
      <c r="J552" s="44"/>
      <c r="K552" s="44"/>
      <c r="L552" s="93"/>
      <c r="M552" s="124"/>
      <c r="N552" s="44"/>
      <c r="O552" s="92"/>
      <c r="P552" s="110"/>
      <c r="Q552" s="44"/>
      <c r="R552" s="92"/>
      <c r="S552" s="125"/>
      <c r="T552" s="44"/>
      <c r="U552" s="92"/>
      <c r="V552" s="44"/>
      <c r="W552" s="44"/>
      <c r="X552" s="92"/>
      <c r="Y552" s="44"/>
      <c r="Z552" s="44"/>
      <c r="AA552" s="91"/>
    </row>
    <row r="553" spans="1:27" x14ac:dyDescent="0.2">
      <c r="A553" s="41"/>
      <c r="B553" s="41"/>
      <c r="C553" s="94"/>
      <c r="D553" s="140"/>
      <c r="E553" s="41"/>
      <c r="F553" s="126"/>
      <c r="G553" s="127"/>
      <c r="H553" s="41"/>
      <c r="I553" s="95"/>
      <c r="J553" s="41"/>
      <c r="K553" s="41"/>
      <c r="L553" s="95"/>
      <c r="M553" s="128"/>
      <c r="N553" s="41"/>
      <c r="O553" s="42"/>
      <c r="P553" s="52"/>
      <c r="Q553" s="41"/>
      <c r="R553" s="42"/>
      <c r="S553" s="129"/>
      <c r="T553" s="41"/>
      <c r="U553" s="42"/>
      <c r="V553" s="41"/>
      <c r="W553" s="41"/>
      <c r="X553" s="42"/>
      <c r="Y553" s="41"/>
      <c r="Z553" s="41"/>
      <c r="AA553" s="94"/>
    </row>
    <row r="554" spans="1:27" x14ac:dyDescent="0.2">
      <c r="A554" s="44"/>
      <c r="B554" s="44"/>
      <c r="C554" s="91"/>
      <c r="D554" s="139"/>
      <c r="E554" s="44"/>
      <c r="F554" s="122"/>
      <c r="G554" s="123"/>
      <c r="H554" s="44"/>
      <c r="I554" s="93"/>
      <c r="J554" s="44"/>
      <c r="K554" s="44"/>
      <c r="L554" s="93"/>
      <c r="M554" s="124"/>
      <c r="N554" s="44"/>
      <c r="O554" s="92"/>
      <c r="P554" s="110"/>
      <c r="Q554" s="44"/>
      <c r="R554" s="92"/>
      <c r="S554" s="125"/>
      <c r="T554" s="44"/>
      <c r="U554" s="92"/>
      <c r="V554" s="44"/>
      <c r="W554" s="44"/>
      <c r="X554" s="92"/>
      <c r="Y554" s="44"/>
      <c r="Z554" s="44"/>
      <c r="AA554" s="91"/>
    </row>
    <row r="555" spans="1:27" x14ac:dyDescent="0.2">
      <c r="A555" s="41"/>
      <c r="B555" s="41"/>
      <c r="C555" s="94"/>
      <c r="D555" s="140"/>
      <c r="E555" s="41"/>
      <c r="F555" s="126"/>
      <c r="G555" s="127"/>
      <c r="H555" s="41"/>
      <c r="I555" s="95"/>
      <c r="J555" s="41"/>
      <c r="K555" s="41"/>
      <c r="L555" s="95"/>
      <c r="M555" s="128"/>
      <c r="N555" s="41"/>
      <c r="O555" s="42"/>
      <c r="P555" s="52"/>
      <c r="Q555" s="41"/>
      <c r="R555" s="42"/>
      <c r="S555" s="129"/>
      <c r="T555" s="41"/>
      <c r="U555" s="42"/>
      <c r="V555" s="41"/>
      <c r="W555" s="41"/>
      <c r="X555" s="42"/>
      <c r="Y555" s="41"/>
      <c r="Z555" s="41"/>
      <c r="AA555" s="94"/>
    </row>
    <row r="556" spans="1:27" x14ac:dyDescent="0.2">
      <c r="A556" s="44"/>
      <c r="B556" s="44"/>
      <c r="C556" s="91"/>
      <c r="D556" s="139"/>
      <c r="E556" s="44"/>
      <c r="F556" s="122"/>
      <c r="G556" s="123"/>
      <c r="H556" s="44"/>
      <c r="I556" s="93"/>
      <c r="J556" s="44"/>
      <c r="K556" s="44"/>
      <c r="L556" s="93"/>
      <c r="M556" s="124"/>
      <c r="N556" s="44"/>
      <c r="O556" s="92"/>
      <c r="P556" s="110"/>
      <c r="Q556" s="44"/>
      <c r="R556" s="92"/>
      <c r="S556" s="125"/>
      <c r="T556" s="44"/>
      <c r="U556" s="92"/>
      <c r="V556" s="44"/>
      <c r="W556" s="44"/>
      <c r="X556" s="92"/>
      <c r="Y556" s="44"/>
      <c r="Z556" s="44"/>
      <c r="AA556" s="91"/>
    </row>
    <row r="557" spans="1:27" x14ac:dyDescent="0.2">
      <c r="A557" s="41"/>
      <c r="B557" s="41"/>
      <c r="C557" s="94"/>
      <c r="D557" s="140"/>
      <c r="E557" s="41"/>
      <c r="F557" s="126"/>
      <c r="G557" s="127"/>
      <c r="H557" s="41"/>
      <c r="I557" s="95"/>
      <c r="J557" s="41"/>
      <c r="K557" s="41"/>
      <c r="L557" s="95"/>
      <c r="M557" s="128"/>
      <c r="N557" s="41"/>
      <c r="O557" s="42"/>
      <c r="P557" s="52"/>
      <c r="Q557" s="41"/>
      <c r="R557" s="42"/>
      <c r="S557" s="129"/>
      <c r="T557" s="41"/>
      <c r="U557" s="42"/>
      <c r="V557" s="41"/>
      <c r="W557" s="41"/>
      <c r="X557" s="42"/>
      <c r="Y557" s="41"/>
      <c r="Z557" s="41"/>
      <c r="AA557" s="94"/>
    </row>
    <row r="558" spans="1:27" x14ac:dyDescent="0.2">
      <c r="A558" s="44"/>
      <c r="B558" s="44"/>
      <c r="C558" s="91"/>
      <c r="D558" s="139"/>
      <c r="E558" s="44"/>
      <c r="F558" s="122"/>
      <c r="G558" s="123"/>
      <c r="H558" s="44"/>
      <c r="I558" s="93"/>
      <c r="J558" s="44"/>
      <c r="K558" s="44"/>
      <c r="L558" s="93"/>
      <c r="M558" s="124"/>
      <c r="N558" s="44"/>
      <c r="O558" s="92"/>
      <c r="P558" s="110"/>
      <c r="Q558" s="44"/>
      <c r="R558" s="92"/>
      <c r="S558" s="125"/>
      <c r="T558" s="44"/>
      <c r="U558" s="92"/>
      <c r="V558" s="44"/>
      <c r="W558" s="44"/>
      <c r="X558" s="92"/>
      <c r="Y558" s="44"/>
      <c r="Z558" s="44"/>
      <c r="AA558" s="91"/>
    </row>
    <row r="559" spans="1:27" x14ac:dyDescent="0.2">
      <c r="A559" s="41"/>
      <c r="B559" s="41"/>
      <c r="C559" s="94"/>
      <c r="D559" s="140"/>
      <c r="E559" s="41"/>
      <c r="F559" s="126"/>
      <c r="G559" s="127"/>
      <c r="H559" s="41"/>
      <c r="I559" s="95"/>
      <c r="J559" s="41"/>
      <c r="K559" s="41"/>
      <c r="L559" s="95"/>
      <c r="M559" s="128"/>
      <c r="N559" s="41"/>
      <c r="O559" s="42"/>
      <c r="P559" s="52"/>
      <c r="Q559" s="41"/>
      <c r="R559" s="42"/>
      <c r="S559" s="129"/>
      <c r="T559" s="41"/>
      <c r="U559" s="42"/>
      <c r="V559" s="41"/>
      <c r="W559" s="41"/>
      <c r="X559" s="42"/>
      <c r="Y559" s="41"/>
      <c r="Z559" s="41"/>
      <c r="AA559" s="94"/>
    </row>
    <row r="560" spans="1:27" x14ac:dyDescent="0.2">
      <c r="A560" s="44"/>
      <c r="B560" s="44"/>
      <c r="C560" s="91"/>
      <c r="D560" s="139"/>
      <c r="E560" s="44"/>
      <c r="F560" s="122"/>
      <c r="G560" s="123"/>
      <c r="H560" s="44"/>
      <c r="I560" s="93"/>
      <c r="J560" s="44"/>
      <c r="K560" s="44"/>
      <c r="L560" s="93"/>
      <c r="M560" s="124"/>
      <c r="N560" s="44"/>
      <c r="O560" s="92"/>
      <c r="P560" s="110"/>
      <c r="Q560" s="44"/>
      <c r="R560" s="92"/>
      <c r="S560" s="125"/>
      <c r="T560" s="44"/>
      <c r="U560" s="92"/>
      <c r="V560" s="44"/>
      <c r="W560" s="44"/>
      <c r="X560" s="92"/>
      <c r="Y560" s="44"/>
      <c r="Z560" s="44"/>
      <c r="AA560" s="91"/>
    </row>
    <row r="561" spans="1:27" x14ac:dyDescent="0.2">
      <c r="A561" s="41"/>
      <c r="B561" s="41"/>
      <c r="C561" s="94"/>
      <c r="D561" s="140"/>
      <c r="E561" s="41"/>
      <c r="F561" s="126"/>
      <c r="G561" s="127"/>
      <c r="H561" s="41"/>
      <c r="I561" s="95"/>
      <c r="J561" s="41"/>
      <c r="K561" s="41"/>
      <c r="L561" s="95"/>
      <c r="M561" s="128"/>
      <c r="N561" s="41"/>
      <c r="O561" s="42"/>
      <c r="P561" s="52"/>
      <c r="Q561" s="41"/>
      <c r="R561" s="42"/>
      <c r="S561" s="129"/>
      <c r="T561" s="41"/>
      <c r="U561" s="42"/>
      <c r="V561" s="41"/>
      <c r="W561" s="41"/>
      <c r="X561" s="42"/>
      <c r="Y561" s="41"/>
      <c r="Z561" s="41"/>
      <c r="AA561" s="94"/>
    </row>
    <row r="562" spans="1:27" x14ac:dyDescent="0.2">
      <c r="A562" s="44"/>
      <c r="B562" s="44"/>
      <c r="C562" s="91"/>
      <c r="D562" s="139"/>
      <c r="E562" s="44"/>
      <c r="F562" s="122"/>
      <c r="G562" s="123"/>
      <c r="H562" s="44"/>
      <c r="I562" s="93"/>
      <c r="J562" s="44"/>
      <c r="K562" s="44"/>
      <c r="L562" s="93"/>
      <c r="M562" s="124"/>
      <c r="N562" s="44"/>
      <c r="O562" s="92"/>
      <c r="P562" s="110"/>
      <c r="Q562" s="44"/>
      <c r="R562" s="92"/>
      <c r="S562" s="125"/>
      <c r="T562" s="44"/>
      <c r="U562" s="92"/>
      <c r="V562" s="44"/>
      <c r="W562" s="44"/>
      <c r="X562" s="92"/>
      <c r="Y562" s="44"/>
      <c r="Z562" s="44"/>
      <c r="AA562" s="91"/>
    </row>
    <row r="563" spans="1:27" x14ac:dyDescent="0.2">
      <c r="A563" s="41"/>
      <c r="B563" s="41"/>
      <c r="C563" s="94"/>
      <c r="D563" s="140"/>
      <c r="E563" s="41"/>
      <c r="F563" s="126"/>
      <c r="G563" s="127"/>
      <c r="H563" s="41"/>
      <c r="I563" s="95"/>
      <c r="J563" s="41"/>
      <c r="K563" s="41"/>
      <c r="L563" s="95"/>
      <c r="M563" s="128"/>
      <c r="N563" s="41"/>
      <c r="O563" s="42"/>
      <c r="P563" s="52"/>
      <c r="Q563" s="41"/>
      <c r="R563" s="42"/>
      <c r="S563" s="129"/>
      <c r="T563" s="41"/>
      <c r="U563" s="42"/>
      <c r="V563" s="41"/>
      <c r="W563" s="41"/>
      <c r="X563" s="42"/>
      <c r="Y563" s="41"/>
      <c r="Z563" s="41"/>
      <c r="AA563" s="94"/>
    </row>
    <row r="564" spans="1:27" x14ac:dyDescent="0.2">
      <c r="A564" s="44"/>
      <c r="B564" s="44"/>
      <c r="C564" s="91"/>
      <c r="D564" s="139"/>
      <c r="E564" s="44"/>
      <c r="F564" s="122"/>
      <c r="G564" s="123"/>
      <c r="H564" s="44"/>
      <c r="I564" s="93"/>
      <c r="J564" s="44"/>
      <c r="K564" s="44"/>
      <c r="L564" s="93"/>
      <c r="M564" s="124"/>
      <c r="N564" s="44"/>
      <c r="O564" s="92"/>
      <c r="P564" s="110"/>
      <c r="Q564" s="44"/>
      <c r="R564" s="92"/>
      <c r="S564" s="125"/>
      <c r="T564" s="44"/>
      <c r="U564" s="92"/>
      <c r="V564" s="44"/>
      <c r="W564" s="44"/>
      <c r="X564" s="92"/>
      <c r="Y564" s="44"/>
      <c r="Z564" s="44"/>
      <c r="AA564" s="91"/>
    </row>
    <row r="565" spans="1:27" x14ac:dyDescent="0.2">
      <c r="A565" s="41"/>
      <c r="B565" s="41"/>
      <c r="C565" s="94"/>
      <c r="D565" s="140"/>
      <c r="E565" s="41"/>
      <c r="F565" s="126"/>
      <c r="G565" s="127"/>
      <c r="H565" s="41"/>
      <c r="I565" s="95"/>
      <c r="J565" s="41"/>
      <c r="K565" s="41"/>
      <c r="L565" s="95"/>
      <c r="M565" s="128"/>
      <c r="N565" s="41"/>
      <c r="O565" s="42"/>
      <c r="P565" s="52"/>
      <c r="Q565" s="41"/>
      <c r="R565" s="42"/>
      <c r="S565" s="129"/>
      <c r="T565" s="41"/>
      <c r="U565" s="42"/>
      <c r="V565" s="41"/>
      <c r="W565" s="41"/>
      <c r="X565" s="42"/>
      <c r="Y565" s="41"/>
      <c r="Z565" s="41"/>
      <c r="AA565" s="94"/>
    </row>
    <row r="566" spans="1:27" x14ac:dyDescent="0.2">
      <c r="A566" s="44"/>
      <c r="B566" s="44"/>
      <c r="C566" s="91"/>
      <c r="D566" s="139"/>
      <c r="E566" s="44"/>
      <c r="F566" s="122"/>
      <c r="G566" s="123"/>
      <c r="H566" s="44"/>
      <c r="I566" s="93"/>
      <c r="J566" s="44"/>
      <c r="K566" s="44"/>
      <c r="L566" s="93"/>
      <c r="M566" s="124"/>
      <c r="N566" s="44"/>
      <c r="O566" s="92"/>
      <c r="P566" s="110"/>
      <c r="Q566" s="44"/>
      <c r="R566" s="92"/>
      <c r="S566" s="125"/>
      <c r="T566" s="44"/>
      <c r="U566" s="92"/>
      <c r="V566" s="44"/>
      <c r="W566" s="44"/>
      <c r="X566" s="92"/>
      <c r="Y566" s="44"/>
      <c r="Z566" s="44"/>
      <c r="AA566" s="91"/>
    </row>
    <row r="567" spans="1:27" x14ac:dyDescent="0.2">
      <c r="A567" s="41"/>
      <c r="B567" s="41"/>
      <c r="C567" s="94"/>
      <c r="D567" s="140"/>
      <c r="E567" s="41"/>
      <c r="F567" s="126"/>
      <c r="G567" s="127"/>
      <c r="H567" s="41"/>
      <c r="I567" s="95"/>
      <c r="J567" s="41"/>
      <c r="K567" s="41"/>
      <c r="L567" s="95"/>
      <c r="M567" s="128"/>
      <c r="N567" s="41"/>
      <c r="O567" s="42"/>
      <c r="P567" s="52"/>
      <c r="Q567" s="41"/>
      <c r="R567" s="42"/>
      <c r="S567" s="129"/>
      <c r="T567" s="41"/>
      <c r="U567" s="42"/>
      <c r="V567" s="41"/>
      <c r="W567" s="41"/>
      <c r="X567" s="42"/>
      <c r="Y567" s="41"/>
      <c r="Z567" s="41"/>
      <c r="AA567" s="94"/>
    </row>
    <row r="568" spans="1:27" x14ac:dyDescent="0.2">
      <c r="A568" s="44"/>
      <c r="B568" s="44"/>
      <c r="C568" s="91"/>
      <c r="D568" s="139"/>
      <c r="E568" s="44"/>
      <c r="F568" s="122"/>
      <c r="G568" s="123"/>
      <c r="H568" s="44"/>
      <c r="I568" s="93"/>
      <c r="J568" s="44"/>
      <c r="K568" s="44"/>
      <c r="L568" s="93"/>
      <c r="M568" s="124"/>
      <c r="N568" s="44"/>
      <c r="O568" s="92"/>
      <c r="P568" s="110"/>
      <c r="Q568" s="44"/>
      <c r="R568" s="92"/>
      <c r="S568" s="125"/>
      <c r="T568" s="44"/>
      <c r="U568" s="92"/>
      <c r="V568" s="44"/>
      <c r="W568" s="44"/>
      <c r="X568" s="92"/>
      <c r="Y568" s="44"/>
      <c r="Z568" s="44"/>
      <c r="AA568" s="91"/>
    </row>
    <row r="569" spans="1:27" x14ac:dyDescent="0.2">
      <c r="A569" s="41"/>
      <c r="B569" s="41"/>
      <c r="C569" s="94"/>
      <c r="D569" s="140"/>
      <c r="E569" s="41"/>
      <c r="F569" s="127"/>
      <c r="G569" s="127"/>
      <c r="H569" s="41"/>
      <c r="I569" s="95"/>
      <c r="J569" s="41"/>
      <c r="K569" s="41"/>
      <c r="L569" s="95"/>
      <c r="M569" s="128"/>
      <c r="N569" s="41"/>
      <c r="O569" s="42"/>
      <c r="P569" s="52"/>
      <c r="Q569" s="41"/>
      <c r="R569" s="42"/>
      <c r="S569" s="129"/>
      <c r="T569" s="41"/>
      <c r="U569" s="42"/>
      <c r="V569" s="41"/>
      <c r="W569" s="41"/>
      <c r="X569" s="42"/>
      <c r="Y569" s="41"/>
      <c r="Z569" s="41"/>
      <c r="AA569" s="94"/>
    </row>
    <row r="570" spans="1:27" x14ac:dyDescent="0.2">
      <c r="A570" s="44"/>
      <c r="B570" s="44"/>
      <c r="C570" s="91"/>
      <c r="D570" s="139"/>
      <c r="E570" s="44"/>
      <c r="F570" s="122"/>
      <c r="G570" s="123"/>
      <c r="H570" s="44"/>
      <c r="I570" s="93"/>
      <c r="J570" s="44"/>
      <c r="K570" s="44"/>
      <c r="L570" s="93"/>
      <c r="M570" s="124"/>
      <c r="N570" s="44"/>
      <c r="O570" s="92"/>
      <c r="P570" s="110"/>
      <c r="Q570" s="44"/>
      <c r="R570" s="92"/>
      <c r="S570" s="125"/>
      <c r="T570" s="44"/>
      <c r="U570" s="92"/>
      <c r="V570" s="44"/>
      <c r="W570" s="44"/>
      <c r="X570" s="92"/>
      <c r="Y570" s="44"/>
      <c r="Z570" s="44"/>
      <c r="AA570" s="91"/>
    </row>
    <row r="571" spans="1:27" x14ac:dyDescent="0.2">
      <c r="A571" s="41"/>
      <c r="B571" s="41"/>
      <c r="C571" s="94"/>
      <c r="D571" s="140"/>
      <c r="E571" s="41"/>
      <c r="F571" s="126"/>
      <c r="G571" s="127"/>
      <c r="H571" s="41"/>
      <c r="I571" s="95"/>
      <c r="J571" s="41"/>
      <c r="K571" s="41"/>
      <c r="L571" s="95"/>
      <c r="M571" s="128"/>
      <c r="N571" s="41"/>
      <c r="O571" s="42"/>
      <c r="P571" s="52"/>
      <c r="Q571" s="41"/>
      <c r="R571" s="42"/>
      <c r="S571" s="129"/>
      <c r="T571" s="41"/>
      <c r="U571" s="42"/>
      <c r="V571" s="41"/>
      <c r="W571" s="41"/>
      <c r="X571" s="42"/>
      <c r="Y571" s="41"/>
      <c r="Z571" s="41"/>
      <c r="AA571" s="94"/>
    </row>
    <row r="572" spans="1:27" x14ac:dyDescent="0.2">
      <c r="A572" s="44"/>
      <c r="B572" s="44"/>
      <c r="C572" s="91"/>
      <c r="D572" s="139"/>
      <c r="E572" s="44"/>
      <c r="F572" s="122"/>
      <c r="G572" s="123"/>
      <c r="H572" s="44"/>
      <c r="I572" s="93"/>
      <c r="J572" s="44"/>
      <c r="K572" s="44"/>
      <c r="L572" s="93"/>
      <c r="M572" s="124"/>
      <c r="N572" s="44"/>
      <c r="O572" s="92"/>
      <c r="P572" s="110"/>
      <c r="Q572" s="44"/>
      <c r="R572" s="92"/>
      <c r="S572" s="125"/>
      <c r="T572" s="44"/>
      <c r="U572" s="92"/>
      <c r="V572" s="44"/>
      <c r="W572" s="44"/>
      <c r="X572" s="92"/>
      <c r="Y572" s="44"/>
      <c r="Z572" s="44"/>
      <c r="AA572" s="91"/>
    </row>
    <row r="573" spans="1:27" x14ac:dyDescent="0.2">
      <c r="A573" s="41"/>
      <c r="B573" s="41"/>
      <c r="C573" s="94"/>
      <c r="D573" s="140"/>
      <c r="E573" s="41"/>
      <c r="F573" s="126"/>
      <c r="G573" s="127"/>
      <c r="H573" s="41"/>
      <c r="I573" s="95"/>
      <c r="J573" s="41"/>
      <c r="K573" s="41"/>
      <c r="L573" s="95"/>
      <c r="M573" s="128"/>
      <c r="N573" s="41"/>
      <c r="O573" s="42"/>
      <c r="P573" s="52"/>
      <c r="Q573" s="41"/>
      <c r="R573" s="42"/>
      <c r="S573" s="129"/>
      <c r="T573" s="41"/>
      <c r="U573" s="42"/>
      <c r="V573" s="41"/>
      <c r="W573" s="41"/>
      <c r="X573" s="42"/>
      <c r="Y573" s="41"/>
      <c r="Z573" s="41"/>
      <c r="AA573" s="94"/>
    </row>
    <row r="574" spans="1:27" x14ac:dyDescent="0.2">
      <c r="A574" s="44"/>
      <c r="B574" s="44"/>
      <c r="C574" s="91"/>
      <c r="D574" s="139"/>
      <c r="E574" s="44"/>
      <c r="F574" s="122"/>
      <c r="G574" s="123"/>
      <c r="H574" s="44"/>
      <c r="I574" s="93"/>
      <c r="J574" s="44"/>
      <c r="K574" s="44"/>
      <c r="L574" s="93"/>
      <c r="M574" s="124"/>
      <c r="N574" s="44"/>
      <c r="O574" s="92"/>
      <c r="P574" s="110"/>
      <c r="Q574" s="44"/>
      <c r="R574" s="92"/>
      <c r="S574" s="125"/>
      <c r="T574" s="44"/>
      <c r="U574" s="92"/>
      <c r="V574" s="44"/>
      <c r="W574" s="44"/>
      <c r="X574" s="92"/>
      <c r="Y574" s="44"/>
      <c r="Z574" s="44"/>
      <c r="AA574" s="91"/>
    </row>
    <row r="575" spans="1:27" x14ac:dyDescent="0.2">
      <c r="A575" s="41"/>
      <c r="B575" s="41"/>
      <c r="C575" s="94"/>
      <c r="D575" s="140"/>
      <c r="E575" s="41"/>
      <c r="F575" s="126"/>
      <c r="G575" s="127"/>
      <c r="H575" s="41"/>
      <c r="I575" s="95"/>
      <c r="J575" s="41"/>
      <c r="K575" s="41"/>
      <c r="L575" s="95"/>
      <c r="M575" s="128"/>
      <c r="N575" s="41"/>
      <c r="O575" s="42"/>
      <c r="P575" s="52"/>
      <c r="Q575" s="41"/>
      <c r="R575" s="42"/>
      <c r="S575" s="129"/>
      <c r="T575" s="41"/>
      <c r="U575" s="42"/>
      <c r="V575" s="41"/>
      <c r="W575" s="41"/>
      <c r="X575" s="42"/>
      <c r="Y575" s="41"/>
      <c r="Z575" s="41"/>
      <c r="AA575" s="94"/>
    </row>
    <row r="576" spans="1:27" x14ac:dyDescent="0.2">
      <c r="A576" s="44"/>
      <c r="B576" s="44"/>
      <c r="C576" s="91"/>
      <c r="D576" s="139"/>
      <c r="E576" s="44"/>
      <c r="F576" s="122"/>
      <c r="G576" s="123"/>
      <c r="H576" s="44"/>
      <c r="I576" s="93"/>
      <c r="J576" s="44"/>
      <c r="K576" s="44"/>
      <c r="L576" s="93"/>
      <c r="M576" s="124"/>
      <c r="N576" s="44"/>
      <c r="O576" s="92"/>
      <c r="P576" s="110"/>
      <c r="Q576" s="44"/>
      <c r="R576" s="92"/>
      <c r="S576" s="125"/>
      <c r="T576" s="44"/>
      <c r="U576" s="92"/>
      <c r="V576" s="44"/>
      <c r="W576" s="44"/>
      <c r="X576" s="92"/>
      <c r="Y576" s="44"/>
      <c r="Z576" s="44"/>
      <c r="AA576" s="91"/>
    </row>
    <row r="577" spans="1:27" x14ac:dyDescent="0.2">
      <c r="A577" s="96"/>
      <c r="B577" s="44"/>
      <c r="C577" s="91"/>
      <c r="D577" s="139"/>
      <c r="E577" s="44"/>
      <c r="F577" s="122"/>
      <c r="G577" s="123"/>
      <c r="H577" s="44"/>
      <c r="I577" s="93"/>
      <c r="J577" s="44"/>
      <c r="K577" s="44"/>
      <c r="L577" s="93"/>
      <c r="M577" s="124"/>
      <c r="N577" s="44"/>
      <c r="O577" s="92"/>
      <c r="P577" s="110"/>
      <c r="Q577" s="44"/>
      <c r="R577" s="92"/>
      <c r="S577" s="125"/>
      <c r="T577" s="44"/>
      <c r="U577" s="92"/>
      <c r="V577" s="44"/>
      <c r="W577" s="44"/>
      <c r="X577" s="92"/>
      <c r="Y577" s="96"/>
      <c r="Z577" s="44"/>
      <c r="AA577" s="91"/>
    </row>
    <row r="578" spans="1:27" x14ac:dyDescent="0.2">
      <c r="A578" s="97"/>
      <c r="B578" s="41"/>
      <c r="C578" s="94"/>
      <c r="D578" s="140"/>
      <c r="E578" s="41"/>
      <c r="F578" s="126"/>
      <c r="G578" s="127"/>
      <c r="H578" s="41"/>
      <c r="I578" s="95"/>
      <c r="J578" s="41"/>
      <c r="K578" s="41"/>
      <c r="L578" s="95"/>
      <c r="M578" s="128"/>
      <c r="N578" s="41"/>
      <c r="O578" s="42"/>
      <c r="P578" s="52"/>
      <c r="Q578" s="41"/>
      <c r="R578" s="42"/>
      <c r="S578" s="129"/>
      <c r="T578" s="41"/>
      <c r="U578" s="42"/>
      <c r="V578" s="41"/>
      <c r="W578" s="41"/>
      <c r="X578" s="42"/>
      <c r="Y578" s="97"/>
      <c r="Z578" s="41"/>
      <c r="AA578" s="94"/>
    </row>
    <row r="579" spans="1:27" x14ac:dyDescent="0.2">
      <c r="A579" s="96"/>
      <c r="B579" s="44"/>
      <c r="C579" s="91"/>
      <c r="D579" s="139"/>
      <c r="E579" s="44"/>
      <c r="F579" s="122"/>
      <c r="G579" s="123"/>
      <c r="H579" s="44"/>
      <c r="I579" s="93"/>
      <c r="J579" s="44"/>
      <c r="K579" s="44"/>
      <c r="L579" s="93"/>
      <c r="M579" s="124"/>
      <c r="N579" s="44"/>
      <c r="O579" s="92"/>
      <c r="P579" s="110"/>
      <c r="Q579" s="44"/>
      <c r="R579" s="92"/>
      <c r="S579" s="125"/>
      <c r="T579" s="44"/>
      <c r="U579" s="92"/>
      <c r="V579" s="44"/>
      <c r="W579" s="44"/>
      <c r="X579" s="92"/>
      <c r="Y579" s="96"/>
      <c r="Z579" s="44"/>
      <c r="AA579" s="91"/>
    </row>
    <row r="580" spans="1:27" x14ac:dyDescent="0.2">
      <c r="A580" s="97"/>
      <c r="B580" s="41"/>
      <c r="C580" s="94"/>
      <c r="D580" s="140"/>
      <c r="E580" s="41"/>
      <c r="F580" s="126"/>
      <c r="G580" s="127"/>
      <c r="H580" s="41"/>
      <c r="I580" s="95"/>
      <c r="J580" s="41"/>
      <c r="K580" s="41"/>
      <c r="L580" s="95"/>
      <c r="M580" s="128"/>
      <c r="N580" s="41"/>
      <c r="O580" s="42"/>
      <c r="P580" s="52"/>
      <c r="Q580" s="41"/>
      <c r="R580" s="42"/>
      <c r="S580" s="129"/>
      <c r="T580" s="41"/>
      <c r="U580" s="42"/>
      <c r="V580" s="41"/>
      <c r="W580" s="41"/>
      <c r="X580" s="42"/>
      <c r="Y580" s="97"/>
      <c r="Z580" s="41"/>
      <c r="AA580" s="94"/>
    </row>
    <row r="581" spans="1:27" x14ac:dyDescent="0.2">
      <c r="A581" s="97"/>
      <c r="B581" s="41"/>
      <c r="C581" s="94"/>
      <c r="D581" s="140"/>
      <c r="E581" s="41"/>
      <c r="F581" s="126"/>
      <c r="G581" s="127"/>
      <c r="H581" s="41"/>
      <c r="I581" s="95"/>
      <c r="J581" s="41"/>
      <c r="K581" s="41"/>
      <c r="L581" s="95"/>
      <c r="M581" s="128"/>
      <c r="N581" s="41"/>
      <c r="O581" s="42"/>
      <c r="P581" s="52"/>
      <c r="Q581" s="41"/>
      <c r="R581" s="42"/>
      <c r="S581" s="129"/>
      <c r="T581" s="41"/>
      <c r="U581" s="42"/>
      <c r="V581" s="41"/>
      <c r="W581" s="41"/>
      <c r="X581" s="42"/>
      <c r="Y581" s="97"/>
      <c r="Z581" s="41"/>
      <c r="AA581" s="94"/>
    </row>
    <row r="582" spans="1:27" x14ac:dyDescent="0.2">
      <c r="A582" s="97"/>
      <c r="B582" s="41"/>
      <c r="C582" s="94"/>
      <c r="D582" s="140"/>
      <c r="E582" s="41"/>
      <c r="F582" s="126"/>
      <c r="G582" s="127"/>
      <c r="H582" s="41"/>
      <c r="I582" s="95"/>
      <c r="J582" s="41"/>
      <c r="K582" s="41"/>
      <c r="L582" s="95"/>
      <c r="M582" s="128"/>
      <c r="N582" s="41"/>
      <c r="O582" s="42"/>
      <c r="P582" s="52"/>
      <c r="Q582" s="41"/>
      <c r="R582" s="42"/>
      <c r="S582" s="129"/>
      <c r="T582" s="41"/>
      <c r="U582" s="42"/>
      <c r="V582" s="41"/>
      <c r="W582" s="41"/>
      <c r="X582" s="42"/>
      <c r="Y582" s="97"/>
      <c r="Z582" s="41"/>
      <c r="AA582" s="94"/>
    </row>
    <row r="583" spans="1:27" x14ac:dyDescent="0.2">
      <c r="A583" s="97"/>
      <c r="B583" s="41"/>
      <c r="C583" s="94"/>
      <c r="D583" s="140"/>
      <c r="E583" s="41"/>
      <c r="F583" s="126"/>
      <c r="G583" s="127"/>
      <c r="H583" s="41"/>
      <c r="I583" s="95"/>
      <c r="J583" s="41"/>
      <c r="K583" s="41"/>
      <c r="L583" s="95"/>
      <c r="M583" s="128"/>
      <c r="N583" s="41"/>
      <c r="O583" s="42"/>
      <c r="P583" s="52"/>
      <c r="Q583" s="41"/>
      <c r="R583" s="42"/>
      <c r="S583" s="129"/>
      <c r="T583" s="41"/>
      <c r="U583" s="42"/>
      <c r="V583" s="41"/>
      <c r="W583" s="41"/>
      <c r="X583" s="42"/>
      <c r="Y583" s="97"/>
      <c r="Z583" s="41"/>
      <c r="AA583" s="94"/>
    </row>
    <row r="584" spans="1:27" x14ac:dyDescent="0.2">
      <c r="A584" s="96"/>
      <c r="B584" s="44"/>
      <c r="C584" s="91"/>
      <c r="D584" s="139"/>
      <c r="E584" s="44"/>
      <c r="F584" s="122"/>
      <c r="G584" s="123"/>
      <c r="H584" s="44"/>
      <c r="I584" s="93"/>
      <c r="J584" s="44"/>
      <c r="K584" s="44"/>
      <c r="L584" s="93"/>
      <c r="M584" s="124"/>
      <c r="N584" s="44"/>
      <c r="O584" s="92"/>
      <c r="P584" s="110"/>
      <c r="Q584" s="44"/>
      <c r="R584" s="92"/>
      <c r="S584" s="125"/>
      <c r="T584" s="44"/>
      <c r="U584" s="92"/>
      <c r="V584" s="44"/>
      <c r="W584" s="44"/>
      <c r="X584" s="92"/>
      <c r="Y584" s="96"/>
      <c r="Z584" s="44"/>
      <c r="AA584" s="91"/>
    </row>
    <row r="585" spans="1:27" x14ac:dyDescent="0.2">
      <c r="A585" s="96"/>
      <c r="B585" s="44"/>
      <c r="C585" s="91"/>
      <c r="D585" s="139"/>
      <c r="E585" s="44"/>
      <c r="F585" s="122"/>
      <c r="G585" s="123"/>
      <c r="H585" s="44"/>
      <c r="I585" s="93"/>
      <c r="J585" s="44"/>
      <c r="K585" s="44"/>
      <c r="L585" s="93"/>
      <c r="M585" s="124"/>
      <c r="N585" s="44"/>
      <c r="O585" s="92"/>
      <c r="P585" s="110"/>
      <c r="Q585" s="44"/>
      <c r="R585" s="92"/>
      <c r="S585" s="125"/>
      <c r="T585" s="44"/>
      <c r="U585" s="92"/>
      <c r="V585" s="44"/>
      <c r="W585" s="44"/>
      <c r="X585" s="92"/>
      <c r="Y585" s="96"/>
      <c r="Z585" s="44"/>
      <c r="AA585" s="91"/>
    </row>
    <row r="586" spans="1:27" x14ac:dyDescent="0.2">
      <c r="A586" s="96"/>
      <c r="B586" s="44"/>
      <c r="C586" s="91"/>
      <c r="D586" s="139"/>
      <c r="E586" s="44"/>
      <c r="F586" s="122"/>
      <c r="G586" s="123"/>
      <c r="H586" s="44"/>
      <c r="I586" s="93"/>
      <c r="J586" s="44"/>
      <c r="K586" s="44"/>
      <c r="L586" s="93"/>
      <c r="M586" s="124"/>
      <c r="N586" s="44"/>
      <c r="O586" s="92"/>
      <c r="P586" s="110"/>
      <c r="Q586" s="44"/>
      <c r="R586" s="92"/>
      <c r="S586" s="125"/>
      <c r="T586" s="44"/>
      <c r="U586" s="92"/>
      <c r="V586" s="44"/>
      <c r="W586" s="44"/>
      <c r="X586" s="92"/>
      <c r="Y586" s="96"/>
      <c r="Z586" s="44"/>
      <c r="AA586" s="91"/>
    </row>
    <row r="587" spans="1:27" x14ac:dyDescent="0.2">
      <c r="A587" s="96"/>
      <c r="B587" s="44"/>
      <c r="C587" s="91"/>
      <c r="D587" s="139"/>
      <c r="E587" s="44"/>
      <c r="F587" s="122"/>
      <c r="G587" s="123"/>
      <c r="H587" s="44"/>
      <c r="I587" s="93"/>
      <c r="J587" s="44"/>
      <c r="K587" s="44"/>
      <c r="L587" s="93"/>
      <c r="M587" s="124"/>
      <c r="N587" s="44"/>
      <c r="O587" s="92"/>
      <c r="P587" s="110"/>
      <c r="Q587" s="44"/>
      <c r="R587" s="92"/>
      <c r="S587" s="125"/>
      <c r="T587" s="44"/>
      <c r="U587" s="92"/>
      <c r="V587" s="44"/>
      <c r="W587" s="44"/>
      <c r="X587" s="92"/>
      <c r="Y587" s="96"/>
      <c r="Z587" s="44"/>
      <c r="AA587" s="91"/>
    </row>
    <row r="588" spans="1:27" x14ac:dyDescent="0.2">
      <c r="A588" s="96"/>
      <c r="B588" s="44"/>
      <c r="C588" s="91"/>
      <c r="D588" s="139"/>
      <c r="E588" s="44"/>
      <c r="F588" s="122"/>
      <c r="G588" s="123"/>
      <c r="H588" s="44"/>
      <c r="I588" s="93"/>
      <c r="J588" s="44"/>
      <c r="K588" s="44"/>
      <c r="L588" s="93"/>
      <c r="M588" s="124"/>
      <c r="N588" s="44"/>
      <c r="O588" s="92"/>
      <c r="P588" s="110"/>
      <c r="Q588" s="44"/>
      <c r="R588" s="92"/>
      <c r="S588" s="125"/>
      <c r="T588" s="44"/>
      <c r="U588" s="92"/>
      <c r="V588" s="44"/>
      <c r="W588" s="44"/>
      <c r="X588" s="92"/>
      <c r="Y588" s="96"/>
      <c r="Z588" s="44"/>
      <c r="AA588" s="91"/>
    </row>
    <row r="589" spans="1:27" x14ac:dyDescent="0.2">
      <c r="A589" s="97"/>
      <c r="B589" s="41"/>
      <c r="C589" s="94"/>
      <c r="D589" s="140"/>
      <c r="E589" s="41"/>
      <c r="F589" s="126"/>
      <c r="G589" s="127"/>
      <c r="H589" s="41"/>
      <c r="I589" s="95"/>
      <c r="J589" s="41"/>
      <c r="K589" s="41"/>
      <c r="L589" s="95"/>
      <c r="M589" s="128"/>
      <c r="N589" s="41"/>
      <c r="O589" s="42"/>
      <c r="P589" s="52"/>
      <c r="Q589" s="41"/>
      <c r="R589" s="42"/>
      <c r="S589" s="129"/>
      <c r="T589" s="41"/>
      <c r="U589" s="42"/>
      <c r="V589" s="41"/>
      <c r="W589" s="41"/>
      <c r="X589" s="42"/>
      <c r="Y589" s="97"/>
      <c r="Z589" s="41"/>
      <c r="AA589" s="94"/>
    </row>
    <row r="590" spans="1:27" x14ac:dyDescent="0.2">
      <c r="A590" s="96"/>
      <c r="B590" s="44"/>
      <c r="C590" s="91"/>
      <c r="D590" s="139"/>
      <c r="E590" s="44"/>
      <c r="F590" s="122"/>
      <c r="G590" s="123"/>
      <c r="H590" s="44"/>
      <c r="I590" s="93"/>
      <c r="J590" s="44"/>
      <c r="K590" s="44"/>
      <c r="L590" s="93"/>
      <c r="M590" s="124"/>
      <c r="N590" s="44"/>
      <c r="O590" s="92"/>
      <c r="P590" s="110"/>
      <c r="Q590" s="44"/>
      <c r="R590" s="92"/>
      <c r="S590" s="125"/>
      <c r="T590" s="44"/>
      <c r="U590" s="92"/>
      <c r="V590" s="44"/>
      <c r="W590" s="44"/>
      <c r="X590" s="92"/>
      <c r="Y590" s="96"/>
      <c r="Z590" s="44"/>
      <c r="AA590" s="91"/>
    </row>
    <row r="591" spans="1:27" x14ac:dyDescent="0.2">
      <c r="A591" s="97"/>
      <c r="B591" s="41"/>
      <c r="C591" s="94"/>
      <c r="D591" s="140"/>
      <c r="E591" s="41"/>
      <c r="F591" s="126"/>
      <c r="G591" s="127"/>
      <c r="H591" s="41"/>
      <c r="I591" s="95"/>
      <c r="J591" s="41"/>
      <c r="K591" s="41"/>
      <c r="L591" s="95"/>
      <c r="M591" s="128"/>
      <c r="N591" s="41"/>
      <c r="O591" s="42"/>
      <c r="P591" s="52"/>
      <c r="Q591" s="41"/>
      <c r="R591" s="42"/>
      <c r="S591" s="129"/>
      <c r="T591" s="41"/>
      <c r="U591" s="42"/>
      <c r="V591" s="41"/>
      <c r="W591" s="41"/>
      <c r="X591" s="42"/>
      <c r="Y591" s="97"/>
      <c r="Z591" s="41"/>
      <c r="AA591" s="94"/>
    </row>
    <row r="592" spans="1:27" x14ac:dyDescent="0.2">
      <c r="A592" s="96"/>
      <c r="B592" s="44"/>
      <c r="C592" s="91"/>
      <c r="D592" s="139"/>
      <c r="E592" s="44"/>
      <c r="F592" s="122"/>
      <c r="G592" s="123"/>
      <c r="H592" s="44"/>
      <c r="I592" s="93"/>
      <c r="J592" s="44"/>
      <c r="K592" s="44"/>
      <c r="L592" s="93"/>
      <c r="M592" s="124"/>
      <c r="N592" s="44"/>
      <c r="O592" s="92"/>
      <c r="P592" s="110"/>
      <c r="Q592" s="44"/>
      <c r="R592" s="92"/>
      <c r="S592" s="125"/>
      <c r="T592" s="44"/>
      <c r="U592" s="92"/>
      <c r="V592" s="44"/>
      <c r="W592" s="44"/>
      <c r="X592" s="92"/>
      <c r="Y592" s="96"/>
      <c r="Z592" s="44"/>
      <c r="AA592" s="91"/>
    </row>
    <row r="593" spans="1:27" x14ac:dyDescent="0.2">
      <c r="A593" s="96"/>
      <c r="B593" s="44"/>
      <c r="C593" s="91"/>
      <c r="D593" s="139"/>
      <c r="E593" s="44"/>
      <c r="F593" s="122"/>
      <c r="G593" s="123"/>
      <c r="H593" s="44"/>
      <c r="I593" s="93"/>
      <c r="J593" s="44"/>
      <c r="K593" s="44"/>
      <c r="L593" s="93"/>
      <c r="M593" s="124"/>
      <c r="N593" s="44"/>
      <c r="O593" s="92"/>
      <c r="P593" s="110"/>
      <c r="Q593" s="44"/>
      <c r="R593" s="92"/>
      <c r="S593" s="125"/>
      <c r="T593" s="44"/>
      <c r="U593" s="92"/>
      <c r="V593" s="44"/>
      <c r="W593" s="44"/>
      <c r="X593" s="92"/>
      <c r="Y593" s="96"/>
      <c r="Z593" s="44"/>
      <c r="AA593" s="91"/>
    </row>
    <row r="594" spans="1:27" x14ac:dyDescent="0.2">
      <c r="A594" s="97"/>
      <c r="B594" s="41"/>
      <c r="C594" s="94"/>
      <c r="D594" s="140"/>
      <c r="E594" s="41"/>
      <c r="F594" s="126"/>
      <c r="G594" s="127"/>
      <c r="H594" s="41"/>
      <c r="I594" s="95"/>
      <c r="J594" s="41"/>
      <c r="K594" s="41"/>
      <c r="L594" s="95"/>
      <c r="M594" s="128"/>
      <c r="N594" s="41"/>
      <c r="O594" s="42"/>
      <c r="P594" s="52"/>
      <c r="Q594" s="41"/>
      <c r="R594" s="42"/>
      <c r="S594" s="129"/>
      <c r="T594" s="41"/>
      <c r="U594" s="42"/>
      <c r="V594" s="41"/>
      <c r="W594" s="41"/>
      <c r="X594" s="42"/>
      <c r="Y594" s="97"/>
      <c r="Z594" s="41"/>
      <c r="AA594" s="94"/>
    </row>
    <row r="595" spans="1:27" x14ac:dyDescent="0.2">
      <c r="A595" s="96"/>
      <c r="B595" s="44"/>
      <c r="C595" s="91"/>
      <c r="D595" s="139"/>
      <c r="E595" s="44"/>
      <c r="F595" s="122"/>
      <c r="G595" s="123"/>
      <c r="H595" s="44"/>
      <c r="I595" s="93"/>
      <c r="J595" s="44"/>
      <c r="K595" s="44"/>
      <c r="L595" s="93"/>
      <c r="M595" s="124"/>
      <c r="N595" s="44"/>
      <c r="O595" s="92"/>
      <c r="P595" s="110"/>
      <c r="Q595" s="44"/>
      <c r="R595" s="92"/>
      <c r="S595" s="125"/>
      <c r="T595" s="44"/>
      <c r="U595" s="92"/>
      <c r="V595" s="44"/>
      <c r="W595" s="44"/>
      <c r="X595" s="92"/>
      <c r="Y595" s="96"/>
      <c r="Z595" s="44"/>
      <c r="AA595" s="91"/>
    </row>
    <row r="596" spans="1:27" x14ac:dyDescent="0.2">
      <c r="A596" s="96"/>
      <c r="B596" s="44"/>
      <c r="C596" s="91"/>
      <c r="D596" s="139"/>
      <c r="E596" s="44"/>
      <c r="F596" s="122"/>
      <c r="G596" s="123"/>
      <c r="H596" s="44"/>
      <c r="I596" s="93"/>
      <c r="J596" s="44"/>
      <c r="K596" s="44"/>
      <c r="L596" s="93"/>
      <c r="M596" s="124"/>
      <c r="N596" s="44"/>
      <c r="O596" s="92"/>
      <c r="P596" s="110"/>
      <c r="Q596" s="44"/>
      <c r="R596" s="92"/>
      <c r="S596" s="125"/>
      <c r="T596" s="44"/>
      <c r="U596" s="92"/>
      <c r="V596" s="44"/>
      <c r="W596" s="44"/>
      <c r="X596" s="92"/>
      <c r="Y596" s="96"/>
      <c r="Z596" s="44"/>
      <c r="AA596" s="91"/>
    </row>
    <row r="597" spans="1:27" x14ac:dyDescent="0.2">
      <c r="A597" s="97"/>
      <c r="B597" s="41"/>
      <c r="C597" s="94"/>
      <c r="D597" s="140"/>
      <c r="E597" s="41"/>
      <c r="F597" s="126"/>
      <c r="G597" s="127"/>
      <c r="H597" s="41"/>
      <c r="I597" s="95"/>
      <c r="J597" s="41"/>
      <c r="K597" s="41"/>
      <c r="L597" s="95"/>
      <c r="M597" s="128"/>
      <c r="N597" s="41"/>
      <c r="O597" s="42"/>
      <c r="P597" s="52"/>
      <c r="Q597" s="41"/>
      <c r="R597" s="42"/>
      <c r="S597" s="129"/>
      <c r="T597" s="41"/>
      <c r="U597" s="42"/>
      <c r="V597" s="41"/>
      <c r="W597" s="41"/>
      <c r="X597" s="42"/>
      <c r="Y597" s="97"/>
      <c r="Z597" s="41"/>
      <c r="AA597" s="94"/>
    </row>
    <row r="598" spans="1:27" x14ac:dyDescent="0.2">
      <c r="A598" s="97"/>
      <c r="B598" s="41"/>
      <c r="C598" s="94"/>
      <c r="D598" s="140"/>
      <c r="E598" s="41"/>
      <c r="F598" s="126"/>
      <c r="G598" s="127"/>
      <c r="H598" s="41"/>
      <c r="I598" s="95"/>
      <c r="J598" s="41"/>
      <c r="K598" s="41"/>
      <c r="L598" s="95"/>
      <c r="M598" s="128"/>
      <c r="N598" s="41"/>
      <c r="O598" s="42"/>
      <c r="P598" s="52"/>
      <c r="Q598" s="41"/>
      <c r="R598" s="42"/>
      <c r="S598" s="129"/>
      <c r="T598" s="41"/>
      <c r="U598" s="42"/>
      <c r="V598" s="41"/>
      <c r="W598" s="41"/>
      <c r="X598" s="42"/>
      <c r="Y598" s="97"/>
      <c r="Z598" s="41"/>
      <c r="AA598" s="94"/>
    </row>
    <row r="599" spans="1:27" x14ac:dyDescent="0.2">
      <c r="A599" s="96"/>
      <c r="B599" s="44"/>
      <c r="C599" s="91"/>
      <c r="D599" s="139"/>
      <c r="E599" s="44"/>
      <c r="F599" s="122"/>
      <c r="G599" s="123"/>
      <c r="H599" s="44"/>
      <c r="I599" s="93"/>
      <c r="J599" s="44"/>
      <c r="K599" s="44"/>
      <c r="L599" s="93"/>
      <c r="M599" s="124"/>
      <c r="N599" s="44"/>
      <c r="O599" s="92"/>
      <c r="P599" s="110"/>
      <c r="Q599" s="44"/>
      <c r="R599" s="92"/>
      <c r="S599" s="125"/>
      <c r="T599" s="44"/>
      <c r="U599" s="92"/>
      <c r="V599" s="44"/>
      <c r="W599" s="44"/>
      <c r="X599" s="92"/>
      <c r="Y599" s="96"/>
      <c r="Z599" s="44"/>
      <c r="AA599" s="91"/>
    </row>
    <row r="600" spans="1:27" x14ac:dyDescent="0.2">
      <c r="A600" s="96"/>
      <c r="B600" s="44"/>
      <c r="C600" s="91"/>
      <c r="D600" s="139"/>
      <c r="E600" s="44"/>
      <c r="F600" s="122"/>
      <c r="G600" s="123"/>
      <c r="H600" s="44"/>
      <c r="I600" s="93"/>
      <c r="J600" s="44"/>
      <c r="K600" s="44"/>
      <c r="L600" s="93"/>
      <c r="M600" s="124"/>
      <c r="N600" s="44"/>
      <c r="O600" s="92"/>
      <c r="P600" s="110"/>
      <c r="Q600" s="44"/>
      <c r="R600" s="92"/>
      <c r="S600" s="125"/>
      <c r="T600" s="44"/>
      <c r="U600" s="92"/>
      <c r="V600" s="44"/>
      <c r="W600" s="44"/>
      <c r="X600" s="92"/>
      <c r="Y600" s="96"/>
      <c r="Z600" s="44"/>
      <c r="AA600" s="91"/>
    </row>
    <row r="601" spans="1:27" x14ac:dyDescent="0.2">
      <c r="A601" s="97"/>
      <c r="B601" s="41"/>
      <c r="C601" s="94"/>
      <c r="D601" s="140"/>
      <c r="E601" s="41"/>
      <c r="F601" s="126"/>
      <c r="G601" s="127"/>
      <c r="H601" s="41"/>
      <c r="I601" s="95"/>
      <c r="J601" s="41"/>
      <c r="K601" s="41"/>
      <c r="L601" s="95"/>
      <c r="M601" s="128"/>
      <c r="N601" s="41"/>
      <c r="O601" s="42"/>
      <c r="P601" s="52"/>
      <c r="Q601" s="41"/>
      <c r="R601" s="42"/>
      <c r="S601" s="129"/>
      <c r="T601" s="41"/>
      <c r="U601" s="42"/>
      <c r="V601" s="41"/>
      <c r="W601" s="41"/>
      <c r="X601" s="42"/>
      <c r="Y601" s="97"/>
      <c r="Z601" s="41"/>
      <c r="AA601" s="94"/>
    </row>
    <row r="602" spans="1:27" x14ac:dyDescent="0.2">
      <c r="A602" s="87"/>
      <c r="B602" s="87"/>
      <c r="C602" s="88"/>
      <c r="D602" s="138"/>
      <c r="E602" s="87"/>
      <c r="F602" s="118"/>
      <c r="G602" s="119"/>
      <c r="H602" s="87"/>
      <c r="I602" s="90"/>
      <c r="J602" s="87"/>
      <c r="K602" s="87"/>
      <c r="L602" s="90"/>
      <c r="M602" s="120"/>
      <c r="N602" s="87"/>
      <c r="O602" s="89"/>
      <c r="P602" s="130"/>
      <c r="Q602" s="87"/>
      <c r="R602" s="89"/>
      <c r="S602" s="121"/>
      <c r="T602" s="87"/>
      <c r="U602" s="89"/>
      <c r="V602" s="87"/>
      <c r="W602" s="87"/>
      <c r="X602" s="89"/>
      <c r="Y602" s="87"/>
      <c r="Z602" s="87"/>
      <c r="AA602" s="88"/>
    </row>
    <row r="603" spans="1:27" x14ac:dyDescent="0.2">
      <c r="A603" s="44"/>
      <c r="B603" s="44"/>
      <c r="C603" s="91"/>
      <c r="D603" s="139"/>
      <c r="E603" s="44"/>
      <c r="F603" s="122"/>
      <c r="G603" s="123"/>
      <c r="H603" s="44"/>
      <c r="I603" s="93"/>
      <c r="J603" s="44"/>
      <c r="K603" s="44"/>
      <c r="L603" s="93"/>
      <c r="M603" s="124"/>
      <c r="N603" s="44"/>
      <c r="O603" s="92"/>
      <c r="P603" s="110"/>
      <c r="Q603" s="44"/>
      <c r="R603" s="92"/>
      <c r="S603" s="125"/>
      <c r="T603" s="44"/>
      <c r="U603" s="92"/>
      <c r="V603" s="44"/>
      <c r="W603" s="44"/>
      <c r="X603" s="92"/>
      <c r="Y603" s="44"/>
      <c r="Z603" s="44"/>
      <c r="AA603" s="91"/>
    </row>
    <row r="604" spans="1:27" x14ac:dyDescent="0.2">
      <c r="A604" s="41"/>
      <c r="B604" s="41"/>
      <c r="C604" s="94"/>
      <c r="D604" s="140"/>
      <c r="E604" s="41"/>
      <c r="F604" s="126"/>
      <c r="G604" s="127"/>
      <c r="H604" s="41"/>
      <c r="I604" s="95"/>
      <c r="J604" s="41"/>
      <c r="K604" s="41"/>
      <c r="L604" s="95"/>
      <c r="M604" s="128"/>
      <c r="N604" s="41"/>
      <c r="O604" s="42"/>
      <c r="P604" s="52"/>
      <c r="Q604" s="41"/>
      <c r="R604" s="42"/>
      <c r="S604" s="129"/>
      <c r="T604" s="41"/>
      <c r="U604" s="42"/>
      <c r="V604" s="41"/>
      <c r="W604" s="41"/>
      <c r="X604" s="42"/>
      <c r="Y604" s="41"/>
      <c r="Z604" s="41"/>
      <c r="AA604" s="94"/>
    </row>
    <row r="605" spans="1:27" x14ac:dyDescent="0.2">
      <c r="A605" s="44"/>
      <c r="B605" s="44"/>
      <c r="C605" s="91"/>
      <c r="D605" s="139"/>
      <c r="E605" s="44"/>
      <c r="F605" s="122"/>
      <c r="G605" s="123"/>
      <c r="H605" s="44"/>
      <c r="I605" s="93"/>
      <c r="J605" s="44"/>
      <c r="K605" s="44"/>
      <c r="L605" s="93"/>
      <c r="M605" s="124"/>
      <c r="N605" s="44"/>
      <c r="O605" s="92"/>
      <c r="P605" s="110"/>
      <c r="Q605" s="44"/>
      <c r="R605" s="92"/>
      <c r="S605" s="125"/>
      <c r="T605" s="44"/>
      <c r="U605" s="92"/>
      <c r="V605" s="44"/>
      <c r="W605" s="44"/>
      <c r="X605" s="92"/>
      <c r="Y605" s="44"/>
      <c r="Z605" s="44"/>
      <c r="AA605" s="91"/>
    </row>
    <row r="606" spans="1:27" x14ac:dyDescent="0.2">
      <c r="A606" s="87"/>
      <c r="B606" s="87"/>
      <c r="C606" s="88"/>
      <c r="D606" s="138"/>
      <c r="E606" s="87"/>
      <c r="F606" s="118"/>
      <c r="G606" s="119"/>
      <c r="H606" s="87"/>
      <c r="I606" s="90"/>
      <c r="J606" s="87"/>
      <c r="K606" s="87"/>
      <c r="L606" s="90"/>
      <c r="M606" s="120"/>
      <c r="N606" s="87"/>
      <c r="O606" s="89"/>
      <c r="P606" s="87"/>
      <c r="Q606" s="87"/>
      <c r="R606" s="89"/>
      <c r="S606" s="121"/>
      <c r="T606" s="87"/>
      <c r="U606" s="89"/>
      <c r="V606" s="87"/>
      <c r="W606" s="87"/>
      <c r="X606" s="89"/>
      <c r="Y606" s="87"/>
      <c r="Z606" s="87"/>
      <c r="AA606" s="88"/>
    </row>
    <row r="607" spans="1:27" x14ac:dyDescent="0.2">
      <c r="A607" s="44"/>
      <c r="B607" s="44"/>
      <c r="C607" s="91"/>
      <c r="D607" s="139"/>
      <c r="E607" s="44"/>
      <c r="F607" s="122"/>
      <c r="G607" s="123"/>
      <c r="H607" s="44"/>
      <c r="I607" s="93"/>
      <c r="J607" s="44"/>
      <c r="K607" s="44"/>
      <c r="L607" s="93"/>
      <c r="M607" s="124"/>
      <c r="N607" s="44"/>
      <c r="O607" s="92"/>
      <c r="P607" s="110"/>
      <c r="Q607" s="44"/>
      <c r="R607" s="92"/>
      <c r="S607" s="125"/>
      <c r="T607" s="44"/>
      <c r="U607" s="92"/>
      <c r="V607" s="44"/>
      <c r="W607" s="44"/>
      <c r="X607" s="92"/>
      <c r="Y607" s="44"/>
      <c r="Z607" s="44"/>
      <c r="AA607" s="91"/>
    </row>
    <row r="608" spans="1:27" x14ac:dyDescent="0.2">
      <c r="A608" s="41"/>
      <c r="B608" s="41"/>
      <c r="C608" s="94"/>
      <c r="D608" s="140"/>
      <c r="E608" s="41"/>
      <c r="F608" s="126"/>
      <c r="G608" s="127"/>
      <c r="H608" s="41"/>
      <c r="I608" s="95"/>
      <c r="J608" s="41"/>
      <c r="K608" s="41"/>
      <c r="L608" s="95"/>
      <c r="M608" s="128"/>
      <c r="N608" s="41"/>
      <c r="O608" s="42"/>
      <c r="P608" s="52"/>
      <c r="Q608" s="41"/>
      <c r="R608" s="42"/>
      <c r="S608" s="129"/>
      <c r="T608" s="41"/>
      <c r="U608" s="42"/>
      <c r="V608" s="41"/>
      <c r="W608" s="41"/>
      <c r="X608" s="42"/>
      <c r="Y608" s="41"/>
      <c r="Z608" s="41"/>
      <c r="AA608" s="94"/>
    </row>
    <row r="609" spans="1:27" x14ac:dyDescent="0.2">
      <c r="A609" s="44"/>
      <c r="B609" s="44"/>
      <c r="C609" s="91"/>
      <c r="D609" s="139"/>
      <c r="E609" s="44"/>
      <c r="F609" s="122"/>
      <c r="G609" s="123"/>
      <c r="H609" s="44"/>
      <c r="I609" s="93"/>
      <c r="J609" s="44"/>
      <c r="K609" s="44"/>
      <c r="L609" s="93"/>
      <c r="M609" s="124"/>
      <c r="N609" s="44"/>
      <c r="O609" s="92"/>
      <c r="P609" s="110"/>
      <c r="Q609" s="44"/>
      <c r="R609" s="92"/>
      <c r="S609" s="125"/>
      <c r="T609" s="44"/>
      <c r="U609" s="92"/>
      <c r="V609" s="44"/>
      <c r="W609" s="44"/>
      <c r="X609" s="92"/>
      <c r="Y609" s="44"/>
      <c r="Z609" s="44"/>
      <c r="AA609" s="91"/>
    </row>
    <row r="610" spans="1:27" x14ac:dyDescent="0.2">
      <c r="A610" s="41"/>
      <c r="B610" s="41"/>
      <c r="C610" s="94"/>
      <c r="D610" s="140"/>
      <c r="E610" s="41"/>
      <c r="F610" s="126"/>
      <c r="G610" s="127"/>
      <c r="H610" s="41"/>
      <c r="I610" s="95"/>
      <c r="J610" s="41"/>
      <c r="K610" s="41"/>
      <c r="L610" s="95"/>
      <c r="M610" s="128"/>
      <c r="N610" s="41"/>
      <c r="O610" s="42"/>
      <c r="P610" s="52"/>
      <c r="Q610" s="41"/>
      <c r="R610" s="42"/>
      <c r="S610" s="129"/>
      <c r="T610" s="41"/>
      <c r="U610" s="42"/>
      <c r="V610" s="41"/>
      <c r="W610" s="41"/>
      <c r="X610" s="42"/>
      <c r="Y610" s="41"/>
      <c r="Z610" s="41"/>
      <c r="AA610" s="94"/>
    </row>
    <row r="611" spans="1:27" x14ac:dyDescent="0.2">
      <c r="A611" s="44"/>
      <c r="B611" s="44"/>
      <c r="C611" s="91"/>
      <c r="D611" s="139"/>
      <c r="E611" s="44"/>
      <c r="F611" s="122"/>
      <c r="G611" s="123"/>
      <c r="H611" s="44"/>
      <c r="I611" s="93"/>
      <c r="J611" s="44"/>
      <c r="K611" s="44"/>
      <c r="L611" s="93"/>
      <c r="M611" s="124"/>
      <c r="N611" s="44"/>
      <c r="O611" s="92"/>
      <c r="P611" s="110"/>
      <c r="Q611" s="44"/>
      <c r="R611" s="92"/>
      <c r="S611" s="125"/>
      <c r="T611" s="44"/>
      <c r="U611" s="92"/>
      <c r="V611" s="44"/>
      <c r="W611" s="44"/>
      <c r="X611" s="92"/>
      <c r="Y611" s="44"/>
      <c r="Z611" s="44"/>
      <c r="AA611" s="91"/>
    </row>
    <row r="612" spans="1:27" x14ac:dyDescent="0.2">
      <c r="A612" s="41"/>
      <c r="B612" s="41"/>
      <c r="C612" s="94"/>
      <c r="D612" s="140"/>
      <c r="E612" s="41"/>
      <c r="F612" s="126"/>
      <c r="G612" s="127"/>
      <c r="H612" s="41"/>
      <c r="I612" s="95"/>
      <c r="J612" s="41"/>
      <c r="K612" s="41"/>
      <c r="L612" s="95"/>
      <c r="M612" s="128"/>
      <c r="N612" s="41"/>
      <c r="O612" s="42"/>
      <c r="P612" s="52"/>
      <c r="Q612" s="41"/>
      <c r="R612" s="42"/>
      <c r="S612" s="129"/>
      <c r="T612" s="41"/>
      <c r="U612" s="42"/>
      <c r="V612" s="41"/>
      <c r="W612" s="41"/>
      <c r="X612" s="42"/>
      <c r="Y612" s="41"/>
      <c r="Z612" s="41"/>
      <c r="AA612" s="94"/>
    </row>
    <row r="613" spans="1:27" x14ac:dyDescent="0.2">
      <c r="A613" s="44"/>
      <c r="B613" s="44"/>
      <c r="C613" s="91"/>
      <c r="D613" s="139"/>
      <c r="E613" s="44"/>
      <c r="F613" s="122"/>
      <c r="G613" s="123"/>
      <c r="H613" s="44"/>
      <c r="I613" s="93"/>
      <c r="J613" s="44"/>
      <c r="K613" s="44"/>
      <c r="L613" s="93"/>
      <c r="M613" s="124"/>
      <c r="N613" s="44"/>
      <c r="O613" s="92"/>
      <c r="P613" s="110"/>
      <c r="Q613" s="44"/>
      <c r="R613" s="92"/>
      <c r="S613" s="125"/>
      <c r="T613" s="44"/>
      <c r="U613" s="92"/>
      <c r="V613" s="44"/>
      <c r="W613" s="44"/>
      <c r="X613" s="92"/>
      <c r="Y613" s="44"/>
      <c r="Z613" s="44"/>
      <c r="AA613" s="91"/>
    </row>
    <row r="614" spans="1:27" x14ac:dyDescent="0.2">
      <c r="A614" s="41"/>
      <c r="B614" s="41"/>
      <c r="C614" s="94"/>
      <c r="D614" s="140"/>
      <c r="E614" s="41"/>
      <c r="F614" s="126"/>
      <c r="G614" s="127"/>
      <c r="H614" s="41"/>
      <c r="I614" s="95"/>
      <c r="J614" s="41"/>
      <c r="K614" s="41"/>
      <c r="L614" s="95"/>
      <c r="M614" s="128"/>
      <c r="N614" s="41"/>
      <c r="O614" s="42"/>
      <c r="P614" s="52"/>
      <c r="Q614" s="41"/>
      <c r="R614" s="42"/>
      <c r="S614" s="129"/>
      <c r="T614" s="41"/>
      <c r="U614" s="42"/>
      <c r="V614" s="41"/>
      <c r="W614" s="41"/>
      <c r="X614" s="42"/>
      <c r="Y614" s="41"/>
      <c r="Z614" s="41"/>
      <c r="AA614" s="94"/>
    </row>
    <row r="615" spans="1:27" x14ac:dyDescent="0.2">
      <c r="A615" s="44"/>
      <c r="B615" s="44"/>
      <c r="C615" s="91"/>
      <c r="D615" s="139"/>
      <c r="E615" s="44"/>
      <c r="F615" s="122"/>
      <c r="G615" s="123"/>
      <c r="H615" s="44"/>
      <c r="I615" s="93"/>
      <c r="J615" s="44"/>
      <c r="K615" s="44"/>
      <c r="L615" s="93"/>
      <c r="M615" s="124"/>
      <c r="N615" s="44"/>
      <c r="O615" s="92"/>
      <c r="P615" s="110"/>
      <c r="Q615" s="44"/>
      <c r="R615" s="92"/>
      <c r="S615" s="125"/>
      <c r="T615" s="44"/>
      <c r="U615" s="92"/>
      <c r="V615" s="44"/>
      <c r="W615" s="44"/>
      <c r="X615" s="92"/>
      <c r="Y615" s="44"/>
      <c r="Z615" s="44"/>
      <c r="AA615" s="91"/>
    </row>
    <row r="616" spans="1:27" x14ac:dyDescent="0.2">
      <c r="A616" s="41"/>
      <c r="B616" s="41"/>
      <c r="C616" s="94"/>
      <c r="D616" s="140"/>
      <c r="E616" s="41"/>
      <c r="F616" s="126"/>
      <c r="G616" s="127"/>
      <c r="H616" s="41"/>
      <c r="I616" s="95"/>
      <c r="J616" s="41"/>
      <c r="K616" s="41"/>
      <c r="L616" s="95"/>
      <c r="M616" s="128"/>
      <c r="N616" s="41"/>
      <c r="O616" s="42"/>
      <c r="P616" s="52"/>
      <c r="Q616" s="41"/>
      <c r="R616" s="42"/>
      <c r="S616" s="129"/>
      <c r="T616" s="41"/>
      <c r="U616" s="42"/>
      <c r="V616" s="41"/>
      <c r="W616" s="41"/>
      <c r="X616" s="42"/>
      <c r="Y616" s="41"/>
      <c r="Z616" s="41"/>
      <c r="AA616" s="94"/>
    </row>
    <row r="617" spans="1:27" x14ac:dyDescent="0.2">
      <c r="A617" s="44"/>
      <c r="B617" s="44"/>
      <c r="C617" s="91"/>
      <c r="D617" s="139"/>
      <c r="E617" s="44"/>
      <c r="F617" s="122"/>
      <c r="G617" s="123"/>
      <c r="H617" s="44"/>
      <c r="I617" s="93"/>
      <c r="J617" s="44"/>
      <c r="K617" s="44"/>
      <c r="L617" s="93"/>
      <c r="M617" s="124"/>
      <c r="N617" s="44"/>
      <c r="O617" s="92"/>
      <c r="P617" s="110"/>
      <c r="Q617" s="44"/>
      <c r="R617" s="92"/>
      <c r="S617" s="125"/>
      <c r="T617" s="44"/>
      <c r="U617" s="92"/>
      <c r="V617" s="44"/>
      <c r="W617" s="44"/>
      <c r="X617" s="92"/>
      <c r="Y617" s="44"/>
      <c r="Z617" s="44"/>
      <c r="AA617" s="91"/>
    </row>
    <row r="618" spans="1:27" x14ac:dyDescent="0.2">
      <c r="A618" s="41"/>
      <c r="B618" s="41"/>
      <c r="C618" s="94"/>
      <c r="D618" s="140"/>
      <c r="E618" s="41"/>
      <c r="F618" s="126"/>
      <c r="G618" s="127"/>
      <c r="H618" s="41"/>
      <c r="I618" s="95"/>
      <c r="J618" s="41"/>
      <c r="K618" s="41"/>
      <c r="L618" s="95"/>
      <c r="M618" s="128"/>
      <c r="N618" s="41"/>
      <c r="O618" s="42"/>
      <c r="P618" s="52"/>
      <c r="Q618" s="41"/>
      <c r="R618" s="42"/>
      <c r="S618" s="129"/>
      <c r="T618" s="41"/>
      <c r="U618" s="42"/>
      <c r="V618" s="41"/>
      <c r="W618" s="41"/>
      <c r="X618" s="42"/>
      <c r="Y618" s="41"/>
      <c r="Z618" s="41"/>
      <c r="AA618" s="94"/>
    </row>
    <row r="619" spans="1:27" x14ac:dyDescent="0.2">
      <c r="A619" s="44"/>
      <c r="B619" s="44"/>
      <c r="C619" s="91"/>
      <c r="D619" s="139"/>
      <c r="E619" s="44"/>
      <c r="F619" s="122"/>
      <c r="G619" s="123"/>
      <c r="H619" s="44"/>
      <c r="I619" s="93"/>
      <c r="J619" s="44"/>
      <c r="K619" s="44"/>
      <c r="L619" s="93"/>
      <c r="M619" s="124"/>
      <c r="N619" s="44"/>
      <c r="O619" s="92"/>
      <c r="P619" s="110"/>
      <c r="Q619" s="44"/>
      <c r="R619" s="92"/>
      <c r="S619" s="125"/>
      <c r="T619" s="44"/>
      <c r="U619" s="92"/>
      <c r="V619" s="44"/>
      <c r="W619" s="44"/>
      <c r="X619" s="92"/>
      <c r="Y619" s="44"/>
      <c r="Z619" s="44"/>
      <c r="AA619" s="91"/>
    </row>
    <row r="620" spans="1:27" x14ac:dyDescent="0.2">
      <c r="A620" s="41"/>
      <c r="B620" s="41"/>
      <c r="C620" s="94"/>
      <c r="D620" s="140"/>
      <c r="E620" s="41"/>
      <c r="F620" s="126"/>
      <c r="G620" s="127"/>
      <c r="H620" s="41"/>
      <c r="I620" s="95"/>
      <c r="J620" s="41"/>
      <c r="K620" s="41"/>
      <c r="L620" s="95"/>
      <c r="M620" s="128"/>
      <c r="N620" s="41"/>
      <c r="O620" s="42"/>
      <c r="P620" s="52"/>
      <c r="Q620" s="41"/>
      <c r="R620" s="42"/>
      <c r="S620" s="129"/>
      <c r="T620" s="41"/>
      <c r="U620" s="42"/>
      <c r="V620" s="41"/>
      <c r="W620" s="41"/>
      <c r="X620" s="42"/>
      <c r="Y620" s="41"/>
      <c r="Z620" s="41"/>
      <c r="AA620" s="94"/>
    </row>
    <row r="621" spans="1:27" x14ac:dyDescent="0.2">
      <c r="A621" s="44"/>
      <c r="B621" s="44"/>
      <c r="C621" s="91"/>
      <c r="D621" s="139"/>
      <c r="E621" s="44"/>
      <c r="F621" s="122"/>
      <c r="G621" s="123"/>
      <c r="H621" s="44"/>
      <c r="I621" s="93"/>
      <c r="J621" s="44"/>
      <c r="K621" s="44"/>
      <c r="L621" s="93"/>
      <c r="M621" s="124"/>
      <c r="N621" s="44"/>
      <c r="O621" s="92"/>
      <c r="P621" s="110"/>
      <c r="Q621" s="44"/>
      <c r="R621" s="92"/>
      <c r="S621" s="125"/>
      <c r="T621" s="44"/>
      <c r="U621" s="92"/>
      <c r="V621" s="44"/>
      <c r="W621" s="44"/>
      <c r="X621" s="92"/>
      <c r="Y621" s="44"/>
      <c r="Z621" s="44"/>
      <c r="AA621" s="91"/>
    </row>
    <row r="622" spans="1:27" x14ac:dyDescent="0.2">
      <c r="A622" s="41"/>
      <c r="B622" s="41"/>
      <c r="C622" s="94"/>
      <c r="D622" s="140"/>
      <c r="E622" s="41"/>
      <c r="F622" s="126"/>
      <c r="G622" s="127"/>
      <c r="H622" s="41"/>
      <c r="I622" s="95"/>
      <c r="J622" s="41"/>
      <c r="K622" s="41"/>
      <c r="L622" s="95"/>
      <c r="M622" s="128"/>
      <c r="N622" s="41"/>
      <c r="O622" s="42"/>
      <c r="P622" s="52"/>
      <c r="Q622" s="41"/>
      <c r="R622" s="42"/>
      <c r="S622" s="129"/>
      <c r="T622" s="41"/>
      <c r="U622" s="42"/>
      <c r="V622" s="41"/>
      <c r="W622" s="41"/>
      <c r="X622" s="42"/>
      <c r="Y622" s="41"/>
      <c r="Z622" s="41"/>
      <c r="AA622" s="94"/>
    </row>
    <row r="623" spans="1:27" x14ac:dyDescent="0.2">
      <c r="A623" s="44"/>
      <c r="B623" s="44"/>
      <c r="C623" s="91"/>
      <c r="D623" s="139"/>
      <c r="E623" s="44"/>
      <c r="F623" s="122"/>
      <c r="G623" s="123"/>
      <c r="H623" s="44"/>
      <c r="I623" s="93"/>
      <c r="J623" s="44"/>
      <c r="K623" s="44"/>
      <c r="L623" s="93"/>
      <c r="M623" s="124"/>
      <c r="N623" s="44"/>
      <c r="O623" s="92"/>
      <c r="P623" s="110"/>
      <c r="Q623" s="44"/>
      <c r="R623" s="92"/>
      <c r="S623" s="125"/>
      <c r="T623" s="44"/>
      <c r="U623" s="92"/>
      <c r="V623" s="44"/>
      <c r="W623" s="44"/>
      <c r="X623" s="92"/>
      <c r="Y623" s="44"/>
      <c r="Z623" s="44"/>
      <c r="AA623" s="91"/>
    </row>
    <row r="624" spans="1:27" x14ac:dyDescent="0.2">
      <c r="A624" s="41"/>
      <c r="B624" s="41"/>
      <c r="C624" s="94"/>
      <c r="D624" s="140"/>
      <c r="E624" s="41"/>
      <c r="F624" s="127"/>
      <c r="G624" s="127"/>
      <c r="H624" s="41"/>
      <c r="I624" s="95"/>
      <c r="J624" s="41"/>
      <c r="K624" s="41"/>
      <c r="L624" s="95"/>
      <c r="M624" s="128"/>
      <c r="N624" s="41"/>
      <c r="O624" s="42"/>
      <c r="P624" s="52"/>
      <c r="Q624" s="41"/>
      <c r="R624" s="42"/>
      <c r="S624" s="129"/>
      <c r="T624" s="41"/>
      <c r="U624" s="42"/>
      <c r="V624" s="41"/>
      <c r="W624" s="41"/>
      <c r="X624" s="42"/>
      <c r="Y624" s="41"/>
      <c r="Z624" s="41"/>
      <c r="AA624" s="94"/>
    </row>
    <row r="625" spans="1:27" x14ac:dyDescent="0.2">
      <c r="A625" s="44"/>
      <c r="B625" s="44"/>
      <c r="C625" s="91"/>
      <c r="D625" s="139"/>
      <c r="E625" s="44"/>
      <c r="F625" s="122"/>
      <c r="G625" s="123"/>
      <c r="H625" s="44"/>
      <c r="I625" s="93"/>
      <c r="J625" s="44"/>
      <c r="K625" s="44"/>
      <c r="L625" s="93"/>
      <c r="M625" s="124"/>
      <c r="N625" s="44"/>
      <c r="O625" s="92"/>
      <c r="P625" s="110"/>
      <c r="Q625" s="44"/>
      <c r="R625" s="92"/>
      <c r="S625" s="125"/>
      <c r="T625" s="44"/>
      <c r="U625" s="92"/>
      <c r="V625" s="44"/>
      <c r="W625" s="44"/>
      <c r="X625" s="92"/>
      <c r="Y625" s="44"/>
      <c r="Z625" s="44"/>
      <c r="AA625" s="91"/>
    </row>
    <row r="626" spans="1:27" x14ac:dyDescent="0.2">
      <c r="A626" s="41"/>
      <c r="B626" s="41"/>
      <c r="C626" s="94"/>
      <c r="D626" s="140"/>
      <c r="E626" s="41"/>
      <c r="F626" s="126"/>
      <c r="G626" s="127"/>
      <c r="H626" s="41"/>
      <c r="I626" s="95"/>
      <c r="J626" s="41"/>
      <c r="K626" s="41"/>
      <c r="L626" s="95"/>
      <c r="M626" s="128"/>
      <c r="N626" s="41"/>
      <c r="O626" s="42"/>
      <c r="P626" s="52"/>
      <c r="Q626" s="41"/>
      <c r="R626" s="42"/>
      <c r="S626" s="129"/>
      <c r="T626" s="41"/>
      <c r="U626" s="42"/>
      <c r="V626" s="41"/>
      <c r="W626" s="41"/>
      <c r="X626" s="42"/>
      <c r="Y626" s="41"/>
      <c r="Z626" s="41"/>
      <c r="AA626" s="94"/>
    </row>
    <row r="627" spans="1:27" x14ac:dyDescent="0.2">
      <c r="A627" s="44"/>
      <c r="B627" s="44"/>
      <c r="C627" s="91"/>
      <c r="D627" s="139"/>
      <c r="E627" s="44"/>
      <c r="F627" s="122"/>
      <c r="G627" s="123"/>
      <c r="H627" s="44"/>
      <c r="I627" s="93"/>
      <c r="J627" s="44"/>
      <c r="K627" s="44"/>
      <c r="L627" s="93"/>
      <c r="M627" s="124"/>
      <c r="N627" s="44"/>
      <c r="O627" s="92"/>
      <c r="P627" s="110"/>
      <c r="Q627" s="44"/>
      <c r="R627" s="92"/>
      <c r="S627" s="125"/>
      <c r="T627" s="44"/>
      <c r="U627" s="92"/>
      <c r="V627" s="44"/>
      <c r="W627" s="44"/>
      <c r="X627" s="92"/>
      <c r="Y627" s="44"/>
      <c r="Z627" s="44"/>
      <c r="AA627" s="91"/>
    </row>
    <row r="628" spans="1:27" x14ac:dyDescent="0.2">
      <c r="A628" s="41"/>
      <c r="B628" s="41"/>
      <c r="C628" s="94"/>
      <c r="D628" s="140"/>
      <c r="E628" s="41"/>
      <c r="F628" s="126"/>
      <c r="G628" s="127"/>
      <c r="H628" s="41"/>
      <c r="I628" s="95"/>
      <c r="J628" s="41"/>
      <c r="K628" s="41"/>
      <c r="L628" s="95"/>
      <c r="M628" s="128"/>
      <c r="N628" s="41"/>
      <c r="O628" s="42"/>
      <c r="P628" s="52"/>
      <c r="Q628" s="41"/>
      <c r="R628" s="42"/>
      <c r="S628" s="129"/>
      <c r="T628" s="41"/>
      <c r="U628" s="42"/>
      <c r="V628" s="41"/>
      <c r="W628" s="41"/>
      <c r="X628" s="42"/>
      <c r="Y628" s="41"/>
      <c r="Z628" s="41"/>
      <c r="AA628" s="94"/>
    </row>
    <row r="629" spans="1:27" x14ac:dyDescent="0.2">
      <c r="A629" s="44"/>
      <c r="B629" s="44"/>
      <c r="C629" s="91"/>
      <c r="D629" s="139"/>
      <c r="E629" s="44"/>
      <c r="F629" s="122"/>
      <c r="G629" s="123"/>
      <c r="H629" s="44"/>
      <c r="I629" s="93"/>
      <c r="J629" s="44"/>
      <c r="K629" s="44"/>
      <c r="L629" s="93"/>
      <c r="M629" s="124"/>
      <c r="N629" s="44"/>
      <c r="O629" s="92"/>
      <c r="P629" s="110"/>
      <c r="Q629" s="44"/>
      <c r="R629" s="92"/>
      <c r="S629" s="125"/>
      <c r="T629" s="44"/>
      <c r="U629" s="92"/>
      <c r="V629" s="44"/>
      <c r="W629" s="44"/>
      <c r="X629" s="92"/>
      <c r="Y629" s="44"/>
      <c r="Z629" s="44"/>
      <c r="AA629" s="91"/>
    </row>
    <row r="630" spans="1:27" x14ac:dyDescent="0.2">
      <c r="A630" s="41"/>
      <c r="B630" s="41"/>
      <c r="C630" s="94"/>
      <c r="D630" s="140"/>
      <c r="E630" s="41"/>
      <c r="F630" s="126"/>
      <c r="G630" s="127"/>
      <c r="H630" s="41"/>
      <c r="I630" s="95"/>
      <c r="J630" s="41"/>
      <c r="K630" s="41"/>
      <c r="L630" s="95"/>
      <c r="M630" s="128"/>
      <c r="N630" s="41"/>
      <c r="O630" s="42"/>
      <c r="P630" s="52"/>
      <c r="Q630" s="41"/>
      <c r="R630" s="42"/>
      <c r="S630" s="129"/>
      <c r="T630" s="41"/>
      <c r="U630" s="42"/>
      <c r="V630" s="41"/>
      <c r="W630" s="41"/>
      <c r="X630" s="42"/>
      <c r="Y630" s="41"/>
      <c r="Z630" s="41"/>
      <c r="AA630" s="94"/>
    </row>
    <row r="631" spans="1:27" x14ac:dyDescent="0.2">
      <c r="A631" s="44"/>
      <c r="B631" s="44"/>
      <c r="C631" s="91"/>
      <c r="D631" s="139"/>
      <c r="E631" s="44"/>
      <c r="F631" s="122"/>
      <c r="G631" s="123"/>
      <c r="H631" s="44"/>
      <c r="I631" s="93"/>
      <c r="J631" s="44"/>
      <c r="K631" s="44"/>
      <c r="L631" s="93"/>
      <c r="M631" s="124"/>
      <c r="N631" s="44"/>
      <c r="O631" s="92"/>
      <c r="P631" s="110"/>
      <c r="Q631" s="44"/>
      <c r="R631" s="92"/>
      <c r="S631" s="125"/>
      <c r="T631" s="44"/>
      <c r="U631" s="92"/>
      <c r="V631" s="44"/>
      <c r="W631" s="44"/>
      <c r="X631" s="92"/>
      <c r="Y631" s="44"/>
      <c r="Z631" s="44"/>
      <c r="AA631" s="91"/>
    </row>
    <row r="632" spans="1:27" x14ac:dyDescent="0.2">
      <c r="A632" s="96"/>
      <c r="B632" s="44"/>
      <c r="C632" s="91"/>
      <c r="D632" s="139"/>
      <c r="E632" s="44"/>
      <c r="F632" s="122"/>
      <c r="G632" s="123"/>
      <c r="H632" s="44"/>
      <c r="I632" s="93"/>
      <c r="J632" s="44"/>
      <c r="K632" s="44"/>
      <c r="L632" s="93"/>
      <c r="M632" s="124"/>
      <c r="N632" s="44"/>
      <c r="O632" s="92"/>
      <c r="P632" s="110"/>
      <c r="Q632" s="44"/>
      <c r="R632" s="92"/>
      <c r="S632" s="125"/>
      <c r="T632" s="44"/>
      <c r="U632" s="92"/>
      <c r="V632" s="44"/>
      <c r="W632" s="44"/>
      <c r="X632" s="92"/>
      <c r="Y632" s="96"/>
      <c r="Z632" s="44"/>
      <c r="AA632" s="91"/>
    </row>
    <row r="633" spans="1:27" x14ac:dyDescent="0.2">
      <c r="A633" s="97"/>
      <c r="B633" s="41"/>
      <c r="C633" s="94"/>
      <c r="D633" s="140"/>
      <c r="E633" s="41"/>
      <c r="F633" s="126"/>
      <c r="G633" s="127"/>
      <c r="H633" s="41"/>
      <c r="I633" s="95"/>
      <c r="J633" s="41"/>
      <c r="K633" s="41"/>
      <c r="L633" s="95"/>
      <c r="M633" s="128"/>
      <c r="N633" s="41"/>
      <c r="O633" s="42"/>
      <c r="P633" s="52"/>
      <c r="Q633" s="41"/>
      <c r="R633" s="42"/>
      <c r="S633" s="129"/>
      <c r="T633" s="41"/>
      <c r="U633" s="42"/>
      <c r="V633" s="41"/>
      <c r="W633" s="41"/>
      <c r="X633" s="42"/>
      <c r="Y633" s="97"/>
      <c r="Z633" s="41"/>
      <c r="AA633" s="94"/>
    </row>
    <row r="634" spans="1:27" x14ac:dyDescent="0.2">
      <c r="A634" s="96"/>
      <c r="B634" s="44"/>
      <c r="C634" s="91"/>
      <c r="D634" s="139"/>
      <c r="E634" s="44"/>
      <c r="F634" s="122"/>
      <c r="G634" s="123"/>
      <c r="H634" s="44"/>
      <c r="I634" s="93"/>
      <c r="J634" s="44"/>
      <c r="K634" s="44"/>
      <c r="L634" s="93"/>
      <c r="M634" s="124"/>
      <c r="N634" s="44"/>
      <c r="O634" s="92"/>
      <c r="P634" s="110"/>
      <c r="Q634" s="44"/>
      <c r="R634" s="92"/>
      <c r="S634" s="125"/>
      <c r="T634" s="44"/>
      <c r="U634" s="92"/>
      <c r="V634" s="44"/>
      <c r="W634" s="44"/>
      <c r="X634" s="92"/>
      <c r="Y634" s="96"/>
      <c r="Z634" s="44"/>
      <c r="AA634" s="91"/>
    </row>
    <row r="635" spans="1:27" x14ac:dyDescent="0.2">
      <c r="A635" s="97"/>
      <c r="B635" s="41"/>
      <c r="C635" s="94"/>
      <c r="D635" s="140"/>
      <c r="E635" s="41"/>
      <c r="F635" s="126"/>
      <c r="G635" s="127"/>
      <c r="H635" s="41"/>
      <c r="I635" s="95"/>
      <c r="J635" s="41"/>
      <c r="K635" s="41"/>
      <c r="L635" s="95"/>
      <c r="M635" s="128"/>
      <c r="N635" s="41"/>
      <c r="O635" s="42"/>
      <c r="P635" s="52"/>
      <c r="Q635" s="41"/>
      <c r="R635" s="42"/>
      <c r="S635" s="129"/>
      <c r="T635" s="41"/>
      <c r="U635" s="42"/>
      <c r="V635" s="41"/>
      <c r="W635" s="41"/>
      <c r="X635" s="42"/>
      <c r="Y635" s="97"/>
      <c r="Z635" s="41"/>
      <c r="AA635" s="94"/>
    </row>
    <row r="636" spans="1:27" x14ac:dyDescent="0.2">
      <c r="A636" s="97"/>
      <c r="B636" s="41"/>
      <c r="C636" s="94"/>
      <c r="D636" s="140"/>
      <c r="E636" s="41"/>
      <c r="F636" s="126"/>
      <c r="G636" s="127"/>
      <c r="H636" s="41"/>
      <c r="I636" s="95"/>
      <c r="J636" s="41"/>
      <c r="K636" s="41"/>
      <c r="L636" s="95"/>
      <c r="M636" s="128"/>
      <c r="N636" s="41"/>
      <c r="O636" s="42"/>
      <c r="P636" s="52"/>
      <c r="Q636" s="41"/>
      <c r="R636" s="42"/>
      <c r="S636" s="129"/>
      <c r="T636" s="41"/>
      <c r="U636" s="42"/>
      <c r="V636" s="41"/>
      <c r="W636" s="41"/>
      <c r="X636" s="42"/>
      <c r="Y636" s="97"/>
      <c r="Z636" s="41"/>
      <c r="AA636" s="94"/>
    </row>
    <row r="637" spans="1:27" x14ac:dyDescent="0.2">
      <c r="A637" s="97"/>
      <c r="B637" s="41"/>
      <c r="C637" s="94"/>
      <c r="D637" s="140"/>
      <c r="E637" s="41"/>
      <c r="F637" s="126"/>
      <c r="G637" s="127"/>
      <c r="H637" s="41"/>
      <c r="I637" s="95"/>
      <c r="J637" s="41"/>
      <c r="K637" s="41"/>
      <c r="L637" s="95"/>
      <c r="M637" s="128"/>
      <c r="N637" s="41"/>
      <c r="O637" s="42"/>
      <c r="P637" s="52"/>
      <c r="Q637" s="41"/>
      <c r="R637" s="42"/>
      <c r="S637" s="129"/>
      <c r="T637" s="41"/>
      <c r="U637" s="42"/>
      <c r="V637" s="41"/>
      <c r="W637" s="41"/>
      <c r="X637" s="42"/>
      <c r="Y637" s="97"/>
      <c r="Z637" s="41"/>
      <c r="AA637" s="94"/>
    </row>
    <row r="638" spans="1:27" x14ac:dyDescent="0.2">
      <c r="A638" s="97"/>
      <c r="B638" s="41"/>
      <c r="C638" s="94"/>
      <c r="D638" s="140"/>
      <c r="E638" s="41"/>
      <c r="F638" s="126"/>
      <c r="G638" s="127"/>
      <c r="H638" s="41"/>
      <c r="I638" s="95"/>
      <c r="J638" s="41"/>
      <c r="K638" s="41"/>
      <c r="L638" s="95"/>
      <c r="M638" s="128"/>
      <c r="N638" s="41"/>
      <c r="O638" s="42"/>
      <c r="P638" s="52"/>
      <c r="Q638" s="41"/>
      <c r="R638" s="42"/>
      <c r="S638" s="129"/>
      <c r="T638" s="41"/>
      <c r="U638" s="42"/>
      <c r="V638" s="41"/>
      <c r="W638" s="41"/>
      <c r="X638" s="42"/>
      <c r="Y638" s="97"/>
      <c r="Z638" s="41"/>
      <c r="AA638" s="94"/>
    </row>
    <row r="639" spans="1:27" x14ac:dyDescent="0.2">
      <c r="A639" s="96"/>
      <c r="B639" s="44"/>
      <c r="C639" s="91"/>
      <c r="D639" s="139"/>
      <c r="E639" s="44"/>
      <c r="F639" s="122"/>
      <c r="G639" s="123"/>
      <c r="H639" s="44"/>
      <c r="I639" s="93"/>
      <c r="J639" s="44"/>
      <c r="K639" s="44"/>
      <c r="L639" s="93"/>
      <c r="M639" s="124"/>
      <c r="N639" s="44"/>
      <c r="O639" s="92"/>
      <c r="P639" s="110"/>
      <c r="Q639" s="44"/>
      <c r="R639" s="92"/>
      <c r="S639" s="125"/>
      <c r="T639" s="44"/>
      <c r="U639" s="92"/>
      <c r="V639" s="44"/>
      <c r="W639" s="44"/>
      <c r="X639" s="92"/>
      <c r="Y639" s="96"/>
      <c r="Z639" s="44"/>
      <c r="AA639" s="91"/>
    </row>
    <row r="640" spans="1:27" x14ac:dyDescent="0.2">
      <c r="A640" s="96"/>
      <c r="B640" s="44"/>
      <c r="C640" s="91"/>
      <c r="D640" s="139"/>
      <c r="E640" s="44"/>
      <c r="F640" s="122"/>
      <c r="G640" s="123"/>
      <c r="H640" s="44"/>
      <c r="I640" s="93"/>
      <c r="J640" s="44"/>
      <c r="K640" s="44"/>
      <c r="L640" s="93"/>
      <c r="M640" s="124"/>
      <c r="N640" s="44"/>
      <c r="O640" s="92"/>
      <c r="P640" s="110"/>
      <c r="Q640" s="44"/>
      <c r="R640" s="92"/>
      <c r="S640" s="125"/>
      <c r="T640" s="44"/>
      <c r="U640" s="92"/>
      <c r="V640" s="44"/>
      <c r="W640" s="44"/>
      <c r="X640" s="92"/>
      <c r="Y640" s="96"/>
      <c r="Z640" s="44"/>
      <c r="AA640" s="91"/>
    </row>
    <row r="641" spans="1:27" x14ac:dyDescent="0.2">
      <c r="A641" s="96"/>
      <c r="B641" s="44"/>
      <c r="C641" s="91"/>
      <c r="D641" s="139"/>
      <c r="E641" s="44"/>
      <c r="F641" s="122"/>
      <c r="G641" s="123"/>
      <c r="H641" s="44"/>
      <c r="I641" s="93"/>
      <c r="J641" s="44"/>
      <c r="K641" s="44"/>
      <c r="L641" s="93"/>
      <c r="M641" s="124"/>
      <c r="N641" s="44"/>
      <c r="O641" s="92"/>
      <c r="P641" s="110"/>
      <c r="Q641" s="44"/>
      <c r="R641" s="92"/>
      <c r="S641" s="125"/>
      <c r="T641" s="44"/>
      <c r="U641" s="92"/>
      <c r="V641" s="44"/>
      <c r="W641" s="44"/>
      <c r="X641" s="92"/>
      <c r="Y641" s="96"/>
      <c r="Z641" s="44"/>
      <c r="AA641" s="91"/>
    </row>
    <row r="642" spans="1:27" x14ac:dyDescent="0.2">
      <c r="A642" s="96"/>
      <c r="B642" s="44"/>
      <c r="C642" s="91"/>
      <c r="D642" s="139"/>
      <c r="E642" s="44"/>
      <c r="F642" s="122"/>
      <c r="G642" s="123"/>
      <c r="H642" s="44"/>
      <c r="I642" s="93"/>
      <c r="J642" s="44"/>
      <c r="K642" s="44"/>
      <c r="L642" s="93"/>
      <c r="M642" s="124"/>
      <c r="N642" s="44"/>
      <c r="O642" s="92"/>
      <c r="P642" s="110"/>
      <c r="Q642" s="44"/>
      <c r="R642" s="92"/>
      <c r="S642" s="125"/>
      <c r="T642" s="44"/>
      <c r="U642" s="92"/>
      <c r="V642" s="44"/>
      <c r="W642" s="44"/>
      <c r="X642" s="92"/>
      <c r="Y642" s="96"/>
      <c r="Z642" s="44"/>
      <c r="AA642" s="91"/>
    </row>
    <row r="643" spans="1:27" x14ac:dyDescent="0.2">
      <c r="A643" s="96"/>
      <c r="B643" s="44"/>
      <c r="C643" s="91"/>
      <c r="D643" s="139"/>
      <c r="E643" s="44"/>
      <c r="F643" s="122"/>
      <c r="G643" s="123"/>
      <c r="H643" s="44"/>
      <c r="I643" s="93"/>
      <c r="J643" s="44"/>
      <c r="K643" s="44"/>
      <c r="L643" s="93"/>
      <c r="M643" s="124"/>
      <c r="N643" s="44"/>
      <c r="O643" s="92"/>
      <c r="P643" s="110"/>
      <c r="Q643" s="44"/>
      <c r="R643" s="92"/>
      <c r="S643" s="125"/>
      <c r="T643" s="44"/>
      <c r="U643" s="92"/>
      <c r="V643" s="44"/>
      <c r="W643" s="44"/>
      <c r="X643" s="92"/>
      <c r="Y643" s="96"/>
      <c r="Z643" s="44"/>
      <c r="AA643" s="91"/>
    </row>
    <row r="644" spans="1:27" x14ac:dyDescent="0.2">
      <c r="A644" s="97"/>
      <c r="B644" s="41"/>
      <c r="C644" s="94"/>
      <c r="D644" s="140"/>
      <c r="E644" s="41"/>
      <c r="F644" s="126"/>
      <c r="G644" s="127"/>
      <c r="H644" s="41"/>
      <c r="I644" s="95"/>
      <c r="J644" s="41"/>
      <c r="K644" s="41"/>
      <c r="L644" s="95"/>
      <c r="M644" s="128"/>
      <c r="N644" s="41"/>
      <c r="O644" s="42"/>
      <c r="P644" s="52"/>
      <c r="Q644" s="41"/>
      <c r="R644" s="42"/>
      <c r="S644" s="129"/>
      <c r="T644" s="41"/>
      <c r="U644" s="42"/>
      <c r="V644" s="41"/>
      <c r="W644" s="41"/>
      <c r="X644" s="42"/>
      <c r="Y644" s="97"/>
      <c r="Z644" s="41"/>
      <c r="AA644" s="94"/>
    </row>
    <row r="645" spans="1:27" x14ac:dyDescent="0.2">
      <c r="A645" s="96"/>
      <c r="B645" s="44"/>
      <c r="C645" s="91"/>
      <c r="D645" s="139"/>
      <c r="E645" s="44"/>
      <c r="F645" s="122"/>
      <c r="G645" s="123"/>
      <c r="H645" s="44"/>
      <c r="I645" s="93"/>
      <c r="J645" s="44"/>
      <c r="K645" s="44"/>
      <c r="L645" s="93"/>
      <c r="M645" s="124"/>
      <c r="N645" s="44"/>
      <c r="O645" s="92"/>
      <c r="P645" s="110"/>
      <c r="Q645" s="44"/>
      <c r="R645" s="92"/>
      <c r="S645" s="125"/>
      <c r="T645" s="44"/>
      <c r="U645" s="92"/>
      <c r="V645" s="44"/>
      <c r="W645" s="44"/>
      <c r="X645" s="92"/>
      <c r="Y645" s="96"/>
      <c r="Z645" s="44"/>
      <c r="AA645" s="91"/>
    </row>
    <row r="646" spans="1:27" x14ac:dyDescent="0.2">
      <c r="A646" s="97"/>
      <c r="B646" s="41"/>
      <c r="C646" s="94"/>
      <c r="D646" s="140"/>
      <c r="E646" s="41"/>
      <c r="F646" s="126"/>
      <c r="G646" s="127"/>
      <c r="H646" s="41"/>
      <c r="I646" s="95"/>
      <c r="J646" s="41"/>
      <c r="K646" s="41"/>
      <c r="L646" s="95"/>
      <c r="M646" s="128"/>
      <c r="N646" s="41"/>
      <c r="O646" s="42"/>
      <c r="P646" s="52"/>
      <c r="Q646" s="41"/>
      <c r="R646" s="42"/>
      <c r="S646" s="129"/>
      <c r="T646" s="41"/>
      <c r="U646" s="42"/>
      <c r="V646" s="41"/>
      <c r="W646" s="41"/>
      <c r="X646" s="42"/>
      <c r="Y646" s="97"/>
      <c r="Z646" s="41"/>
      <c r="AA646" s="94"/>
    </row>
    <row r="647" spans="1:27" x14ac:dyDescent="0.2">
      <c r="A647" s="96"/>
      <c r="B647" s="44"/>
      <c r="C647" s="91"/>
      <c r="D647" s="139"/>
      <c r="E647" s="44"/>
      <c r="F647" s="122"/>
      <c r="G647" s="123"/>
      <c r="H647" s="44"/>
      <c r="I647" s="93"/>
      <c r="J647" s="44"/>
      <c r="K647" s="44"/>
      <c r="L647" s="93"/>
      <c r="M647" s="124"/>
      <c r="N647" s="44"/>
      <c r="O647" s="92"/>
      <c r="P647" s="110"/>
      <c r="Q647" s="44"/>
      <c r="R647" s="92"/>
      <c r="S647" s="125"/>
      <c r="T647" s="44"/>
      <c r="U647" s="92"/>
      <c r="V647" s="44"/>
      <c r="W647" s="44"/>
      <c r="X647" s="92"/>
      <c r="Y647" s="96"/>
      <c r="Z647" s="44"/>
      <c r="AA647" s="91"/>
    </row>
    <row r="648" spans="1:27" x14ac:dyDescent="0.2">
      <c r="A648" s="96"/>
      <c r="B648" s="44"/>
      <c r="C648" s="91"/>
      <c r="D648" s="139"/>
      <c r="E648" s="44"/>
      <c r="F648" s="122"/>
      <c r="G648" s="123"/>
      <c r="H648" s="44"/>
      <c r="I648" s="93"/>
      <c r="J648" s="44"/>
      <c r="K648" s="44"/>
      <c r="L648" s="93"/>
      <c r="M648" s="124"/>
      <c r="N648" s="44"/>
      <c r="O648" s="92"/>
      <c r="P648" s="110"/>
      <c r="Q648" s="44"/>
      <c r="R648" s="92"/>
      <c r="S648" s="125"/>
      <c r="T648" s="44"/>
      <c r="U648" s="92"/>
      <c r="V648" s="44"/>
      <c r="W648" s="44"/>
      <c r="X648" s="92"/>
      <c r="Y648" s="96"/>
      <c r="Z648" s="44"/>
      <c r="AA648" s="91"/>
    </row>
    <row r="649" spans="1:27" x14ac:dyDescent="0.2">
      <c r="A649" s="97"/>
      <c r="B649" s="41"/>
      <c r="C649" s="94"/>
      <c r="D649" s="140"/>
      <c r="E649" s="41"/>
      <c r="F649" s="126"/>
      <c r="G649" s="127"/>
      <c r="H649" s="41"/>
      <c r="I649" s="95"/>
      <c r="J649" s="41"/>
      <c r="K649" s="41"/>
      <c r="L649" s="95"/>
      <c r="M649" s="128"/>
      <c r="N649" s="41"/>
      <c r="O649" s="42"/>
      <c r="P649" s="52"/>
      <c r="Q649" s="41"/>
      <c r="R649" s="42"/>
      <c r="S649" s="129"/>
      <c r="T649" s="41"/>
      <c r="U649" s="42"/>
      <c r="V649" s="41"/>
      <c r="W649" s="41"/>
      <c r="X649" s="42"/>
      <c r="Y649" s="97"/>
      <c r="Z649" s="41"/>
      <c r="AA649" s="94"/>
    </row>
    <row r="650" spans="1:27" x14ac:dyDescent="0.2">
      <c r="A650" s="96"/>
      <c r="B650" s="44"/>
      <c r="C650" s="91"/>
      <c r="D650" s="139"/>
      <c r="E650" s="44"/>
      <c r="F650" s="122"/>
      <c r="G650" s="123"/>
      <c r="H650" s="44"/>
      <c r="I650" s="93"/>
      <c r="J650" s="44"/>
      <c r="K650" s="44"/>
      <c r="L650" s="93"/>
      <c r="M650" s="124"/>
      <c r="N650" s="44"/>
      <c r="O650" s="92"/>
      <c r="P650" s="110"/>
      <c r="Q650" s="44"/>
      <c r="R650" s="92"/>
      <c r="S650" s="125"/>
      <c r="T650" s="44"/>
      <c r="U650" s="92"/>
      <c r="V650" s="44"/>
      <c r="W650" s="44"/>
      <c r="X650" s="92"/>
      <c r="Y650" s="96"/>
      <c r="Z650" s="44"/>
      <c r="AA650" s="91"/>
    </row>
    <row r="651" spans="1:27" x14ac:dyDescent="0.2">
      <c r="A651" s="96"/>
      <c r="B651" s="44"/>
      <c r="C651" s="91"/>
      <c r="D651" s="139"/>
      <c r="E651" s="44"/>
      <c r="F651" s="122"/>
      <c r="G651" s="123"/>
      <c r="H651" s="44"/>
      <c r="I651" s="93"/>
      <c r="J651" s="44"/>
      <c r="K651" s="44"/>
      <c r="L651" s="93"/>
      <c r="M651" s="124"/>
      <c r="N651" s="44"/>
      <c r="O651" s="92"/>
      <c r="P651" s="110"/>
      <c r="Q651" s="44"/>
      <c r="R651" s="92"/>
      <c r="S651" s="125"/>
      <c r="T651" s="44"/>
      <c r="U651" s="92"/>
      <c r="V651" s="44"/>
      <c r="W651" s="44"/>
      <c r="X651" s="92"/>
      <c r="Y651" s="96"/>
      <c r="Z651" s="44"/>
      <c r="AA651" s="91"/>
    </row>
    <row r="652" spans="1:27" x14ac:dyDescent="0.2">
      <c r="A652" s="97"/>
      <c r="B652" s="41"/>
      <c r="C652" s="94"/>
      <c r="D652" s="140"/>
      <c r="E652" s="41"/>
      <c r="F652" s="126"/>
      <c r="G652" s="127"/>
      <c r="H652" s="41"/>
      <c r="I652" s="95"/>
      <c r="J652" s="41"/>
      <c r="K652" s="41"/>
      <c r="L652" s="95"/>
      <c r="M652" s="128"/>
      <c r="N652" s="41"/>
      <c r="O652" s="42"/>
      <c r="P652" s="52"/>
      <c r="Q652" s="41"/>
      <c r="R652" s="42"/>
      <c r="S652" s="129"/>
      <c r="T652" s="41"/>
      <c r="U652" s="42"/>
      <c r="V652" s="41"/>
      <c r="W652" s="41"/>
      <c r="X652" s="42"/>
      <c r="Y652" s="97"/>
      <c r="Z652" s="41"/>
      <c r="AA652" s="94"/>
    </row>
    <row r="653" spans="1:27" x14ac:dyDescent="0.2">
      <c r="A653" s="97"/>
      <c r="B653" s="41"/>
      <c r="C653" s="94"/>
      <c r="D653" s="140"/>
      <c r="E653" s="41"/>
      <c r="F653" s="126"/>
      <c r="G653" s="127"/>
      <c r="H653" s="41"/>
      <c r="I653" s="95"/>
      <c r="J653" s="41"/>
      <c r="K653" s="41"/>
      <c r="L653" s="95"/>
      <c r="M653" s="128"/>
      <c r="N653" s="41"/>
      <c r="O653" s="42"/>
      <c r="P653" s="52"/>
      <c r="Q653" s="41"/>
      <c r="R653" s="42"/>
      <c r="S653" s="129"/>
      <c r="T653" s="41"/>
      <c r="U653" s="42"/>
      <c r="V653" s="41"/>
      <c r="W653" s="41"/>
      <c r="X653" s="42"/>
      <c r="Y653" s="97"/>
      <c r="Z653" s="41"/>
      <c r="AA653" s="94"/>
    </row>
    <row r="654" spans="1:27" x14ac:dyDescent="0.2">
      <c r="A654" s="96"/>
      <c r="B654" s="44"/>
      <c r="C654" s="91"/>
      <c r="D654" s="139"/>
      <c r="E654" s="44"/>
      <c r="F654" s="122"/>
      <c r="G654" s="123"/>
      <c r="H654" s="44"/>
      <c r="I654" s="93"/>
      <c r="J654" s="44"/>
      <c r="K654" s="44"/>
      <c r="L654" s="93"/>
      <c r="M654" s="124"/>
      <c r="N654" s="44"/>
      <c r="O654" s="92"/>
      <c r="P654" s="110"/>
      <c r="Q654" s="44"/>
      <c r="R654" s="92"/>
      <c r="S654" s="125"/>
      <c r="T654" s="44"/>
      <c r="U654" s="92"/>
      <c r="V654" s="44"/>
      <c r="W654" s="44"/>
      <c r="X654" s="92"/>
      <c r="Y654" s="96"/>
      <c r="Z654" s="44"/>
      <c r="AA654" s="91"/>
    </row>
    <row r="655" spans="1:27" x14ac:dyDescent="0.2">
      <c r="A655" s="96"/>
      <c r="B655" s="44"/>
      <c r="C655" s="91"/>
      <c r="D655" s="139"/>
      <c r="E655" s="44"/>
      <c r="F655" s="122"/>
      <c r="G655" s="123"/>
      <c r="H655" s="44"/>
      <c r="I655" s="93"/>
      <c r="J655" s="44"/>
      <c r="K655" s="44"/>
      <c r="L655" s="93"/>
      <c r="M655" s="124"/>
      <c r="N655" s="44"/>
      <c r="O655" s="92"/>
      <c r="P655" s="110"/>
      <c r="Q655" s="44"/>
      <c r="R655" s="92"/>
      <c r="S655" s="125"/>
      <c r="T655" s="44"/>
      <c r="U655" s="92"/>
      <c r="V655" s="44"/>
      <c r="W655" s="44"/>
      <c r="X655" s="92"/>
      <c r="Y655" s="96"/>
      <c r="Z655" s="44"/>
      <c r="AA655" s="91"/>
    </row>
    <row r="656" spans="1:27" x14ac:dyDescent="0.2">
      <c r="A656" s="97"/>
      <c r="B656" s="41"/>
      <c r="C656" s="94"/>
      <c r="D656" s="140"/>
      <c r="E656" s="41"/>
      <c r="F656" s="126"/>
      <c r="G656" s="127"/>
      <c r="H656" s="41"/>
      <c r="I656" s="95"/>
      <c r="J656" s="41"/>
      <c r="K656" s="41"/>
      <c r="L656" s="95"/>
      <c r="M656" s="128"/>
      <c r="N656" s="41"/>
      <c r="O656" s="42"/>
      <c r="P656" s="52"/>
      <c r="Q656" s="41"/>
      <c r="R656" s="42"/>
      <c r="S656" s="129"/>
      <c r="T656" s="41"/>
      <c r="U656" s="42"/>
      <c r="V656" s="41"/>
      <c r="W656" s="41"/>
      <c r="X656" s="42"/>
      <c r="Y656" s="97"/>
      <c r="Z656" s="41"/>
      <c r="AA656" s="94"/>
    </row>
    <row r="657" spans="1:27" x14ac:dyDescent="0.2">
      <c r="A657" s="87"/>
      <c r="B657" s="87"/>
      <c r="C657" s="88"/>
      <c r="D657" s="138"/>
      <c r="E657" s="87"/>
      <c r="F657" s="118"/>
      <c r="G657" s="119"/>
      <c r="H657" s="87"/>
      <c r="I657" s="90"/>
      <c r="J657" s="87"/>
      <c r="K657" s="87"/>
      <c r="L657" s="90"/>
      <c r="M657" s="120"/>
      <c r="N657" s="87"/>
      <c r="O657" s="89"/>
      <c r="P657" s="130"/>
      <c r="Q657" s="87"/>
      <c r="R657" s="89"/>
      <c r="S657" s="121"/>
      <c r="T657" s="87"/>
      <c r="U657" s="89"/>
      <c r="V657" s="87"/>
      <c r="W657" s="87"/>
      <c r="X657" s="89"/>
      <c r="Y657" s="87"/>
      <c r="Z657" s="87"/>
      <c r="AA657" s="88"/>
    </row>
    <row r="658" spans="1:27" x14ac:dyDescent="0.2">
      <c r="A658" s="44"/>
      <c r="B658" s="44"/>
      <c r="C658" s="91"/>
      <c r="D658" s="139"/>
      <c r="E658" s="44"/>
      <c r="F658" s="122"/>
      <c r="G658" s="123"/>
      <c r="H658" s="44"/>
      <c r="I658" s="93"/>
      <c r="J658" s="44"/>
      <c r="K658" s="44"/>
      <c r="L658" s="93"/>
      <c r="M658" s="124"/>
      <c r="N658" s="44"/>
      <c r="O658" s="92"/>
      <c r="P658" s="110"/>
      <c r="Q658" s="44"/>
      <c r="R658" s="92"/>
      <c r="S658" s="125"/>
      <c r="T658" s="44"/>
      <c r="U658" s="92"/>
      <c r="V658" s="44"/>
      <c r="W658" s="44"/>
      <c r="X658" s="92"/>
      <c r="Y658" s="44"/>
      <c r="Z658" s="44"/>
      <c r="AA658" s="91"/>
    </row>
    <row r="659" spans="1:27" x14ac:dyDescent="0.2">
      <c r="A659" s="41"/>
      <c r="B659" s="41"/>
      <c r="C659" s="94"/>
      <c r="D659" s="140"/>
      <c r="E659" s="41"/>
      <c r="F659" s="126"/>
      <c r="G659" s="127"/>
      <c r="H659" s="41"/>
      <c r="I659" s="95"/>
      <c r="J659" s="41"/>
      <c r="K659" s="41"/>
      <c r="L659" s="95"/>
      <c r="M659" s="128"/>
      <c r="N659" s="41"/>
      <c r="O659" s="42"/>
      <c r="P659" s="52"/>
      <c r="Q659" s="41"/>
      <c r="R659" s="42"/>
      <c r="S659" s="129"/>
      <c r="T659" s="41"/>
      <c r="U659" s="42"/>
      <c r="V659" s="41"/>
      <c r="W659" s="41"/>
      <c r="X659" s="42"/>
      <c r="Y659" s="41"/>
      <c r="Z659" s="41"/>
      <c r="AA659" s="94"/>
    </row>
    <row r="660" spans="1:27" x14ac:dyDescent="0.2">
      <c r="A660" s="44"/>
      <c r="B660" s="44"/>
      <c r="C660" s="91"/>
      <c r="D660" s="139"/>
      <c r="E660" s="44"/>
      <c r="F660" s="122"/>
      <c r="G660" s="123"/>
      <c r="H660" s="44"/>
      <c r="I660" s="93"/>
      <c r="J660" s="44"/>
      <c r="K660" s="44"/>
      <c r="L660" s="93"/>
      <c r="M660" s="124"/>
      <c r="N660" s="44"/>
      <c r="O660" s="92"/>
      <c r="P660" s="110"/>
      <c r="Q660" s="44"/>
      <c r="R660" s="92"/>
      <c r="S660" s="125"/>
      <c r="T660" s="44"/>
      <c r="U660" s="92"/>
      <c r="V660" s="44"/>
      <c r="W660" s="44"/>
      <c r="X660" s="92"/>
      <c r="Y660" s="44"/>
      <c r="Z660" s="44"/>
      <c r="AA660" s="91"/>
    </row>
    <row r="661" spans="1:27" x14ac:dyDescent="0.2">
      <c r="A661" s="87"/>
      <c r="B661" s="87"/>
      <c r="C661" s="88"/>
      <c r="D661" s="138"/>
      <c r="E661" s="87"/>
      <c r="F661" s="118"/>
      <c r="G661" s="119"/>
      <c r="H661" s="87"/>
      <c r="I661" s="90"/>
      <c r="J661" s="87"/>
      <c r="K661" s="87"/>
      <c r="L661" s="90"/>
      <c r="M661" s="120"/>
      <c r="N661" s="87"/>
      <c r="O661" s="89"/>
      <c r="P661" s="87"/>
      <c r="Q661" s="87"/>
      <c r="R661" s="89"/>
      <c r="S661" s="121"/>
      <c r="T661" s="87"/>
      <c r="U661" s="89"/>
      <c r="V661" s="87"/>
      <c r="W661" s="87"/>
      <c r="X661" s="89"/>
      <c r="Y661" s="87"/>
      <c r="Z661" s="87"/>
      <c r="AA661" s="88"/>
    </row>
    <row r="662" spans="1:27" x14ac:dyDescent="0.2">
      <c r="A662" s="44"/>
      <c r="B662" s="44"/>
      <c r="C662" s="91"/>
      <c r="D662" s="139"/>
      <c r="E662" s="44"/>
      <c r="F662" s="122"/>
      <c r="G662" s="123"/>
      <c r="H662" s="44"/>
      <c r="I662" s="93"/>
      <c r="J662" s="44"/>
      <c r="K662" s="44"/>
      <c r="L662" s="93"/>
      <c r="M662" s="124"/>
      <c r="N662" s="44"/>
      <c r="O662" s="92"/>
      <c r="P662" s="110"/>
      <c r="Q662" s="44"/>
      <c r="R662" s="92"/>
      <c r="S662" s="125"/>
      <c r="T662" s="44"/>
      <c r="U662" s="92"/>
      <c r="V662" s="44"/>
      <c r="W662" s="44"/>
      <c r="X662" s="92"/>
      <c r="Y662" s="44"/>
      <c r="Z662" s="44"/>
      <c r="AA662" s="91"/>
    </row>
    <row r="663" spans="1:27" x14ac:dyDescent="0.2">
      <c r="A663" s="41"/>
      <c r="B663" s="41"/>
      <c r="C663" s="94"/>
      <c r="D663" s="140"/>
      <c r="E663" s="41"/>
      <c r="F663" s="126"/>
      <c r="G663" s="127"/>
      <c r="H663" s="41"/>
      <c r="I663" s="95"/>
      <c r="J663" s="41"/>
      <c r="K663" s="41"/>
      <c r="L663" s="95"/>
      <c r="M663" s="128"/>
      <c r="N663" s="41"/>
      <c r="O663" s="42"/>
      <c r="P663" s="52"/>
      <c r="Q663" s="41"/>
      <c r="R663" s="42"/>
      <c r="S663" s="129"/>
      <c r="T663" s="41"/>
      <c r="U663" s="42"/>
      <c r="V663" s="41"/>
      <c r="W663" s="41"/>
      <c r="X663" s="42"/>
      <c r="Y663" s="41"/>
      <c r="Z663" s="41"/>
      <c r="AA663" s="94"/>
    </row>
    <row r="664" spans="1:27" x14ac:dyDescent="0.2">
      <c r="A664" s="44"/>
      <c r="B664" s="44"/>
      <c r="C664" s="91"/>
      <c r="D664" s="139"/>
      <c r="E664" s="44"/>
      <c r="F664" s="122"/>
      <c r="G664" s="123"/>
      <c r="H664" s="44"/>
      <c r="I664" s="93"/>
      <c r="J664" s="44"/>
      <c r="K664" s="44"/>
      <c r="L664" s="93"/>
      <c r="M664" s="124"/>
      <c r="N664" s="44"/>
      <c r="O664" s="92"/>
      <c r="P664" s="110"/>
      <c r="Q664" s="44"/>
      <c r="R664" s="92"/>
      <c r="S664" s="125"/>
      <c r="T664" s="44"/>
      <c r="U664" s="92"/>
      <c r="V664" s="44"/>
      <c r="W664" s="44"/>
      <c r="X664" s="92"/>
      <c r="Y664" s="44"/>
      <c r="Z664" s="44"/>
      <c r="AA664" s="91"/>
    </row>
    <row r="665" spans="1:27" x14ac:dyDescent="0.2">
      <c r="A665" s="41"/>
      <c r="B665" s="41"/>
      <c r="C665" s="94"/>
      <c r="D665" s="140"/>
      <c r="E665" s="41"/>
      <c r="F665" s="126"/>
      <c r="G665" s="127"/>
      <c r="H665" s="41"/>
      <c r="I665" s="95"/>
      <c r="J665" s="41"/>
      <c r="K665" s="41"/>
      <c r="L665" s="95"/>
      <c r="M665" s="128"/>
      <c r="N665" s="41"/>
      <c r="O665" s="42"/>
      <c r="P665" s="52"/>
      <c r="Q665" s="41"/>
      <c r="R665" s="42"/>
      <c r="S665" s="129"/>
      <c r="T665" s="41"/>
      <c r="U665" s="42"/>
      <c r="V665" s="41"/>
      <c r="W665" s="41"/>
      <c r="X665" s="42"/>
      <c r="Y665" s="41"/>
      <c r="Z665" s="41"/>
      <c r="AA665" s="94"/>
    </row>
    <row r="666" spans="1:27" x14ac:dyDescent="0.2">
      <c r="A666" s="44"/>
      <c r="B666" s="44"/>
      <c r="C666" s="91"/>
      <c r="D666" s="139"/>
      <c r="E666" s="44"/>
      <c r="F666" s="122"/>
      <c r="G666" s="123"/>
      <c r="H666" s="44"/>
      <c r="I666" s="93"/>
      <c r="J666" s="44"/>
      <c r="K666" s="44"/>
      <c r="L666" s="93"/>
      <c r="M666" s="124"/>
      <c r="N666" s="44"/>
      <c r="O666" s="92"/>
      <c r="P666" s="110"/>
      <c r="Q666" s="44"/>
      <c r="R666" s="92"/>
      <c r="S666" s="125"/>
      <c r="T666" s="44"/>
      <c r="U666" s="92"/>
      <c r="V666" s="44"/>
      <c r="W666" s="44"/>
      <c r="X666" s="92"/>
      <c r="Y666" s="44"/>
      <c r="Z666" s="44"/>
      <c r="AA666" s="91"/>
    </row>
    <row r="667" spans="1:27" x14ac:dyDescent="0.2">
      <c r="A667" s="41"/>
      <c r="B667" s="41"/>
      <c r="C667" s="94"/>
      <c r="D667" s="140"/>
      <c r="E667" s="41"/>
      <c r="F667" s="126"/>
      <c r="G667" s="127"/>
      <c r="H667" s="41"/>
      <c r="I667" s="95"/>
      <c r="J667" s="41"/>
      <c r="K667" s="41"/>
      <c r="L667" s="95"/>
      <c r="M667" s="128"/>
      <c r="N667" s="41"/>
      <c r="O667" s="42"/>
      <c r="P667" s="52"/>
      <c r="Q667" s="41"/>
      <c r="R667" s="42"/>
      <c r="S667" s="129"/>
      <c r="T667" s="41"/>
      <c r="U667" s="42"/>
      <c r="V667" s="41"/>
      <c r="W667" s="41"/>
      <c r="X667" s="42"/>
      <c r="Y667" s="41"/>
      <c r="Z667" s="41"/>
      <c r="AA667" s="94"/>
    </row>
    <row r="668" spans="1:27" x14ac:dyDescent="0.2">
      <c r="A668" s="44"/>
      <c r="B668" s="44"/>
      <c r="C668" s="91"/>
      <c r="D668" s="139"/>
      <c r="E668" s="44"/>
      <c r="F668" s="122"/>
      <c r="G668" s="123"/>
      <c r="H668" s="44"/>
      <c r="I668" s="93"/>
      <c r="J668" s="44"/>
      <c r="K668" s="44"/>
      <c r="L668" s="93"/>
      <c r="M668" s="124"/>
      <c r="N668" s="44"/>
      <c r="O668" s="92"/>
      <c r="P668" s="110"/>
      <c r="Q668" s="44"/>
      <c r="R668" s="92"/>
      <c r="S668" s="125"/>
      <c r="T668" s="44"/>
      <c r="U668" s="92"/>
      <c r="V668" s="44"/>
      <c r="W668" s="44"/>
      <c r="X668" s="92"/>
      <c r="Y668" s="44"/>
      <c r="Z668" s="44"/>
      <c r="AA668" s="91"/>
    </row>
    <row r="669" spans="1:27" x14ac:dyDescent="0.2">
      <c r="A669" s="41"/>
      <c r="B669" s="41"/>
      <c r="C669" s="94"/>
      <c r="D669" s="140"/>
      <c r="E669" s="41"/>
      <c r="F669" s="126"/>
      <c r="G669" s="127"/>
      <c r="H669" s="41"/>
      <c r="I669" s="95"/>
      <c r="J669" s="41"/>
      <c r="K669" s="41"/>
      <c r="L669" s="95"/>
      <c r="M669" s="128"/>
      <c r="N669" s="41"/>
      <c r="O669" s="42"/>
      <c r="P669" s="52"/>
      <c r="Q669" s="41"/>
      <c r="R669" s="42"/>
      <c r="S669" s="129"/>
      <c r="T669" s="41"/>
      <c r="U669" s="42"/>
      <c r="V669" s="41"/>
      <c r="W669" s="41"/>
      <c r="X669" s="42"/>
      <c r="Y669" s="41"/>
      <c r="Z669" s="41"/>
      <c r="AA669" s="94"/>
    </row>
    <row r="670" spans="1:27" x14ac:dyDescent="0.2">
      <c r="A670" s="44"/>
      <c r="B670" s="44"/>
      <c r="C670" s="91"/>
      <c r="D670" s="139"/>
      <c r="E670" s="44"/>
      <c r="F670" s="122"/>
      <c r="G670" s="123"/>
      <c r="H670" s="44"/>
      <c r="I670" s="93"/>
      <c r="J670" s="44"/>
      <c r="K670" s="44"/>
      <c r="L670" s="93"/>
      <c r="M670" s="124"/>
      <c r="N670" s="44"/>
      <c r="O670" s="92"/>
      <c r="P670" s="110"/>
      <c r="Q670" s="44"/>
      <c r="R670" s="92"/>
      <c r="S670" s="125"/>
      <c r="T670" s="44"/>
      <c r="U670" s="92"/>
      <c r="V670" s="44"/>
      <c r="W670" s="44"/>
      <c r="X670" s="92"/>
      <c r="Y670" s="44"/>
      <c r="Z670" s="44"/>
      <c r="AA670" s="91"/>
    </row>
    <row r="671" spans="1:27" x14ac:dyDescent="0.2">
      <c r="A671" s="41"/>
      <c r="B671" s="41"/>
      <c r="C671" s="94"/>
      <c r="D671" s="140"/>
      <c r="E671" s="41"/>
      <c r="F671" s="126"/>
      <c r="G671" s="127"/>
      <c r="H671" s="41"/>
      <c r="I671" s="95"/>
      <c r="J671" s="41"/>
      <c r="K671" s="41"/>
      <c r="L671" s="95"/>
      <c r="M671" s="128"/>
      <c r="N671" s="41"/>
      <c r="O671" s="42"/>
      <c r="P671" s="52"/>
      <c r="Q671" s="41"/>
      <c r="R671" s="42"/>
      <c r="S671" s="129"/>
      <c r="T671" s="41"/>
      <c r="U671" s="42"/>
      <c r="V671" s="41"/>
      <c r="W671" s="41"/>
      <c r="X671" s="42"/>
      <c r="Y671" s="41"/>
      <c r="Z671" s="41"/>
      <c r="AA671" s="94"/>
    </row>
    <row r="672" spans="1:27" x14ac:dyDescent="0.2">
      <c r="A672" s="44"/>
      <c r="B672" s="44"/>
      <c r="C672" s="91"/>
      <c r="D672" s="139"/>
      <c r="E672" s="44"/>
      <c r="F672" s="122"/>
      <c r="G672" s="123"/>
      <c r="H672" s="44"/>
      <c r="I672" s="93"/>
      <c r="J672" s="44"/>
      <c r="K672" s="44"/>
      <c r="L672" s="93"/>
      <c r="M672" s="124"/>
      <c r="N672" s="44"/>
      <c r="O672" s="92"/>
      <c r="P672" s="110"/>
      <c r="Q672" s="44"/>
      <c r="R672" s="92"/>
      <c r="S672" s="125"/>
      <c r="T672" s="44"/>
      <c r="U672" s="92"/>
      <c r="V672" s="44"/>
      <c r="W672" s="44"/>
      <c r="X672" s="92"/>
      <c r="Y672" s="44"/>
      <c r="Z672" s="44"/>
      <c r="AA672" s="91"/>
    </row>
    <row r="673" spans="1:27" x14ac:dyDescent="0.2">
      <c r="A673" s="41"/>
      <c r="B673" s="41"/>
      <c r="C673" s="94"/>
      <c r="D673" s="140"/>
      <c r="E673" s="41"/>
      <c r="F673" s="126"/>
      <c r="G673" s="127"/>
      <c r="H673" s="41"/>
      <c r="I673" s="95"/>
      <c r="J673" s="41"/>
      <c r="K673" s="41"/>
      <c r="L673" s="95"/>
      <c r="M673" s="128"/>
      <c r="N673" s="41"/>
      <c r="O673" s="42"/>
      <c r="P673" s="52"/>
      <c r="Q673" s="41"/>
      <c r="R673" s="42"/>
      <c r="S673" s="129"/>
      <c r="T673" s="41"/>
      <c r="U673" s="42"/>
      <c r="V673" s="41"/>
      <c r="W673" s="41"/>
      <c r="X673" s="42"/>
      <c r="Y673" s="41"/>
      <c r="Z673" s="41"/>
      <c r="AA673" s="94"/>
    </row>
    <row r="674" spans="1:27" x14ac:dyDescent="0.2">
      <c r="A674" s="44"/>
      <c r="B674" s="44"/>
      <c r="C674" s="91"/>
      <c r="D674" s="139"/>
      <c r="E674" s="44"/>
      <c r="F674" s="122"/>
      <c r="G674" s="123"/>
      <c r="H674" s="44"/>
      <c r="I674" s="93"/>
      <c r="J674" s="44"/>
      <c r="K674" s="44"/>
      <c r="L674" s="93"/>
      <c r="M674" s="124"/>
      <c r="N674" s="44"/>
      <c r="O674" s="92"/>
      <c r="P674" s="110"/>
      <c r="Q674" s="44"/>
      <c r="R674" s="92"/>
      <c r="S674" s="125"/>
      <c r="T674" s="44"/>
      <c r="U674" s="92"/>
      <c r="V674" s="44"/>
      <c r="W674" s="44"/>
      <c r="X674" s="92"/>
      <c r="Y674" s="44"/>
      <c r="Z674" s="44"/>
      <c r="AA674" s="91"/>
    </row>
    <row r="675" spans="1:27" x14ac:dyDescent="0.2">
      <c r="A675" s="41"/>
      <c r="B675" s="41"/>
      <c r="C675" s="94"/>
      <c r="D675" s="140"/>
      <c r="E675" s="41"/>
      <c r="F675" s="126"/>
      <c r="G675" s="127"/>
      <c r="H675" s="41"/>
      <c r="I675" s="95"/>
      <c r="J675" s="41"/>
      <c r="K675" s="41"/>
      <c r="L675" s="95"/>
      <c r="M675" s="128"/>
      <c r="N675" s="41"/>
      <c r="O675" s="42"/>
      <c r="P675" s="52"/>
      <c r="Q675" s="41"/>
      <c r="R675" s="42"/>
      <c r="S675" s="129"/>
      <c r="T675" s="41"/>
      <c r="U675" s="42"/>
      <c r="V675" s="41"/>
      <c r="W675" s="41"/>
      <c r="X675" s="42"/>
      <c r="Y675" s="41"/>
      <c r="Z675" s="41"/>
      <c r="AA675" s="94"/>
    </row>
    <row r="676" spans="1:27" x14ac:dyDescent="0.2">
      <c r="A676" s="44"/>
      <c r="B676" s="44"/>
      <c r="C676" s="91"/>
      <c r="D676" s="139"/>
      <c r="E676" s="44"/>
      <c r="F676" s="122"/>
      <c r="G676" s="123"/>
      <c r="H676" s="44"/>
      <c r="I676" s="93"/>
      <c r="J676" s="44"/>
      <c r="K676" s="44"/>
      <c r="L676" s="93"/>
      <c r="M676" s="124"/>
      <c r="N676" s="44"/>
      <c r="O676" s="92"/>
      <c r="P676" s="110"/>
      <c r="Q676" s="44"/>
      <c r="R676" s="92"/>
      <c r="S676" s="125"/>
      <c r="T676" s="44"/>
      <c r="U676" s="92"/>
      <c r="V676" s="44"/>
      <c r="W676" s="44"/>
      <c r="X676" s="92"/>
      <c r="Y676" s="44"/>
      <c r="Z676" s="44"/>
      <c r="AA676" s="91"/>
    </row>
    <row r="677" spans="1:27" x14ac:dyDescent="0.2">
      <c r="A677" s="41"/>
      <c r="B677" s="41"/>
      <c r="C677" s="94"/>
      <c r="D677" s="140"/>
      <c r="E677" s="41"/>
      <c r="F677" s="126"/>
      <c r="G677" s="127"/>
      <c r="H677" s="41"/>
      <c r="I677" s="95"/>
      <c r="J677" s="41"/>
      <c r="K677" s="41"/>
      <c r="L677" s="95"/>
      <c r="M677" s="128"/>
      <c r="N677" s="41"/>
      <c r="O677" s="42"/>
      <c r="P677" s="52"/>
      <c r="Q677" s="41"/>
      <c r="R677" s="42"/>
      <c r="S677" s="129"/>
      <c r="T677" s="41"/>
      <c r="U677" s="42"/>
      <c r="V677" s="41"/>
      <c r="W677" s="41"/>
      <c r="X677" s="42"/>
      <c r="Y677" s="41"/>
      <c r="Z677" s="41"/>
      <c r="AA677" s="94"/>
    </row>
    <row r="678" spans="1:27" x14ac:dyDescent="0.2">
      <c r="A678" s="44"/>
      <c r="B678" s="44"/>
      <c r="C678" s="91"/>
      <c r="D678" s="139"/>
      <c r="E678" s="44"/>
      <c r="F678" s="122"/>
      <c r="G678" s="123"/>
      <c r="H678" s="44"/>
      <c r="I678" s="93"/>
      <c r="J678" s="44"/>
      <c r="K678" s="44"/>
      <c r="L678" s="93"/>
      <c r="M678" s="124"/>
      <c r="N678" s="44"/>
      <c r="O678" s="92"/>
      <c r="P678" s="110"/>
      <c r="Q678" s="44"/>
      <c r="R678" s="92"/>
      <c r="S678" s="125"/>
      <c r="T678" s="44"/>
      <c r="U678" s="92"/>
      <c r="V678" s="44"/>
      <c r="W678" s="44"/>
      <c r="X678" s="92"/>
      <c r="Y678" s="44"/>
      <c r="Z678" s="44"/>
      <c r="AA678" s="91"/>
    </row>
    <row r="679" spans="1:27" x14ac:dyDescent="0.2">
      <c r="A679" s="41"/>
      <c r="B679" s="41"/>
      <c r="C679" s="94"/>
      <c r="D679" s="140"/>
      <c r="E679" s="41"/>
      <c r="F679" s="127"/>
      <c r="G679" s="127"/>
      <c r="H679" s="41"/>
      <c r="I679" s="95"/>
      <c r="J679" s="41"/>
      <c r="K679" s="41"/>
      <c r="L679" s="95"/>
      <c r="M679" s="128"/>
      <c r="N679" s="41"/>
      <c r="O679" s="42"/>
      <c r="P679" s="52"/>
      <c r="Q679" s="41"/>
      <c r="R679" s="42"/>
      <c r="S679" s="129"/>
      <c r="T679" s="41"/>
      <c r="U679" s="42"/>
      <c r="V679" s="41"/>
      <c r="W679" s="41"/>
      <c r="X679" s="42"/>
      <c r="Y679" s="41"/>
      <c r="Z679" s="41"/>
      <c r="AA679" s="94"/>
    </row>
    <row r="680" spans="1:27" x14ac:dyDescent="0.2">
      <c r="A680" s="44"/>
      <c r="B680" s="44"/>
      <c r="C680" s="91"/>
      <c r="D680" s="139"/>
      <c r="E680" s="44"/>
      <c r="F680" s="122"/>
      <c r="G680" s="123"/>
      <c r="H680" s="44"/>
      <c r="I680" s="93"/>
      <c r="J680" s="44"/>
      <c r="K680" s="44"/>
      <c r="L680" s="93"/>
      <c r="M680" s="124"/>
      <c r="N680" s="44"/>
      <c r="O680" s="92"/>
      <c r="P680" s="110"/>
      <c r="Q680" s="44"/>
      <c r="R680" s="92"/>
      <c r="S680" s="125"/>
      <c r="T680" s="44"/>
      <c r="U680" s="92"/>
      <c r="V680" s="44"/>
      <c r="W680" s="44"/>
      <c r="X680" s="92"/>
      <c r="Y680" s="44"/>
      <c r="Z680" s="44"/>
      <c r="AA680" s="91"/>
    </row>
    <row r="681" spans="1:27" x14ac:dyDescent="0.2">
      <c r="A681" s="41"/>
      <c r="B681" s="41"/>
      <c r="C681" s="94"/>
      <c r="D681" s="140"/>
      <c r="E681" s="41"/>
      <c r="F681" s="126"/>
      <c r="G681" s="127"/>
      <c r="H681" s="41"/>
      <c r="I681" s="95"/>
      <c r="J681" s="41"/>
      <c r="K681" s="41"/>
      <c r="L681" s="95"/>
      <c r="M681" s="128"/>
      <c r="N681" s="41"/>
      <c r="O681" s="42"/>
      <c r="P681" s="52"/>
      <c r="Q681" s="41"/>
      <c r="R681" s="42"/>
      <c r="S681" s="129"/>
      <c r="T681" s="41"/>
      <c r="U681" s="42"/>
      <c r="V681" s="41"/>
      <c r="W681" s="41"/>
      <c r="X681" s="42"/>
      <c r="Y681" s="41"/>
      <c r="Z681" s="41"/>
      <c r="AA681" s="94"/>
    </row>
    <row r="682" spans="1:27" x14ac:dyDescent="0.2">
      <c r="A682" s="44"/>
      <c r="B682" s="44"/>
      <c r="C682" s="91"/>
      <c r="D682" s="139"/>
      <c r="E682" s="44"/>
      <c r="F682" s="122"/>
      <c r="G682" s="123"/>
      <c r="H682" s="44"/>
      <c r="I682" s="93"/>
      <c r="J682" s="44"/>
      <c r="K682" s="44"/>
      <c r="L682" s="93"/>
      <c r="M682" s="124"/>
      <c r="N682" s="44"/>
      <c r="O682" s="92"/>
      <c r="P682" s="110"/>
      <c r="Q682" s="44"/>
      <c r="R682" s="92"/>
      <c r="S682" s="125"/>
      <c r="T682" s="44"/>
      <c r="U682" s="92"/>
      <c r="V682" s="44"/>
      <c r="W682" s="44"/>
      <c r="X682" s="92"/>
      <c r="Y682" s="44"/>
      <c r="Z682" s="44"/>
      <c r="AA682" s="91"/>
    </row>
    <row r="683" spans="1:27" x14ac:dyDescent="0.2">
      <c r="A683" s="41"/>
      <c r="B683" s="41"/>
      <c r="C683" s="94"/>
      <c r="D683" s="140"/>
      <c r="E683" s="41"/>
      <c r="F683" s="126"/>
      <c r="G683" s="127"/>
      <c r="H683" s="41"/>
      <c r="I683" s="95"/>
      <c r="J683" s="41"/>
      <c r="K683" s="41"/>
      <c r="L683" s="95"/>
      <c r="M683" s="128"/>
      <c r="N683" s="41"/>
      <c r="O683" s="42"/>
      <c r="P683" s="52"/>
      <c r="Q683" s="41"/>
      <c r="R683" s="42"/>
      <c r="S683" s="129"/>
      <c r="T683" s="41"/>
      <c r="U683" s="42"/>
      <c r="V683" s="41"/>
      <c r="W683" s="41"/>
      <c r="X683" s="42"/>
      <c r="Y683" s="41"/>
      <c r="Z683" s="41"/>
      <c r="AA683" s="94"/>
    </row>
    <row r="684" spans="1:27" x14ac:dyDescent="0.2">
      <c r="A684" s="44"/>
      <c r="B684" s="44"/>
      <c r="C684" s="91"/>
      <c r="D684" s="139"/>
      <c r="E684" s="44"/>
      <c r="F684" s="122"/>
      <c r="G684" s="123"/>
      <c r="H684" s="44"/>
      <c r="I684" s="93"/>
      <c r="J684" s="44"/>
      <c r="K684" s="44"/>
      <c r="L684" s="93"/>
      <c r="M684" s="124"/>
      <c r="N684" s="44"/>
      <c r="O684" s="92"/>
      <c r="P684" s="110"/>
      <c r="Q684" s="44"/>
      <c r="R684" s="92"/>
      <c r="S684" s="125"/>
      <c r="T684" s="44"/>
      <c r="U684" s="92"/>
      <c r="V684" s="44"/>
      <c r="W684" s="44"/>
      <c r="X684" s="92"/>
      <c r="Y684" s="44"/>
      <c r="Z684" s="44"/>
      <c r="AA684" s="91"/>
    </row>
    <row r="685" spans="1:27" x14ac:dyDescent="0.2">
      <c r="A685" s="41"/>
      <c r="B685" s="41"/>
      <c r="C685" s="94"/>
      <c r="D685" s="140"/>
      <c r="E685" s="41"/>
      <c r="F685" s="126"/>
      <c r="G685" s="127"/>
      <c r="H685" s="41"/>
      <c r="I685" s="95"/>
      <c r="J685" s="41"/>
      <c r="K685" s="41"/>
      <c r="L685" s="95"/>
      <c r="M685" s="128"/>
      <c r="N685" s="41"/>
      <c r="O685" s="42"/>
      <c r="P685" s="52"/>
      <c r="Q685" s="41"/>
      <c r="R685" s="42"/>
      <c r="S685" s="129"/>
      <c r="T685" s="41"/>
      <c r="U685" s="42"/>
      <c r="V685" s="41"/>
      <c r="W685" s="41"/>
      <c r="X685" s="42"/>
      <c r="Y685" s="41"/>
      <c r="Z685" s="41"/>
      <c r="AA685" s="94"/>
    </row>
    <row r="686" spans="1:27" x14ac:dyDescent="0.2">
      <c r="A686" s="44"/>
      <c r="B686" s="44"/>
      <c r="C686" s="91"/>
      <c r="D686" s="139"/>
      <c r="E686" s="44"/>
      <c r="F686" s="122"/>
      <c r="G686" s="123"/>
      <c r="H686" s="44"/>
      <c r="I686" s="93"/>
      <c r="J686" s="44"/>
      <c r="K686" s="44"/>
      <c r="L686" s="93"/>
      <c r="M686" s="124"/>
      <c r="N686" s="44"/>
      <c r="O686" s="92"/>
      <c r="P686" s="110"/>
      <c r="Q686" s="44"/>
      <c r="R686" s="92"/>
      <c r="S686" s="125"/>
      <c r="T686" s="44"/>
      <c r="U686" s="92"/>
      <c r="V686" s="44"/>
      <c r="W686" s="44"/>
      <c r="X686" s="92"/>
      <c r="Y686" s="44"/>
      <c r="Z686" s="44"/>
      <c r="AA686" s="91"/>
    </row>
    <row r="687" spans="1:27" x14ac:dyDescent="0.2">
      <c r="A687" s="96"/>
      <c r="B687" s="44"/>
      <c r="C687" s="91"/>
      <c r="D687" s="139"/>
      <c r="E687" s="44"/>
      <c r="F687" s="122"/>
      <c r="G687" s="123"/>
      <c r="H687" s="44"/>
      <c r="I687" s="93"/>
      <c r="J687" s="44"/>
      <c r="K687" s="44"/>
      <c r="L687" s="93"/>
      <c r="M687" s="124"/>
      <c r="N687" s="44"/>
      <c r="O687" s="92"/>
      <c r="P687" s="110"/>
      <c r="Q687" s="44"/>
      <c r="R687" s="92"/>
      <c r="S687" s="125"/>
      <c r="T687" s="44"/>
      <c r="U687" s="92"/>
      <c r="V687" s="44"/>
      <c r="W687" s="44"/>
      <c r="X687" s="92"/>
      <c r="Y687" s="96"/>
      <c r="Z687" s="44"/>
      <c r="AA687" s="91"/>
    </row>
    <row r="688" spans="1:27" x14ac:dyDescent="0.2">
      <c r="A688" s="97"/>
      <c r="B688" s="41"/>
      <c r="C688" s="94"/>
      <c r="D688" s="140"/>
      <c r="E688" s="41"/>
      <c r="F688" s="126"/>
      <c r="G688" s="127"/>
      <c r="H688" s="41"/>
      <c r="I688" s="95"/>
      <c r="J688" s="41"/>
      <c r="K688" s="41"/>
      <c r="L688" s="95"/>
      <c r="M688" s="128"/>
      <c r="N688" s="41"/>
      <c r="O688" s="42"/>
      <c r="P688" s="52"/>
      <c r="Q688" s="41"/>
      <c r="R688" s="42"/>
      <c r="S688" s="129"/>
      <c r="T688" s="41"/>
      <c r="U688" s="42"/>
      <c r="V688" s="41"/>
      <c r="W688" s="41"/>
      <c r="X688" s="42"/>
      <c r="Y688" s="97"/>
      <c r="Z688" s="41"/>
      <c r="AA688" s="94"/>
    </row>
    <row r="689" spans="1:27" x14ac:dyDescent="0.2">
      <c r="A689" s="96"/>
      <c r="B689" s="44"/>
      <c r="C689" s="91"/>
      <c r="D689" s="139"/>
      <c r="E689" s="44"/>
      <c r="F689" s="122"/>
      <c r="G689" s="123"/>
      <c r="H689" s="44"/>
      <c r="I689" s="93"/>
      <c r="J689" s="44"/>
      <c r="K689" s="44"/>
      <c r="L689" s="93"/>
      <c r="M689" s="124"/>
      <c r="N689" s="44"/>
      <c r="O689" s="92"/>
      <c r="P689" s="110"/>
      <c r="Q689" s="44"/>
      <c r="R689" s="92"/>
      <c r="S689" s="125"/>
      <c r="T689" s="44"/>
      <c r="U689" s="92"/>
      <c r="V689" s="44"/>
      <c r="W689" s="44"/>
      <c r="X689" s="92"/>
      <c r="Y689" s="96"/>
      <c r="Z689" s="44"/>
      <c r="AA689" s="91"/>
    </row>
    <row r="690" spans="1:27" x14ac:dyDescent="0.2">
      <c r="A690" s="97"/>
      <c r="B690" s="41"/>
      <c r="C690" s="94"/>
      <c r="D690" s="140"/>
      <c r="E690" s="41"/>
      <c r="F690" s="126"/>
      <c r="G690" s="127"/>
      <c r="H690" s="41"/>
      <c r="I690" s="95"/>
      <c r="J690" s="41"/>
      <c r="K690" s="41"/>
      <c r="L690" s="95"/>
      <c r="M690" s="128"/>
      <c r="N690" s="41"/>
      <c r="O690" s="42"/>
      <c r="P690" s="52"/>
      <c r="Q690" s="41"/>
      <c r="R690" s="42"/>
      <c r="S690" s="129"/>
      <c r="T690" s="41"/>
      <c r="U690" s="42"/>
      <c r="V690" s="41"/>
      <c r="W690" s="41"/>
      <c r="X690" s="42"/>
      <c r="Y690" s="97"/>
      <c r="Z690" s="41"/>
      <c r="AA690" s="94"/>
    </row>
    <row r="691" spans="1:27" x14ac:dyDescent="0.2">
      <c r="A691" s="97"/>
      <c r="B691" s="41"/>
      <c r="C691" s="94"/>
      <c r="D691" s="140"/>
      <c r="E691" s="41"/>
      <c r="F691" s="126"/>
      <c r="G691" s="127"/>
      <c r="H691" s="41"/>
      <c r="I691" s="95"/>
      <c r="J691" s="41"/>
      <c r="K691" s="41"/>
      <c r="L691" s="95"/>
      <c r="M691" s="128"/>
      <c r="N691" s="41"/>
      <c r="O691" s="42"/>
      <c r="P691" s="52"/>
      <c r="Q691" s="41"/>
      <c r="R691" s="42"/>
      <c r="S691" s="129"/>
      <c r="T691" s="41"/>
      <c r="U691" s="42"/>
      <c r="V691" s="41"/>
      <c r="W691" s="41"/>
      <c r="X691" s="42"/>
      <c r="Y691" s="97"/>
      <c r="Z691" s="41"/>
      <c r="AA691" s="94"/>
    </row>
    <row r="692" spans="1:27" x14ac:dyDescent="0.2">
      <c r="A692" s="97"/>
      <c r="B692" s="41"/>
      <c r="C692" s="94"/>
      <c r="D692" s="140"/>
      <c r="E692" s="41"/>
      <c r="F692" s="126"/>
      <c r="G692" s="127"/>
      <c r="H692" s="41"/>
      <c r="I692" s="95"/>
      <c r="J692" s="41"/>
      <c r="K692" s="41"/>
      <c r="L692" s="95"/>
      <c r="M692" s="128"/>
      <c r="N692" s="41"/>
      <c r="O692" s="42"/>
      <c r="P692" s="52"/>
      <c r="Q692" s="41"/>
      <c r="R692" s="42"/>
      <c r="S692" s="129"/>
      <c r="T692" s="41"/>
      <c r="U692" s="42"/>
      <c r="V692" s="41"/>
      <c r="W692" s="41"/>
      <c r="X692" s="42"/>
      <c r="Y692" s="97"/>
      <c r="Z692" s="41"/>
      <c r="AA692" s="94"/>
    </row>
    <row r="693" spans="1:27" x14ac:dyDescent="0.2">
      <c r="A693" s="97"/>
      <c r="B693" s="41"/>
      <c r="C693" s="94"/>
      <c r="D693" s="140"/>
      <c r="E693" s="41"/>
      <c r="F693" s="126"/>
      <c r="G693" s="127"/>
      <c r="H693" s="41"/>
      <c r="I693" s="95"/>
      <c r="J693" s="41"/>
      <c r="K693" s="41"/>
      <c r="L693" s="95"/>
      <c r="M693" s="128"/>
      <c r="N693" s="41"/>
      <c r="O693" s="42"/>
      <c r="P693" s="52"/>
      <c r="Q693" s="41"/>
      <c r="R693" s="42"/>
      <c r="S693" s="129"/>
      <c r="T693" s="41"/>
      <c r="U693" s="42"/>
      <c r="V693" s="41"/>
      <c r="W693" s="41"/>
      <c r="X693" s="42"/>
      <c r="Y693" s="97"/>
      <c r="Z693" s="41"/>
      <c r="AA693" s="94"/>
    </row>
    <row r="694" spans="1:27" x14ac:dyDescent="0.2">
      <c r="A694" s="96"/>
      <c r="B694" s="44"/>
      <c r="C694" s="91"/>
      <c r="D694" s="139"/>
      <c r="E694" s="44"/>
      <c r="F694" s="122"/>
      <c r="G694" s="123"/>
      <c r="H694" s="44"/>
      <c r="I694" s="93"/>
      <c r="J694" s="44"/>
      <c r="K694" s="44"/>
      <c r="L694" s="93"/>
      <c r="M694" s="124"/>
      <c r="N694" s="44"/>
      <c r="O694" s="92"/>
      <c r="P694" s="110"/>
      <c r="Q694" s="44"/>
      <c r="R694" s="92"/>
      <c r="S694" s="125"/>
      <c r="T694" s="44"/>
      <c r="U694" s="92"/>
      <c r="V694" s="44"/>
      <c r="W694" s="44"/>
      <c r="X694" s="92"/>
      <c r="Y694" s="96"/>
      <c r="Z694" s="44"/>
      <c r="AA694" s="91"/>
    </row>
    <row r="695" spans="1:27" x14ac:dyDescent="0.2">
      <c r="A695" s="96"/>
      <c r="B695" s="44"/>
      <c r="C695" s="91"/>
      <c r="D695" s="139"/>
      <c r="E695" s="44"/>
      <c r="F695" s="122"/>
      <c r="G695" s="123"/>
      <c r="H695" s="44"/>
      <c r="I695" s="93"/>
      <c r="J695" s="44"/>
      <c r="K695" s="44"/>
      <c r="L695" s="93"/>
      <c r="M695" s="124"/>
      <c r="N695" s="44"/>
      <c r="O695" s="92"/>
      <c r="P695" s="110"/>
      <c r="Q695" s="44"/>
      <c r="R695" s="92"/>
      <c r="S695" s="125"/>
      <c r="T695" s="44"/>
      <c r="U695" s="92"/>
      <c r="V695" s="44"/>
      <c r="W695" s="44"/>
      <c r="X695" s="92"/>
      <c r="Y695" s="96"/>
      <c r="Z695" s="44"/>
      <c r="AA695" s="91"/>
    </row>
    <row r="696" spans="1:27" x14ac:dyDescent="0.2">
      <c r="A696" s="96"/>
      <c r="B696" s="44"/>
      <c r="C696" s="91"/>
      <c r="D696" s="139"/>
      <c r="E696" s="44"/>
      <c r="F696" s="122"/>
      <c r="G696" s="123"/>
      <c r="H696" s="44"/>
      <c r="I696" s="93"/>
      <c r="J696" s="44"/>
      <c r="K696" s="44"/>
      <c r="L696" s="93"/>
      <c r="M696" s="124"/>
      <c r="N696" s="44"/>
      <c r="O696" s="92"/>
      <c r="P696" s="110"/>
      <c r="Q696" s="44"/>
      <c r="R696" s="92"/>
      <c r="S696" s="125"/>
      <c r="T696" s="44"/>
      <c r="U696" s="92"/>
      <c r="V696" s="44"/>
      <c r="W696" s="44"/>
      <c r="X696" s="92"/>
      <c r="Y696" s="96"/>
      <c r="Z696" s="44"/>
      <c r="AA696" s="91"/>
    </row>
    <row r="697" spans="1:27" x14ac:dyDescent="0.2">
      <c r="A697" s="96"/>
      <c r="B697" s="44"/>
      <c r="C697" s="91"/>
      <c r="D697" s="139"/>
      <c r="E697" s="44"/>
      <c r="F697" s="122"/>
      <c r="G697" s="123"/>
      <c r="H697" s="44"/>
      <c r="I697" s="93"/>
      <c r="J697" s="44"/>
      <c r="K697" s="44"/>
      <c r="L697" s="93"/>
      <c r="M697" s="124"/>
      <c r="N697" s="44"/>
      <c r="O697" s="92"/>
      <c r="P697" s="110"/>
      <c r="Q697" s="44"/>
      <c r="R697" s="92"/>
      <c r="S697" s="125"/>
      <c r="T697" s="44"/>
      <c r="U697" s="92"/>
      <c r="V697" s="44"/>
      <c r="W697" s="44"/>
      <c r="X697" s="92"/>
      <c r="Y697" s="96"/>
      <c r="Z697" s="44"/>
      <c r="AA697" s="91"/>
    </row>
    <row r="698" spans="1:27" x14ac:dyDescent="0.2">
      <c r="A698" s="96"/>
      <c r="B698" s="44"/>
      <c r="C698" s="91"/>
      <c r="D698" s="139"/>
      <c r="E698" s="44"/>
      <c r="F698" s="122"/>
      <c r="G698" s="123"/>
      <c r="H698" s="44"/>
      <c r="I698" s="93"/>
      <c r="J698" s="44"/>
      <c r="K698" s="44"/>
      <c r="L698" s="93"/>
      <c r="M698" s="124"/>
      <c r="N698" s="44"/>
      <c r="O698" s="92"/>
      <c r="P698" s="110"/>
      <c r="Q698" s="44"/>
      <c r="R698" s="92"/>
      <c r="S698" s="125"/>
      <c r="T698" s="44"/>
      <c r="U698" s="92"/>
      <c r="V698" s="44"/>
      <c r="W698" s="44"/>
      <c r="X698" s="92"/>
      <c r="Y698" s="96"/>
      <c r="Z698" s="44"/>
      <c r="AA698" s="91"/>
    </row>
    <row r="699" spans="1:27" x14ac:dyDescent="0.2">
      <c r="A699" s="97"/>
      <c r="B699" s="41"/>
      <c r="C699" s="94"/>
      <c r="D699" s="140"/>
      <c r="E699" s="41"/>
      <c r="F699" s="126"/>
      <c r="G699" s="127"/>
      <c r="H699" s="41"/>
      <c r="I699" s="95"/>
      <c r="J699" s="41"/>
      <c r="K699" s="41"/>
      <c r="L699" s="95"/>
      <c r="M699" s="128"/>
      <c r="N699" s="41"/>
      <c r="O699" s="42"/>
      <c r="P699" s="52"/>
      <c r="Q699" s="41"/>
      <c r="R699" s="42"/>
      <c r="S699" s="129"/>
      <c r="T699" s="41"/>
      <c r="U699" s="42"/>
      <c r="V699" s="41"/>
      <c r="W699" s="41"/>
      <c r="X699" s="42"/>
      <c r="Y699" s="97"/>
      <c r="Z699" s="41"/>
      <c r="AA699" s="94"/>
    </row>
    <row r="700" spans="1:27" x14ac:dyDescent="0.2">
      <c r="A700" s="96"/>
      <c r="B700" s="44"/>
      <c r="C700" s="91"/>
      <c r="D700" s="139"/>
      <c r="E700" s="44"/>
      <c r="F700" s="122"/>
      <c r="G700" s="123"/>
      <c r="H700" s="44"/>
      <c r="I700" s="93"/>
      <c r="J700" s="44"/>
      <c r="K700" s="44"/>
      <c r="L700" s="93"/>
      <c r="M700" s="124"/>
      <c r="N700" s="44"/>
      <c r="O700" s="92"/>
      <c r="P700" s="110"/>
      <c r="Q700" s="44"/>
      <c r="R700" s="92"/>
      <c r="S700" s="125"/>
      <c r="T700" s="44"/>
      <c r="U700" s="92"/>
      <c r="V700" s="44"/>
      <c r="W700" s="44"/>
      <c r="X700" s="92"/>
      <c r="Y700" s="96"/>
      <c r="Z700" s="44"/>
      <c r="AA700" s="91"/>
    </row>
    <row r="701" spans="1:27" x14ac:dyDescent="0.2">
      <c r="A701" s="97"/>
      <c r="B701" s="41"/>
      <c r="C701" s="94"/>
      <c r="D701" s="140"/>
      <c r="E701" s="41"/>
      <c r="F701" s="126"/>
      <c r="G701" s="127"/>
      <c r="H701" s="41"/>
      <c r="I701" s="95"/>
      <c r="J701" s="41"/>
      <c r="K701" s="41"/>
      <c r="L701" s="95"/>
      <c r="M701" s="128"/>
      <c r="N701" s="41"/>
      <c r="O701" s="42"/>
      <c r="P701" s="52"/>
      <c r="Q701" s="41"/>
      <c r="R701" s="42"/>
      <c r="S701" s="129"/>
      <c r="T701" s="41"/>
      <c r="U701" s="42"/>
      <c r="V701" s="41"/>
      <c r="W701" s="41"/>
      <c r="X701" s="42"/>
      <c r="Y701" s="97"/>
      <c r="Z701" s="41"/>
      <c r="AA701" s="94"/>
    </row>
    <row r="702" spans="1:27" x14ac:dyDescent="0.2">
      <c r="A702" s="96"/>
      <c r="B702" s="44"/>
      <c r="C702" s="91"/>
      <c r="D702" s="139"/>
      <c r="E702" s="44"/>
      <c r="F702" s="122"/>
      <c r="G702" s="123"/>
      <c r="H702" s="44"/>
      <c r="I702" s="93"/>
      <c r="J702" s="44"/>
      <c r="K702" s="44"/>
      <c r="L702" s="93"/>
      <c r="M702" s="124"/>
      <c r="N702" s="44"/>
      <c r="O702" s="92"/>
      <c r="P702" s="110"/>
      <c r="Q702" s="44"/>
      <c r="R702" s="92"/>
      <c r="S702" s="125"/>
      <c r="T702" s="44"/>
      <c r="U702" s="92"/>
      <c r="V702" s="44"/>
      <c r="W702" s="44"/>
      <c r="X702" s="92"/>
      <c r="Y702" s="96"/>
      <c r="Z702" s="44"/>
      <c r="AA702" s="91"/>
    </row>
    <row r="703" spans="1:27" x14ac:dyDescent="0.2">
      <c r="A703" s="96"/>
      <c r="B703" s="44"/>
      <c r="C703" s="91"/>
      <c r="D703" s="139"/>
      <c r="E703" s="44"/>
      <c r="F703" s="122"/>
      <c r="G703" s="123"/>
      <c r="H703" s="44"/>
      <c r="I703" s="93"/>
      <c r="J703" s="44"/>
      <c r="K703" s="44"/>
      <c r="L703" s="93"/>
      <c r="M703" s="124"/>
      <c r="N703" s="44"/>
      <c r="O703" s="92"/>
      <c r="P703" s="110"/>
      <c r="Q703" s="44"/>
      <c r="R703" s="92"/>
      <c r="S703" s="125"/>
      <c r="T703" s="44"/>
      <c r="U703" s="92"/>
      <c r="V703" s="44"/>
      <c r="W703" s="44"/>
      <c r="X703" s="92"/>
      <c r="Y703" s="96"/>
      <c r="Z703" s="44"/>
      <c r="AA703" s="91"/>
    </row>
    <row r="704" spans="1:27" x14ac:dyDescent="0.2">
      <c r="A704" s="97"/>
      <c r="B704" s="41"/>
      <c r="C704" s="94"/>
      <c r="D704" s="140"/>
      <c r="E704" s="41"/>
      <c r="F704" s="126"/>
      <c r="G704" s="127"/>
      <c r="H704" s="41"/>
      <c r="I704" s="95"/>
      <c r="J704" s="41"/>
      <c r="K704" s="41"/>
      <c r="L704" s="95"/>
      <c r="M704" s="128"/>
      <c r="N704" s="41"/>
      <c r="O704" s="42"/>
      <c r="P704" s="52"/>
      <c r="Q704" s="41"/>
      <c r="R704" s="42"/>
      <c r="S704" s="129"/>
      <c r="T704" s="41"/>
      <c r="U704" s="42"/>
      <c r="V704" s="41"/>
      <c r="W704" s="41"/>
      <c r="X704" s="42"/>
      <c r="Y704" s="97"/>
      <c r="Z704" s="41"/>
      <c r="AA704" s="94"/>
    </row>
    <row r="705" spans="1:27" x14ac:dyDescent="0.2">
      <c r="A705" s="96"/>
      <c r="B705" s="44"/>
      <c r="C705" s="91"/>
      <c r="D705" s="139"/>
      <c r="E705" s="44"/>
      <c r="F705" s="122"/>
      <c r="G705" s="123"/>
      <c r="H705" s="44"/>
      <c r="I705" s="93"/>
      <c r="J705" s="44"/>
      <c r="K705" s="44"/>
      <c r="L705" s="93"/>
      <c r="M705" s="124"/>
      <c r="N705" s="44"/>
      <c r="O705" s="92"/>
      <c r="P705" s="110"/>
      <c r="Q705" s="44"/>
      <c r="R705" s="92"/>
      <c r="S705" s="125"/>
      <c r="T705" s="44"/>
      <c r="U705" s="92"/>
      <c r="V705" s="44"/>
      <c r="W705" s="44"/>
      <c r="X705" s="92"/>
      <c r="Y705" s="96"/>
      <c r="Z705" s="44"/>
      <c r="AA705" s="91"/>
    </row>
    <row r="706" spans="1:27" x14ac:dyDescent="0.2">
      <c r="A706" s="96"/>
      <c r="B706" s="44"/>
      <c r="C706" s="91"/>
      <c r="D706" s="139"/>
      <c r="E706" s="44"/>
      <c r="F706" s="122"/>
      <c r="G706" s="123"/>
      <c r="H706" s="44"/>
      <c r="I706" s="93"/>
      <c r="J706" s="44"/>
      <c r="K706" s="44"/>
      <c r="L706" s="93"/>
      <c r="M706" s="124"/>
      <c r="N706" s="44"/>
      <c r="O706" s="92"/>
      <c r="P706" s="110"/>
      <c r="Q706" s="44"/>
      <c r="R706" s="92"/>
      <c r="S706" s="125"/>
      <c r="T706" s="44"/>
      <c r="U706" s="92"/>
      <c r="V706" s="44"/>
      <c r="W706" s="44"/>
      <c r="X706" s="92"/>
      <c r="Y706" s="96"/>
      <c r="Z706" s="44"/>
      <c r="AA706" s="91"/>
    </row>
    <row r="707" spans="1:27" x14ac:dyDescent="0.2">
      <c r="A707" s="97"/>
      <c r="B707" s="41"/>
      <c r="C707" s="94"/>
      <c r="D707" s="140"/>
      <c r="E707" s="41"/>
      <c r="F707" s="126"/>
      <c r="G707" s="127"/>
      <c r="H707" s="41"/>
      <c r="I707" s="95"/>
      <c r="J707" s="41"/>
      <c r="K707" s="41"/>
      <c r="L707" s="95"/>
      <c r="M707" s="128"/>
      <c r="N707" s="41"/>
      <c r="O707" s="42"/>
      <c r="P707" s="52"/>
      <c r="Q707" s="41"/>
      <c r="R707" s="42"/>
      <c r="S707" s="129"/>
      <c r="T707" s="41"/>
      <c r="U707" s="42"/>
      <c r="V707" s="41"/>
      <c r="W707" s="41"/>
      <c r="X707" s="42"/>
      <c r="Y707" s="97"/>
      <c r="Z707" s="41"/>
      <c r="AA707" s="94"/>
    </row>
    <row r="708" spans="1:27" x14ac:dyDescent="0.2">
      <c r="A708" s="97"/>
      <c r="B708" s="41"/>
      <c r="C708" s="94"/>
      <c r="D708" s="140"/>
      <c r="E708" s="41"/>
      <c r="F708" s="126"/>
      <c r="G708" s="127"/>
      <c r="H708" s="41"/>
      <c r="I708" s="95"/>
      <c r="J708" s="41"/>
      <c r="K708" s="41"/>
      <c r="L708" s="95"/>
      <c r="M708" s="128"/>
      <c r="N708" s="41"/>
      <c r="O708" s="42"/>
      <c r="P708" s="52"/>
      <c r="Q708" s="41"/>
      <c r="R708" s="42"/>
      <c r="S708" s="129"/>
      <c r="T708" s="41"/>
      <c r="U708" s="42"/>
      <c r="V708" s="41"/>
      <c r="W708" s="41"/>
      <c r="X708" s="42"/>
      <c r="Y708" s="97"/>
      <c r="Z708" s="41"/>
      <c r="AA708" s="94"/>
    </row>
    <row r="709" spans="1:27" x14ac:dyDescent="0.2">
      <c r="A709" s="96"/>
      <c r="B709" s="44"/>
      <c r="C709" s="91"/>
      <c r="D709" s="139"/>
      <c r="E709" s="44"/>
      <c r="F709" s="122"/>
      <c r="G709" s="123"/>
      <c r="H709" s="44"/>
      <c r="I709" s="93"/>
      <c r="J709" s="44"/>
      <c r="K709" s="44"/>
      <c r="L709" s="93"/>
      <c r="M709" s="124"/>
      <c r="N709" s="44"/>
      <c r="O709" s="92"/>
      <c r="P709" s="110"/>
      <c r="Q709" s="44"/>
      <c r="R709" s="92"/>
      <c r="S709" s="125"/>
      <c r="T709" s="44"/>
      <c r="U709" s="92"/>
      <c r="V709" s="44"/>
      <c r="W709" s="44"/>
      <c r="X709" s="92"/>
      <c r="Y709" s="96"/>
      <c r="Z709" s="44"/>
      <c r="AA709" s="91"/>
    </row>
    <row r="710" spans="1:27" x14ac:dyDescent="0.2">
      <c r="A710" s="96"/>
      <c r="B710" s="44"/>
      <c r="C710" s="91"/>
      <c r="D710" s="139"/>
      <c r="E710" s="44"/>
      <c r="F710" s="122"/>
      <c r="G710" s="123"/>
      <c r="H710" s="44"/>
      <c r="I710" s="93"/>
      <c r="J710" s="44"/>
      <c r="K710" s="44"/>
      <c r="L710" s="93"/>
      <c r="M710" s="124"/>
      <c r="N710" s="44"/>
      <c r="O710" s="92"/>
      <c r="P710" s="110"/>
      <c r="Q710" s="44"/>
      <c r="R710" s="92"/>
      <c r="S710" s="125"/>
      <c r="T710" s="44"/>
      <c r="U710" s="92"/>
      <c r="V710" s="44"/>
      <c r="W710" s="44"/>
      <c r="X710" s="92"/>
      <c r="Y710" s="96"/>
      <c r="Z710" s="44"/>
      <c r="AA710" s="91"/>
    </row>
    <row r="711" spans="1:27" x14ac:dyDescent="0.2">
      <c r="A711" s="97"/>
      <c r="B711" s="41"/>
      <c r="C711" s="94"/>
      <c r="D711" s="140"/>
      <c r="E711" s="41"/>
      <c r="F711" s="126"/>
      <c r="G711" s="127"/>
      <c r="H711" s="41"/>
      <c r="I711" s="95"/>
      <c r="J711" s="41"/>
      <c r="K711" s="41"/>
      <c r="L711" s="95"/>
      <c r="M711" s="128"/>
      <c r="N711" s="41"/>
      <c r="O711" s="42"/>
      <c r="P711" s="52"/>
      <c r="Q711" s="41"/>
      <c r="R711" s="42"/>
      <c r="S711" s="129"/>
      <c r="T711" s="41"/>
      <c r="U711" s="42"/>
      <c r="V711" s="41"/>
      <c r="W711" s="41"/>
      <c r="X711" s="42"/>
      <c r="Y711" s="97"/>
      <c r="Z711" s="41"/>
      <c r="AA711" s="94"/>
    </row>
    <row r="712" spans="1:27" x14ac:dyDescent="0.2">
      <c r="A712" s="87"/>
      <c r="B712" s="87"/>
      <c r="C712" s="88"/>
      <c r="D712" s="138"/>
      <c r="E712" s="87"/>
      <c r="F712" s="118"/>
      <c r="G712" s="119"/>
      <c r="H712" s="87"/>
      <c r="I712" s="90"/>
      <c r="J712" s="87"/>
      <c r="K712" s="87"/>
      <c r="L712" s="90"/>
      <c r="M712" s="120"/>
      <c r="N712" s="87"/>
      <c r="O712" s="89"/>
      <c r="P712" s="130"/>
      <c r="Q712" s="87"/>
      <c r="R712" s="89"/>
      <c r="S712" s="121"/>
      <c r="T712" s="87"/>
      <c r="U712" s="89"/>
      <c r="V712" s="87"/>
      <c r="W712" s="87"/>
      <c r="X712" s="89"/>
      <c r="Y712" s="87"/>
      <c r="Z712" s="87"/>
      <c r="AA712" s="88"/>
    </row>
    <row r="713" spans="1:27" x14ac:dyDescent="0.2">
      <c r="A713" s="44"/>
      <c r="B713" s="44"/>
      <c r="C713" s="91"/>
      <c r="D713" s="139"/>
      <c r="E713" s="44"/>
      <c r="F713" s="122"/>
      <c r="G713" s="123"/>
      <c r="H713" s="44"/>
      <c r="I713" s="93"/>
      <c r="J713" s="44"/>
      <c r="K713" s="44"/>
      <c r="L713" s="93"/>
      <c r="M713" s="124"/>
      <c r="N713" s="44"/>
      <c r="O713" s="92"/>
      <c r="P713" s="110"/>
      <c r="Q713" s="44"/>
      <c r="R713" s="92"/>
      <c r="S713" s="125"/>
      <c r="T713" s="44"/>
      <c r="U713" s="92"/>
      <c r="V713" s="44"/>
      <c r="W713" s="44"/>
      <c r="X713" s="92"/>
      <c r="Y713" s="44"/>
      <c r="Z713" s="44"/>
      <c r="AA713" s="91"/>
    </row>
    <row r="714" spans="1:27" x14ac:dyDescent="0.2">
      <c r="A714" s="41"/>
      <c r="B714" s="41"/>
      <c r="C714" s="94"/>
      <c r="D714" s="140"/>
      <c r="E714" s="41"/>
      <c r="F714" s="126"/>
      <c r="G714" s="127"/>
      <c r="H714" s="41"/>
      <c r="I714" s="95"/>
      <c r="J714" s="41"/>
      <c r="K714" s="41"/>
      <c r="L714" s="95"/>
      <c r="M714" s="128"/>
      <c r="N714" s="41"/>
      <c r="O714" s="42"/>
      <c r="P714" s="52"/>
      <c r="Q714" s="41"/>
      <c r="R714" s="42"/>
      <c r="S714" s="129"/>
      <c r="T714" s="41"/>
      <c r="U714" s="42"/>
      <c r="V714" s="41"/>
      <c r="W714" s="41"/>
      <c r="X714" s="42"/>
      <c r="Y714" s="41"/>
      <c r="Z714" s="41"/>
      <c r="AA714" s="94"/>
    </row>
    <row r="715" spans="1:27" x14ac:dyDescent="0.2">
      <c r="A715" s="44"/>
      <c r="B715" s="44"/>
      <c r="C715" s="91"/>
      <c r="D715" s="139"/>
      <c r="E715" s="44"/>
      <c r="F715" s="122"/>
      <c r="G715" s="123"/>
      <c r="H715" s="44"/>
      <c r="I715" s="93"/>
      <c r="J715" s="44"/>
      <c r="K715" s="44"/>
      <c r="L715" s="93"/>
      <c r="M715" s="124"/>
      <c r="N715" s="44"/>
      <c r="O715" s="92"/>
      <c r="P715" s="110"/>
      <c r="Q715" s="44"/>
      <c r="R715" s="92"/>
      <c r="S715" s="125"/>
      <c r="T715" s="44"/>
      <c r="U715" s="92"/>
      <c r="V715" s="44"/>
      <c r="W715" s="44"/>
      <c r="X715" s="92"/>
      <c r="Y715" s="44"/>
      <c r="Z715" s="44"/>
      <c r="AA715" s="91"/>
    </row>
    <row r="716" spans="1:27" x14ac:dyDescent="0.2">
      <c r="A716" s="87"/>
      <c r="B716" s="87"/>
      <c r="C716" s="88"/>
      <c r="D716" s="138"/>
      <c r="E716" s="87"/>
      <c r="F716" s="118"/>
      <c r="G716" s="119"/>
      <c r="H716" s="87"/>
      <c r="I716" s="90"/>
      <c r="J716" s="87"/>
      <c r="K716" s="87"/>
      <c r="L716" s="90"/>
      <c r="M716" s="120"/>
      <c r="N716" s="87"/>
      <c r="O716" s="89"/>
      <c r="P716" s="87"/>
      <c r="Q716" s="87"/>
      <c r="R716" s="89"/>
      <c r="S716" s="121"/>
      <c r="T716" s="87"/>
      <c r="U716" s="89"/>
      <c r="V716" s="87"/>
      <c r="W716" s="87"/>
      <c r="X716" s="89"/>
      <c r="Y716" s="87"/>
      <c r="Z716" s="87"/>
      <c r="AA716" s="88"/>
    </row>
    <row r="717" spans="1:27" x14ac:dyDescent="0.2">
      <c r="A717" s="44"/>
      <c r="B717" s="44"/>
      <c r="C717" s="91"/>
      <c r="D717" s="139"/>
      <c r="E717" s="44"/>
      <c r="F717" s="122"/>
      <c r="G717" s="123"/>
      <c r="H717" s="44"/>
      <c r="I717" s="93"/>
      <c r="J717" s="44"/>
      <c r="K717" s="44"/>
      <c r="L717" s="93"/>
      <c r="M717" s="124"/>
      <c r="N717" s="44"/>
      <c r="O717" s="92"/>
      <c r="P717" s="110"/>
      <c r="Q717" s="44"/>
      <c r="R717" s="92"/>
      <c r="S717" s="125"/>
      <c r="T717" s="44"/>
      <c r="U717" s="92"/>
      <c r="V717" s="44"/>
      <c r="W717" s="44"/>
      <c r="X717" s="92"/>
      <c r="Y717" s="44"/>
      <c r="Z717" s="44"/>
      <c r="AA717" s="91"/>
    </row>
    <row r="718" spans="1:27" x14ac:dyDescent="0.2">
      <c r="A718" s="41"/>
      <c r="B718" s="41"/>
      <c r="C718" s="94"/>
      <c r="D718" s="140"/>
      <c r="E718" s="41"/>
      <c r="F718" s="126"/>
      <c r="G718" s="127"/>
      <c r="H718" s="41"/>
      <c r="I718" s="95"/>
      <c r="J718" s="41"/>
      <c r="K718" s="41"/>
      <c r="L718" s="95"/>
      <c r="M718" s="128"/>
      <c r="N718" s="41"/>
      <c r="O718" s="42"/>
      <c r="P718" s="52"/>
      <c r="Q718" s="41"/>
      <c r="R718" s="42"/>
      <c r="S718" s="129"/>
      <c r="T718" s="41"/>
      <c r="U718" s="42"/>
      <c r="V718" s="41"/>
      <c r="W718" s="41"/>
      <c r="X718" s="42"/>
      <c r="Y718" s="41"/>
      <c r="Z718" s="41"/>
      <c r="AA718" s="94"/>
    </row>
    <row r="719" spans="1:27" x14ac:dyDescent="0.2">
      <c r="A719" s="44"/>
      <c r="B719" s="44"/>
      <c r="C719" s="91"/>
      <c r="D719" s="139"/>
      <c r="E719" s="44"/>
      <c r="F719" s="122"/>
      <c r="G719" s="123"/>
      <c r="H719" s="44"/>
      <c r="I719" s="93"/>
      <c r="J719" s="44"/>
      <c r="K719" s="44"/>
      <c r="L719" s="93"/>
      <c r="M719" s="124"/>
      <c r="N719" s="44"/>
      <c r="O719" s="92"/>
      <c r="P719" s="110"/>
      <c r="Q719" s="44"/>
      <c r="R719" s="92"/>
      <c r="S719" s="125"/>
      <c r="T719" s="44"/>
      <c r="U719" s="92"/>
      <c r="V719" s="44"/>
      <c r="W719" s="44"/>
      <c r="X719" s="92"/>
      <c r="Y719" s="44"/>
      <c r="Z719" s="44"/>
      <c r="AA719" s="91"/>
    </row>
    <row r="720" spans="1:27" x14ac:dyDescent="0.2">
      <c r="A720" s="41"/>
      <c r="B720" s="41"/>
      <c r="C720" s="94"/>
      <c r="D720" s="140"/>
      <c r="E720" s="41"/>
      <c r="F720" s="126"/>
      <c r="G720" s="127"/>
      <c r="H720" s="41"/>
      <c r="I720" s="95"/>
      <c r="J720" s="41"/>
      <c r="K720" s="41"/>
      <c r="L720" s="95"/>
      <c r="M720" s="128"/>
      <c r="N720" s="41"/>
      <c r="O720" s="42"/>
      <c r="P720" s="52"/>
      <c r="Q720" s="41"/>
      <c r="R720" s="42"/>
      <c r="S720" s="129"/>
      <c r="T720" s="41"/>
      <c r="U720" s="42"/>
      <c r="V720" s="41"/>
      <c r="W720" s="41"/>
      <c r="X720" s="42"/>
      <c r="Y720" s="41"/>
      <c r="Z720" s="41"/>
      <c r="AA720" s="94"/>
    </row>
    <row r="721" spans="1:27" x14ac:dyDescent="0.2">
      <c r="A721" s="44"/>
      <c r="B721" s="44"/>
      <c r="C721" s="91"/>
      <c r="D721" s="139"/>
      <c r="E721" s="44"/>
      <c r="F721" s="122"/>
      <c r="G721" s="123"/>
      <c r="H721" s="44"/>
      <c r="I721" s="93"/>
      <c r="J721" s="44"/>
      <c r="K721" s="44"/>
      <c r="L721" s="93"/>
      <c r="M721" s="124"/>
      <c r="N721" s="44"/>
      <c r="O721" s="92"/>
      <c r="P721" s="110"/>
      <c r="Q721" s="44"/>
      <c r="R721" s="92"/>
      <c r="S721" s="125"/>
      <c r="T721" s="44"/>
      <c r="U721" s="92"/>
      <c r="V721" s="44"/>
      <c r="W721" s="44"/>
      <c r="X721" s="92"/>
      <c r="Y721" s="44"/>
      <c r="Z721" s="44"/>
      <c r="AA721" s="91"/>
    </row>
    <row r="722" spans="1:27" x14ac:dyDescent="0.2">
      <c r="A722" s="41"/>
      <c r="B722" s="41"/>
      <c r="C722" s="94"/>
      <c r="D722" s="140"/>
      <c r="E722" s="41"/>
      <c r="F722" s="126"/>
      <c r="G722" s="127"/>
      <c r="H722" s="41"/>
      <c r="I722" s="95"/>
      <c r="J722" s="41"/>
      <c r="K722" s="41"/>
      <c r="L722" s="95"/>
      <c r="M722" s="128"/>
      <c r="N722" s="41"/>
      <c r="O722" s="42"/>
      <c r="P722" s="52"/>
      <c r="Q722" s="41"/>
      <c r="R722" s="42"/>
      <c r="S722" s="129"/>
      <c r="T722" s="41"/>
      <c r="U722" s="42"/>
      <c r="V722" s="41"/>
      <c r="W722" s="41"/>
      <c r="X722" s="42"/>
      <c r="Y722" s="41"/>
      <c r="Z722" s="41"/>
      <c r="AA722" s="94"/>
    </row>
    <row r="723" spans="1:27" x14ac:dyDescent="0.2">
      <c r="A723" s="44"/>
      <c r="B723" s="44"/>
      <c r="C723" s="91"/>
      <c r="D723" s="139"/>
      <c r="E723" s="44"/>
      <c r="F723" s="122"/>
      <c r="G723" s="123"/>
      <c r="H723" s="44"/>
      <c r="I723" s="93"/>
      <c r="J723" s="44"/>
      <c r="K723" s="44"/>
      <c r="L723" s="93"/>
      <c r="M723" s="124"/>
      <c r="N723" s="44"/>
      <c r="O723" s="92"/>
      <c r="P723" s="110"/>
      <c r="Q723" s="44"/>
      <c r="R723" s="92"/>
      <c r="S723" s="125"/>
      <c r="T723" s="44"/>
      <c r="U723" s="92"/>
      <c r="V723" s="44"/>
      <c r="W723" s="44"/>
      <c r="X723" s="92"/>
      <c r="Y723" s="44"/>
      <c r="Z723" s="44"/>
      <c r="AA723" s="91"/>
    </row>
    <row r="724" spans="1:27" x14ac:dyDescent="0.2">
      <c r="A724" s="41"/>
      <c r="B724" s="41"/>
      <c r="C724" s="94"/>
      <c r="D724" s="140"/>
      <c r="E724" s="41"/>
      <c r="F724" s="126"/>
      <c r="G724" s="127"/>
      <c r="H724" s="41"/>
      <c r="I724" s="95"/>
      <c r="J724" s="41"/>
      <c r="K724" s="41"/>
      <c r="L724" s="95"/>
      <c r="M724" s="128"/>
      <c r="N724" s="41"/>
      <c r="O724" s="42"/>
      <c r="P724" s="52"/>
      <c r="Q724" s="41"/>
      <c r="R724" s="42"/>
      <c r="S724" s="129"/>
      <c r="T724" s="41"/>
      <c r="U724" s="42"/>
      <c r="V724" s="41"/>
      <c r="W724" s="41"/>
      <c r="X724" s="42"/>
      <c r="Y724" s="41"/>
      <c r="Z724" s="41"/>
      <c r="AA724" s="94"/>
    </row>
    <row r="725" spans="1:27" x14ac:dyDescent="0.2">
      <c r="A725" s="44"/>
      <c r="B725" s="44"/>
      <c r="C725" s="91"/>
      <c r="D725" s="139"/>
      <c r="E725" s="44"/>
      <c r="F725" s="122"/>
      <c r="G725" s="123"/>
      <c r="H725" s="44"/>
      <c r="I725" s="93"/>
      <c r="J725" s="44"/>
      <c r="K725" s="44"/>
      <c r="L725" s="93"/>
      <c r="M725" s="124"/>
      <c r="N725" s="44"/>
      <c r="O725" s="92"/>
      <c r="P725" s="110"/>
      <c r="Q725" s="44"/>
      <c r="R725" s="92"/>
      <c r="S725" s="125"/>
      <c r="T725" s="44"/>
      <c r="U725" s="92"/>
      <c r="V725" s="44"/>
      <c r="W725" s="44"/>
      <c r="X725" s="92"/>
      <c r="Y725" s="44"/>
      <c r="Z725" s="44"/>
      <c r="AA725" s="91"/>
    </row>
    <row r="726" spans="1:27" x14ac:dyDescent="0.2">
      <c r="A726" s="41"/>
      <c r="B726" s="41"/>
      <c r="C726" s="94"/>
      <c r="D726" s="140"/>
      <c r="E726" s="41"/>
      <c r="F726" s="126"/>
      <c r="G726" s="127"/>
      <c r="H726" s="41"/>
      <c r="I726" s="95"/>
      <c r="J726" s="41"/>
      <c r="K726" s="41"/>
      <c r="L726" s="95"/>
      <c r="M726" s="128"/>
      <c r="N726" s="41"/>
      <c r="O726" s="42"/>
      <c r="P726" s="52"/>
      <c r="Q726" s="41"/>
      <c r="R726" s="42"/>
      <c r="S726" s="129"/>
      <c r="T726" s="41"/>
      <c r="U726" s="42"/>
      <c r="V726" s="41"/>
      <c r="W726" s="41"/>
      <c r="X726" s="42"/>
      <c r="Y726" s="41"/>
      <c r="Z726" s="41"/>
      <c r="AA726" s="94"/>
    </row>
    <row r="727" spans="1:27" x14ac:dyDescent="0.2">
      <c r="A727" s="44"/>
      <c r="B727" s="44"/>
      <c r="C727" s="91"/>
      <c r="D727" s="139"/>
      <c r="E727" s="44"/>
      <c r="F727" s="122"/>
      <c r="G727" s="123"/>
      <c r="H727" s="44"/>
      <c r="I727" s="93"/>
      <c r="J727" s="44"/>
      <c r="K727" s="44"/>
      <c r="L727" s="93"/>
      <c r="M727" s="124"/>
      <c r="N727" s="44"/>
      <c r="O727" s="92"/>
      <c r="P727" s="110"/>
      <c r="Q727" s="44"/>
      <c r="R727" s="92"/>
      <c r="S727" s="125"/>
      <c r="T727" s="44"/>
      <c r="U727" s="92"/>
      <c r="V727" s="44"/>
      <c r="W727" s="44"/>
      <c r="X727" s="92"/>
      <c r="Y727" s="44"/>
      <c r="Z727" s="44"/>
      <c r="AA727" s="91"/>
    </row>
    <row r="728" spans="1:27" x14ac:dyDescent="0.2">
      <c r="A728" s="41"/>
      <c r="B728" s="41"/>
      <c r="C728" s="94"/>
      <c r="D728" s="140"/>
      <c r="E728" s="41"/>
      <c r="F728" s="126"/>
      <c r="G728" s="127"/>
      <c r="H728" s="41"/>
      <c r="I728" s="95"/>
      <c r="J728" s="41"/>
      <c r="K728" s="41"/>
      <c r="L728" s="95"/>
      <c r="M728" s="128"/>
      <c r="N728" s="41"/>
      <c r="O728" s="42"/>
      <c r="P728" s="52"/>
      <c r="Q728" s="41"/>
      <c r="R728" s="42"/>
      <c r="S728" s="129"/>
      <c r="T728" s="41"/>
      <c r="U728" s="42"/>
      <c r="V728" s="41"/>
      <c r="W728" s="41"/>
      <c r="X728" s="42"/>
      <c r="Y728" s="41"/>
      <c r="Z728" s="41"/>
      <c r="AA728" s="94"/>
    </row>
    <row r="729" spans="1:27" x14ac:dyDescent="0.2">
      <c r="A729" s="44"/>
      <c r="B729" s="44"/>
      <c r="C729" s="91"/>
      <c r="D729" s="139"/>
      <c r="E729" s="44"/>
      <c r="F729" s="122"/>
      <c r="G729" s="123"/>
      <c r="H729" s="44"/>
      <c r="I729" s="93"/>
      <c r="J729" s="44"/>
      <c r="K729" s="44"/>
      <c r="L729" s="93"/>
      <c r="M729" s="124"/>
      <c r="N729" s="44"/>
      <c r="O729" s="92"/>
      <c r="P729" s="110"/>
      <c r="Q729" s="44"/>
      <c r="R729" s="92"/>
      <c r="S729" s="125"/>
      <c r="T729" s="44"/>
      <c r="U729" s="92"/>
      <c r="V729" s="44"/>
      <c r="W729" s="44"/>
      <c r="X729" s="92"/>
      <c r="Y729" s="44"/>
      <c r="Z729" s="44"/>
      <c r="AA729" s="91"/>
    </row>
    <row r="730" spans="1:27" x14ac:dyDescent="0.2">
      <c r="A730" s="41"/>
      <c r="B730" s="41"/>
      <c r="C730" s="94"/>
      <c r="D730" s="140"/>
      <c r="E730" s="41"/>
      <c r="F730" s="126"/>
      <c r="G730" s="127"/>
      <c r="H730" s="41"/>
      <c r="I730" s="95"/>
      <c r="J730" s="41"/>
      <c r="K730" s="41"/>
      <c r="L730" s="95"/>
      <c r="M730" s="128"/>
      <c r="N730" s="41"/>
      <c r="O730" s="42"/>
      <c r="P730" s="52"/>
      <c r="Q730" s="41"/>
      <c r="R730" s="42"/>
      <c r="S730" s="129"/>
      <c r="T730" s="41"/>
      <c r="U730" s="42"/>
      <c r="V730" s="41"/>
      <c r="W730" s="41"/>
      <c r="X730" s="42"/>
      <c r="Y730" s="41"/>
      <c r="Z730" s="41"/>
      <c r="AA730" s="94"/>
    </row>
    <row r="731" spans="1:27" x14ac:dyDescent="0.2">
      <c r="A731" s="44"/>
      <c r="B731" s="44"/>
      <c r="C731" s="91"/>
      <c r="D731" s="139"/>
      <c r="E731" s="44"/>
      <c r="F731" s="122"/>
      <c r="G731" s="123"/>
      <c r="H731" s="44"/>
      <c r="I731" s="93"/>
      <c r="J731" s="44"/>
      <c r="K731" s="44"/>
      <c r="L731" s="93"/>
      <c r="M731" s="124"/>
      <c r="N731" s="44"/>
      <c r="O731" s="92"/>
      <c r="P731" s="110"/>
      <c r="Q731" s="44"/>
      <c r="R731" s="92"/>
      <c r="S731" s="125"/>
      <c r="T731" s="44"/>
      <c r="U731" s="92"/>
      <c r="V731" s="44"/>
      <c r="W731" s="44"/>
      <c r="X731" s="92"/>
      <c r="Y731" s="44"/>
      <c r="Z731" s="44"/>
      <c r="AA731" s="91"/>
    </row>
    <row r="732" spans="1:27" x14ac:dyDescent="0.2">
      <c r="A732" s="41"/>
      <c r="B732" s="41"/>
      <c r="C732" s="94"/>
      <c r="D732" s="140"/>
      <c r="E732" s="41"/>
      <c r="F732" s="126"/>
      <c r="G732" s="127"/>
      <c r="H732" s="41"/>
      <c r="I732" s="95"/>
      <c r="J732" s="41"/>
      <c r="K732" s="41"/>
      <c r="L732" s="95"/>
      <c r="M732" s="128"/>
      <c r="N732" s="41"/>
      <c r="O732" s="42"/>
      <c r="P732" s="52"/>
      <c r="Q732" s="41"/>
      <c r="R732" s="42"/>
      <c r="S732" s="129"/>
      <c r="T732" s="41"/>
      <c r="U732" s="42"/>
      <c r="V732" s="41"/>
      <c r="W732" s="41"/>
      <c r="X732" s="42"/>
      <c r="Y732" s="41"/>
      <c r="Z732" s="41"/>
      <c r="AA732" s="94"/>
    </row>
    <row r="733" spans="1:27" x14ac:dyDescent="0.2">
      <c r="A733" s="44"/>
      <c r="B733" s="44"/>
      <c r="C733" s="91"/>
      <c r="D733" s="139"/>
      <c r="E733" s="44"/>
      <c r="F733" s="122"/>
      <c r="G733" s="123"/>
      <c r="H733" s="44"/>
      <c r="I733" s="93"/>
      <c r="J733" s="44"/>
      <c r="K733" s="44"/>
      <c r="L733" s="93"/>
      <c r="M733" s="124"/>
      <c r="N733" s="44"/>
      <c r="O733" s="92"/>
      <c r="P733" s="110"/>
      <c r="Q733" s="44"/>
      <c r="R733" s="92"/>
      <c r="S733" s="125"/>
      <c r="T733" s="44"/>
      <c r="U733" s="92"/>
      <c r="V733" s="44"/>
      <c r="W733" s="44"/>
      <c r="X733" s="92"/>
      <c r="Y733" s="44"/>
      <c r="Z733" s="44"/>
      <c r="AA733" s="91"/>
    </row>
    <row r="734" spans="1:27" x14ac:dyDescent="0.2">
      <c r="A734" s="41"/>
      <c r="B734" s="41"/>
      <c r="C734" s="94"/>
      <c r="D734" s="140"/>
      <c r="E734" s="41"/>
      <c r="F734" s="127"/>
      <c r="G734" s="127"/>
      <c r="H734" s="41"/>
      <c r="I734" s="95"/>
      <c r="J734" s="41"/>
      <c r="K734" s="41"/>
      <c r="L734" s="95"/>
      <c r="M734" s="128"/>
      <c r="N734" s="41"/>
      <c r="O734" s="42"/>
      <c r="P734" s="52"/>
      <c r="Q734" s="41"/>
      <c r="R734" s="42"/>
      <c r="S734" s="129"/>
      <c r="T734" s="41"/>
      <c r="U734" s="42"/>
      <c r="V734" s="41"/>
      <c r="W734" s="41"/>
      <c r="X734" s="42"/>
      <c r="Y734" s="41"/>
      <c r="Z734" s="41"/>
      <c r="AA734" s="94"/>
    </row>
    <row r="735" spans="1:27" x14ac:dyDescent="0.2">
      <c r="A735" s="44"/>
      <c r="B735" s="44"/>
      <c r="C735" s="91"/>
      <c r="D735" s="139"/>
      <c r="E735" s="44"/>
      <c r="F735" s="122"/>
      <c r="G735" s="123"/>
      <c r="H735" s="44"/>
      <c r="I735" s="93"/>
      <c r="J735" s="44"/>
      <c r="K735" s="44"/>
      <c r="L735" s="93"/>
      <c r="M735" s="124"/>
      <c r="N735" s="44"/>
      <c r="O735" s="92"/>
      <c r="P735" s="110"/>
      <c r="Q735" s="44"/>
      <c r="R735" s="92"/>
      <c r="S735" s="125"/>
      <c r="T735" s="44"/>
      <c r="U735" s="92"/>
      <c r="V735" s="44"/>
      <c r="W735" s="44"/>
      <c r="X735" s="92"/>
      <c r="Y735" s="44"/>
      <c r="Z735" s="44"/>
      <c r="AA735" s="91"/>
    </row>
    <row r="736" spans="1:27" x14ac:dyDescent="0.2">
      <c r="A736" s="41"/>
      <c r="B736" s="41"/>
      <c r="C736" s="94"/>
      <c r="D736" s="140"/>
      <c r="E736" s="41"/>
      <c r="F736" s="126"/>
      <c r="G736" s="127"/>
      <c r="H736" s="41"/>
      <c r="I736" s="95"/>
      <c r="J736" s="41"/>
      <c r="K736" s="41"/>
      <c r="L736" s="95"/>
      <c r="M736" s="128"/>
      <c r="N736" s="41"/>
      <c r="O736" s="42"/>
      <c r="P736" s="52"/>
      <c r="Q736" s="41"/>
      <c r="R736" s="42"/>
      <c r="S736" s="129"/>
      <c r="T736" s="41"/>
      <c r="U736" s="42"/>
      <c r="V736" s="41"/>
      <c r="W736" s="41"/>
      <c r="X736" s="42"/>
      <c r="Y736" s="41"/>
      <c r="Z736" s="41"/>
      <c r="AA736" s="94"/>
    </row>
    <row r="737" spans="1:27" x14ac:dyDescent="0.2">
      <c r="A737" s="44"/>
      <c r="B737" s="44"/>
      <c r="C737" s="91"/>
      <c r="D737" s="139"/>
      <c r="E737" s="44"/>
      <c r="F737" s="122"/>
      <c r="G737" s="123"/>
      <c r="H737" s="44"/>
      <c r="I737" s="93"/>
      <c r="J737" s="44"/>
      <c r="K737" s="44"/>
      <c r="L737" s="93"/>
      <c r="M737" s="124"/>
      <c r="N737" s="44"/>
      <c r="O737" s="92"/>
      <c r="P737" s="110"/>
      <c r="Q737" s="44"/>
      <c r="R737" s="92"/>
      <c r="S737" s="125"/>
      <c r="T737" s="44"/>
      <c r="U737" s="92"/>
      <c r="V737" s="44"/>
      <c r="W737" s="44"/>
      <c r="X737" s="92"/>
      <c r="Y737" s="44"/>
      <c r="Z737" s="44"/>
      <c r="AA737" s="91"/>
    </row>
    <row r="738" spans="1:27" x14ac:dyDescent="0.2">
      <c r="A738" s="41"/>
      <c r="B738" s="41"/>
      <c r="C738" s="94"/>
      <c r="D738" s="140"/>
      <c r="E738" s="41"/>
      <c r="F738" s="126"/>
      <c r="G738" s="127"/>
      <c r="H738" s="41"/>
      <c r="I738" s="95"/>
      <c r="J738" s="41"/>
      <c r="K738" s="41"/>
      <c r="L738" s="95"/>
      <c r="M738" s="128"/>
      <c r="N738" s="41"/>
      <c r="O738" s="42"/>
      <c r="P738" s="52"/>
      <c r="Q738" s="41"/>
      <c r="R738" s="42"/>
      <c r="S738" s="129"/>
      <c r="T738" s="41"/>
      <c r="U738" s="42"/>
      <c r="V738" s="41"/>
      <c r="W738" s="41"/>
      <c r="X738" s="42"/>
      <c r="Y738" s="41"/>
      <c r="Z738" s="41"/>
      <c r="AA738" s="94"/>
    </row>
    <row r="739" spans="1:27" x14ac:dyDescent="0.2">
      <c r="A739" s="44"/>
      <c r="B739" s="44"/>
      <c r="C739" s="91"/>
      <c r="D739" s="139"/>
      <c r="E739" s="44"/>
      <c r="F739" s="122"/>
      <c r="G739" s="123"/>
      <c r="H739" s="44"/>
      <c r="I739" s="93"/>
      <c r="J739" s="44"/>
      <c r="K739" s="44"/>
      <c r="L739" s="93"/>
      <c r="M739" s="124"/>
      <c r="N739" s="44"/>
      <c r="O739" s="92"/>
      <c r="P739" s="110"/>
      <c r="Q739" s="44"/>
      <c r="R739" s="92"/>
      <c r="S739" s="125"/>
      <c r="T739" s="44"/>
      <c r="U739" s="92"/>
      <c r="V739" s="44"/>
      <c r="W739" s="44"/>
      <c r="X739" s="92"/>
      <c r="Y739" s="44"/>
      <c r="Z739" s="44"/>
      <c r="AA739" s="91"/>
    </row>
    <row r="740" spans="1:27" x14ac:dyDescent="0.2">
      <c r="A740" s="41"/>
      <c r="B740" s="41"/>
      <c r="C740" s="94"/>
      <c r="D740" s="140"/>
      <c r="E740" s="41"/>
      <c r="F740" s="126"/>
      <c r="G740" s="127"/>
      <c r="H740" s="41"/>
      <c r="I740" s="95"/>
      <c r="J740" s="41"/>
      <c r="K740" s="41"/>
      <c r="L740" s="95"/>
      <c r="M740" s="128"/>
      <c r="N740" s="41"/>
      <c r="O740" s="42"/>
      <c r="P740" s="52"/>
      <c r="Q740" s="41"/>
      <c r="R740" s="42"/>
      <c r="S740" s="129"/>
      <c r="T740" s="41"/>
      <c r="U740" s="42"/>
      <c r="V740" s="41"/>
      <c r="W740" s="41"/>
      <c r="X740" s="42"/>
      <c r="Y740" s="41"/>
      <c r="Z740" s="41"/>
      <c r="AA740" s="94"/>
    </row>
    <row r="741" spans="1:27" x14ac:dyDescent="0.2">
      <c r="A741" s="44"/>
      <c r="B741" s="44"/>
      <c r="C741" s="91"/>
      <c r="D741" s="139"/>
      <c r="E741" s="44"/>
      <c r="F741" s="122"/>
      <c r="G741" s="123"/>
      <c r="H741" s="44"/>
      <c r="I741" s="93"/>
      <c r="J741" s="44"/>
      <c r="K741" s="44"/>
      <c r="L741" s="93"/>
      <c r="M741" s="124"/>
      <c r="N741" s="44"/>
      <c r="O741" s="92"/>
      <c r="P741" s="110"/>
      <c r="Q741" s="44"/>
      <c r="R741" s="92"/>
      <c r="S741" s="125"/>
      <c r="T741" s="44"/>
      <c r="U741" s="92"/>
      <c r="V741" s="44"/>
      <c r="W741" s="44"/>
      <c r="X741" s="92"/>
      <c r="Y741" s="44"/>
      <c r="Z741" s="44"/>
      <c r="AA741" s="91"/>
    </row>
    <row r="742" spans="1:27" x14ac:dyDescent="0.2">
      <c r="A742" s="96"/>
      <c r="B742" s="44"/>
      <c r="C742" s="91"/>
      <c r="D742" s="139"/>
      <c r="E742" s="44"/>
      <c r="F742" s="122"/>
      <c r="G742" s="123"/>
      <c r="H742" s="44"/>
      <c r="I742" s="93"/>
      <c r="J742" s="44"/>
      <c r="K742" s="44"/>
      <c r="L742" s="93"/>
      <c r="M742" s="124"/>
      <c r="N742" s="44"/>
      <c r="O742" s="92"/>
      <c r="P742" s="110"/>
      <c r="Q742" s="44"/>
      <c r="R742" s="92"/>
      <c r="S742" s="125"/>
      <c r="T742" s="44"/>
      <c r="U742" s="92"/>
      <c r="V742" s="44"/>
      <c r="W742" s="44"/>
      <c r="X742" s="92"/>
      <c r="Y742" s="96"/>
      <c r="Z742" s="44"/>
      <c r="AA742" s="91"/>
    </row>
    <row r="743" spans="1:27" x14ac:dyDescent="0.2">
      <c r="A743" s="97"/>
      <c r="B743" s="41"/>
      <c r="C743" s="94"/>
      <c r="D743" s="140"/>
      <c r="E743" s="41"/>
      <c r="F743" s="126"/>
      <c r="G743" s="127"/>
      <c r="H743" s="41"/>
      <c r="I743" s="95"/>
      <c r="J743" s="41"/>
      <c r="K743" s="41"/>
      <c r="L743" s="95"/>
      <c r="M743" s="128"/>
      <c r="N743" s="41"/>
      <c r="O743" s="42"/>
      <c r="P743" s="52"/>
      <c r="Q743" s="41"/>
      <c r="R743" s="42"/>
      <c r="S743" s="129"/>
      <c r="T743" s="41"/>
      <c r="U743" s="42"/>
      <c r="V743" s="41"/>
      <c r="W743" s="41"/>
      <c r="X743" s="42"/>
      <c r="Y743" s="97"/>
      <c r="Z743" s="41"/>
      <c r="AA743" s="94"/>
    </row>
    <row r="744" spans="1:27" x14ac:dyDescent="0.2">
      <c r="A744" s="96"/>
      <c r="B744" s="44"/>
      <c r="C744" s="91"/>
      <c r="D744" s="139"/>
      <c r="E744" s="44"/>
      <c r="F744" s="122"/>
      <c r="G744" s="123"/>
      <c r="H744" s="44"/>
      <c r="I744" s="93"/>
      <c r="J744" s="44"/>
      <c r="K744" s="44"/>
      <c r="L744" s="93"/>
      <c r="M744" s="124"/>
      <c r="N744" s="44"/>
      <c r="O744" s="92"/>
      <c r="P744" s="110"/>
      <c r="Q744" s="44"/>
      <c r="R744" s="92"/>
      <c r="S744" s="125"/>
      <c r="T744" s="44"/>
      <c r="U744" s="92"/>
      <c r="V744" s="44"/>
      <c r="W744" s="44"/>
      <c r="X744" s="92"/>
      <c r="Y744" s="96"/>
      <c r="Z744" s="44"/>
      <c r="AA744" s="91"/>
    </row>
    <row r="745" spans="1:27" x14ac:dyDescent="0.2">
      <c r="A745" s="97"/>
      <c r="B745" s="41"/>
      <c r="C745" s="94"/>
      <c r="D745" s="140"/>
      <c r="E745" s="41"/>
      <c r="F745" s="126"/>
      <c r="G745" s="127"/>
      <c r="H745" s="41"/>
      <c r="I745" s="95"/>
      <c r="J745" s="41"/>
      <c r="K745" s="41"/>
      <c r="L745" s="95"/>
      <c r="M745" s="128"/>
      <c r="N745" s="41"/>
      <c r="O745" s="42"/>
      <c r="P745" s="52"/>
      <c r="Q745" s="41"/>
      <c r="R745" s="42"/>
      <c r="S745" s="129"/>
      <c r="T745" s="41"/>
      <c r="U745" s="42"/>
      <c r="V745" s="41"/>
      <c r="W745" s="41"/>
      <c r="X745" s="42"/>
      <c r="Y745" s="97"/>
      <c r="Z745" s="41"/>
      <c r="AA745" s="94"/>
    </row>
    <row r="746" spans="1:27" x14ac:dyDescent="0.2">
      <c r="A746" s="97"/>
      <c r="B746" s="41"/>
      <c r="C746" s="94"/>
      <c r="D746" s="140"/>
      <c r="E746" s="41"/>
      <c r="F746" s="126"/>
      <c r="G746" s="127"/>
      <c r="H746" s="41"/>
      <c r="I746" s="95"/>
      <c r="J746" s="41"/>
      <c r="K746" s="41"/>
      <c r="L746" s="95"/>
      <c r="M746" s="128"/>
      <c r="N746" s="41"/>
      <c r="O746" s="42"/>
      <c r="P746" s="52"/>
      <c r="Q746" s="41"/>
      <c r="R746" s="42"/>
      <c r="S746" s="129"/>
      <c r="T746" s="41"/>
      <c r="U746" s="42"/>
      <c r="V746" s="41"/>
      <c r="W746" s="41"/>
      <c r="X746" s="42"/>
      <c r="Y746" s="97"/>
      <c r="Z746" s="41"/>
      <c r="AA746" s="94"/>
    </row>
    <row r="747" spans="1:27" x14ac:dyDescent="0.2">
      <c r="A747" s="97"/>
      <c r="B747" s="41"/>
      <c r="C747" s="94"/>
      <c r="D747" s="140"/>
      <c r="E747" s="41"/>
      <c r="F747" s="126"/>
      <c r="G747" s="127"/>
      <c r="H747" s="41"/>
      <c r="I747" s="95"/>
      <c r="J747" s="41"/>
      <c r="K747" s="41"/>
      <c r="L747" s="95"/>
      <c r="M747" s="128"/>
      <c r="N747" s="41"/>
      <c r="O747" s="42"/>
      <c r="P747" s="52"/>
      <c r="Q747" s="41"/>
      <c r="R747" s="42"/>
      <c r="S747" s="129"/>
      <c r="T747" s="41"/>
      <c r="U747" s="42"/>
      <c r="V747" s="41"/>
      <c r="W747" s="41"/>
      <c r="X747" s="42"/>
      <c r="Y747" s="97"/>
      <c r="Z747" s="41"/>
      <c r="AA747" s="94"/>
    </row>
    <row r="748" spans="1:27" x14ac:dyDescent="0.2">
      <c r="A748" s="97"/>
      <c r="B748" s="41"/>
      <c r="C748" s="94"/>
      <c r="D748" s="140"/>
      <c r="E748" s="41"/>
      <c r="F748" s="126"/>
      <c r="G748" s="127"/>
      <c r="H748" s="41"/>
      <c r="I748" s="95"/>
      <c r="J748" s="41"/>
      <c r="K748" s="41"/>
      <c r="L748" s="95"/>
      <c r="M748" s="128"/>
      <c r="N748" s="41"/>
      <c r="O748" s="42"/>
      <c r="P748" s="52"/>
      <c r="Q748" s="41"/>
      <c r="R748" s="42"/>
      <c r="S748" s="129"/>
      <c r="T748" s="41"/>
      <c r="U748" s="42"/>
      <c r="V748" s="41"/>
      <c r="W748" s="41"/>
      <c r="X748" s="42"/>
      <c r="Y748" s="97"/>
      <c r="Z748" s="41"/>
      <c r="AA748" s="94"/>
    </row>
    <row r="749" spans="1:27" x14ac:dyDescent="0.2">
      <c r="A749" s="96"/>
      <c r="B749" s="44"/>
      <c r="C749" s="91"/>
      <c r="D749" s="139"/>
      <c r="E749" s="44"/>
      <c r="F749" s="122"/>
      <c r="G749" s="123"/>
      <c r="H749" s="44"/>
      <c r="I749" s="93"/>
      <c r="J749" s="44"/>
      <c r="K749" s="44"/>
      <c r="L749" s="93"/>
      <c r="M749" s="124"/>
      <c r="N749" s="44"/>
      <c r="O749" s="92"/>
      <c r="P749" s="110"/>
      <c r="Q749" s="44"/>
      <c r="R749" s="92"/>
      <c r="S749" s="125"/>
      <c r="T749" s="44"/>
      <c r="U749" s="92"/>
      <c r="V749" s="44"/>
      <c r="W749" s="44"/>
      <c r="X749" s="92"/>
      <c r="Y749" s="96"/>
      <c r="Z749" s="44"/>
      <c r="AA749" s="91"/>
    </row>
    <row r="750" spans="1:27" x14ac:dyDescent="0.2">
      <c r="A750" s="96"/>
      <c r="B750" s="44"/>
      <c r="C750" s="91"/>
      <c r="D750" s="139"/>
      <c r="E750" s="44"/>
      <c r="F750" s="122"/>
      <c r="G750" s="123"/>
      <c r="H750" s="44"/>
      <c r="I750" s="93"/>
      <c r="J750" s="44"/>
      <c r="K750" s="44"/>
      <c r="L750" s="93"/>
      <c r="M750" s="124"/>
      <c r="N750" s="44"/>
      <c r="O750" s="92"/>
      <c r="P750" s="110"/>
      <c r="Q750" s="44"/>
      <c r="R750" s="92"/>
      <c r="S750" s="125"/>
      <c r="T750" s="44"/>
      <c r="U750" s="92"/>
      <c r="V750" s="44"/>
      <c r="W750" s="44"/>
      <c r="X750" s="92"/>
      <c r="Y750" s="96"/>
      <c r="Z750" s="44"/>
      <c r="AA750" s="91"/>
    </row>
    <row r="751" spans="1:27" x14ac:dyDescent="0.2">
      <c r="A751" s="96"/>
      <c r="B751" s="44"/>
      <c r="C751" s="91"/>
      <c r="D751" s="139"/>
      <c r="E751" s="44"/>
      <c r="F751" s="122"/>
      <c r="G751" s="123"/>
      <c r="H751" s="44"/>
      <c r="I751" s="93"/>
      <c r="J751" s="44"/>
      <c r="K751" s="44"/>
      <c r="L751" s="93"/>
      <c r="M751" s="124"/>
      <c r="N751" s="44"/>
      <c r="O751" s="92"/>
      <c r="P751" s="110"/>
      <c r="Q751" s="44"/>
      <c r="R751" s="92"/>
      <c r="S751" s="125"/>
      <c r="T751" s="44"/>
      <c r="U751" s="92"/>
      <c r="V751" s="44"/>
      <c r="W751" s="44"/>
      <c r="X751" s="92"/>
      <c r="Y751" s="96"/>
      <c r="Z751" s="44"/>
      <c r="AA751" s="91"/>
    </row>
    <row r="752" spans="1:27" x14ac:dyDescent="0.2">
      <c r="A752" s="96"/>
      <c r="B752" s="44"/>
      <c r="C752" s="91"/>
      <c r="D752" s="139"/>
      <c r="E752" s="44"/>
      <c r="F752" s="122"/>
      <c r="G752" s="123"/>
      <c r="H752" s="44"/>
      <c r="I752" s="93"/>
      <c r="J752" s="44"/>
      <c r="K752" s="44"/>
      <c r="L752" s="93"/>
      <c r="M752" s="124"/>
      <c r="N752" s="44"/>
      <c r="O752" s="92"/>
      <c r="P752" s="110"/>
      <c r="Q752" s="44"/>
      <c r="R752" s="92"/>
      <c r="S752" s="125"/>
      <c r="T752" s="44"/>
      <c r="U752" s="92"/>
      <c r="V752" s="44"/>
      <c r="W752" s="44"/>
      <c r="X752" s="92"/>
      <c r="Y752" s="96"/>
      <c r="Z752" s="44"/>
      <c r="AA752" s="91"/>
    </row>
    <row r="753" spans="1:27" x14ac:dyDescent="0.2">
      <c r="A753" s="96"/>
      <c r="B753" s="44"/>
      <c r="C753" s="91"/>
      <c r="D753" s="139"/>
      <c r="E753" s="44"/>
      <c r="F753" s="122"/>
      <c r="G753" s="123"/>
      <c r="H753" s="44"/>
      <c r="I753" s="93"/>
      <c r="J753" s="44"/>
      <c r="K753" s="44"/>
      <c r="L753" s="93"/>
      <c r="M753" s="124"/>
      <c r="N753" s="44"/>
      <c r="O753" s="92"/>
      <c r="P753" s="110"/>
      <c r="Q753" s="44"/>
      <c r="R753" s="92"/>
      <c r="S753" s="125"/>
      <c r="T753" s="44"/>
      <c r="U753" s="92"/>
      <c r="V753" s="44"/>
      <c r="W753" s="44"/>
      <c r="X753" s="92"/>
      <c r="Y753" s="96"/>
      <c r="Z753" s="44"/>
      <c r="AA753" s="91"/>
    </row>
    <row r="754" spans="1:27" x14ac:dyDescent="0.2">
      <c r="A754" s="97"/>
      <c r="B754" s="41"/>
      <c r="C754" s="94"/>
      <c r="D754" s="140"/>
      <c r="E754" s="41"/>
      <c r="F754" s="126"/>
      <c r="G754" s="127"/>
      <c r="H754" s="41"/>
      <c r="I754" s="95"/>
      <c r="J754" s="41"/>
      <c r="K754" s="41"/>
      <c r="L754" s="95"/>
      <c r="M754" s="128"/>
      <c r="N754" s="41"/>
      <c r="O754" s="42"/>
      <c r="P754" s="52"/>
      <c r="Q754" s="41"/>
      <c r="R754" s="42"/>
      <c r="S754" s="129"/>
      <c r="T754" s="41"/>
      <c r="U754" s="42"/>
      <c r="V754" s="41"/>
      <c r="W754" s="41"/>
      <c r="X754" s="42"/>
      <c r="Y754" s="97"/>
      <c r="Z754" s="41"/>
      <c r="AA754" s="94"/>
    </row>
    <row r="755" spans="1:27" x14ac:dyDescent="0.2">
      <c r="A755" s="96"/>
      <c r="B755" s="44"/>
      <c r="C755" s="91"/>
      <c r="D755" s="139"/>
      <c r="E755" s="44"/>
      <c r="F755" s="122"/>
      <c r="G755" s="123"/>
      <c r="H755" s="44"/>
      <c r="I755" s="93"/>
      <c r="J755" s="44"/>
      <c r="K755" s="44"/>
      <c r="L755" s="93"/>
      <c r="M755" s="124"/>
      <c r="N755" s="44"/>
      <c r="O755" s="92"/>
      <c r="P755" s="110"/>
      <c r="Q755" s="44"/>
      <c r="R755" s="92"/>
      <c r="S755" s="125"/>
      <c r="T755" s="44"/>
      <c r="U755" s="92"/>
      <c r="V755" s="44"/>
      <c r="W755" s="44"/>
      <c r="X755" s="92"/>
      <c r="Y755" s="96"/>
      <c r="Z755" s="44"/>
      <c r="AA755" s="91"/>
    </row>
    <row r="756" spans="1:27" x14ac:dyDescent="0.2">
      <c r="A756" s="97"/>
      <c r="B756" s="41"/>
      <c r="C756" s="94"/>
      <c r="D756" s="140"/>
      <c r="E756" s="41"/>
      <c r="F756" s="126"/>
      <c r="G756" s="127"/>
      <c r="H756" s="41"/>
      <c r="I756" s="95"/>
      <c r="J756" s="41"/>
      <c r="K756" s="41"/>
      <c r="L756" s="95"/>
      <c r="M756" s="128"/>
      <c r="N756" s="41"/>
      <c r="O756" s="42"/>
      <c r="P756" s="52"/>
      <c r="Q756" s="41"/>
      <c r="R756" s="42"/>
      <c r="S756" s="129"/>
      <c r="T756" s="41"/>
      <c r="U756" s="42"/>
      <c r="V756" s="41"/>
      <c r="W756" s="41"/>
      <c r="X756" s="42"/>
      <c r="Y756" s="97"/>
      <c r="Z756" s="41"/>
      <c r="AA756" s="94"/>
    </row>
    <row r="757" spans="1:27" x14ac:dyDescent="0.2">
      <c r="A757" s="96"/>
      <c r="B757" s="44"/>
      <c r="C757" s="91"/>
      <c r="D757" s="139"/>
      <c r="E757" s="44"/>
      <c r="F757" s="122"/>
      <c r="G757" s="123"/>
      <c r="H757" s="44"/>
      <c r="I757" s="93"/>
      <c r="J757" s="44"/>
      <c r="K757" s="44"/>
      <c r="L757" s="93"/>
      <c r="M757" s="124"/>
      <c r="N757" s="44"/>
      <c r="O757" s="92"/>
      <c r="P757" s="110"/>
      <c r="Q757" s="44"/>
      <c r="R757" s="92"/>
      <c r="S757" s="125"/>
      <c r="T757" s="44"/>
      <c r="U757" s="92"/>
      <c r="V757" s="44"/>
      <c r="W757" s="44"/>
      <c r="X757" s="92"/>
      <c r="Y757" s="96"/>
      <c r="Z757" s="44"/>
      <c r="AA757" s="91"/>
    </row>
    <row r="758" spans="1:27" x14ac:dyDescent="0.2">
      <c r="A758" s="96"/>
      <c r="B758" s="44"/>
      <c r="C758" s="91"/>
      <c r="D758" s="139"/>
      <c r="E758" s="44"/>
      <c r="F758" s="122"/>
      <c r="G758" s="123"/>
      <c r="H758" s="44"/>
      <c r="I758" s="93"/>
      <c r="J758" s="44"/>
      <c r="K758" s="44"/>
      <c r="L758" s="93"/>
      <c r="M758" s="124"/>
      <c r="N758" s="44"/>
      <c r="O758" s="92"/>
      <c r="P758" s="110"/>
      <c r="Q758" s="44"/>
      <c r="R758" s="92"/>
      <c r="S758" s="125"/>
      <c r="T758" s="44"/>
      <c r="U758" s="92"/>
      <c r="V758" s="44"/>
      <c r="W758" s="44"/>
      <c r="X758" s="92"/>
      <c r="Y758" s="96"/>
      <c r="Z758" s="44"/>
      <c r="AA758" s="91"/>
    </row>
    <row r="759" spans="1:27" x14ac:dyDescent="0.2">
      <c r="A759" s="97"/>
      <c r="B759" s="41"/>
      <c r="C759" s="94"/>
      <c r="D759" s="140"/>
      <c r="E759" s="41"/>
      <c r="F759" s="126"/>
      <c r="G759" s="127"/>
      <c r="H759" s="41"/>
      <c r="I759" s="95"/>
      <c r="J759" s="41"/>
      <c r="K759" s="41"/>
      <c r="L759" s="95"/>
      <c r="M759" s="128"/>
      <c r="N759" s="41"/>
      <c r="O759" s="42"/>
      <c r="P759" s="52"/>
      <c r="Q759" s="41"/>
      <c r="R759" s="42"/>
      <c r="S759" s="129"/>
      <c r="T759" s="41"/>
      <c r="U759" s="42"/>
      <c r="V759" s="41"/>
      <c r="W759" s="41"/>
      <c r="X759" s="42"/>
      <c r="Y759" s="97"/>
      <c r="Z759" s="41"/>
      <c r="AA759" s="94"/>
    </row>
    <row r="760" spans="1:27" x14ac:dyDescent="0.2">
      <c r="A760" s="96"/>
      <c r="B760" s="44"/>
      <c r="C760" s="91"/>
      <c r="D760" s="139"/>
      <c r="E760" s="44"/>
      <c r="F760" s="122"/>
      <c r="G760" s="123"/>
      <c r="H760" s="44"/>
      <c r="I760" s="93"/>
      <c r="J760" s="44"/>
      <c r="K760" s="44"/>
      <c r="L760" s="93"/>
      <c r="M760" s="124"/>
      <c r="N760" s="44"/>
      <c r="O760" s="92"/>
      <c r="P760" s="110"/>
      <c r="Q760" s="44"/>
      <c r="R760" s="92"/>
      <c r="S760" s="125"/>
      <c r="T760" s="44"/>
      <c r="U760" s="92"/>
      <c r="V760" s="44"/>
      <c r="W760" s="44"/>
      <c r="X760" s="92"/>
      <c r="Y760" s="96"/>
      <c r="Z760" s="44"/>
      <c r="AA760" s="91"/>
    </row>
    <row r="761" spans="1:27" x14ac:dyDescent="0.2">
      <c r="A761" s="96"/>
      <c r="B761" s="44"/>
      <c r="C761" s="91"/>
      <c r="D761" s="139"/>
      <c r="E761" s="44"/>
      <c r="F761" s="122"/>
      <c r="G761" s="123"/>
      <c r="H761" s="44"/>
      <c r="I761" s="93"/>
      <c r="J761" s="44"/>
      <c r="K761" s="44"/>
      <c r="L761" s="93"/>
      <c r="M761" s="124"/>
      <c r="N761" s="44"/>
      <c r="O761" s="92"/>
      <c r="P761" s="110"/>
      <c r="Q761" s="44"/>
      <c r="R761" s="92"/>
      <c r="S761" s="125"/>
      <c r="T761" s="44"/>
      <c r="U761" s="92"/>
      <c r="V761" s="44"/>
      <c r="W761" s="44"/>
      <c r="X761" s="92"/>
      <c r="Y761" s="96"/>
      <c r="Z761" s="44"/>
      <c r="AA761" s="91"/>
    </row>
    <row r="762" spans="1:27" x14ac:dyDescent="0.2">
      <c r="A762" s="97"/>
      <c r="B762" s="41"/>
      <c r="C762" s="94"/>
      <c r="D762" s="140"/>
      <c r="E762" s="41"/>
      <c r="F762" s="126"/>
      <c r="G762" s="127"/>
      <c r="H762" s="41"/>
      <c r="I762" s="95"/>
      <c r="J762" s="41"/>
      <c r="K762" s="41"/>
      <c r="L762" s="95"/>
      <c r="M762" s="128"/>
      <c r="N762" s="41"/>
      <c r="O762" s="42"/>
      <c r="P762" s="52"/>
      <c r="Q762" s="41"/>
      <c r="R762" s="42"/>
      <c r="S762" s="129"/>
      <c r="T762" s="41"/>
      <c r="U762" s="42"/>
      <c r="V762" s="41"/>
      <c r="W762" s="41"/>
      <c r="X762" s="42"/>
      <c r="Y762" s="97"/>
      <c r="Z762" s="41"/>
      <c r="AA762" s="94"/>
    </row>
    <row r="763" spans="1:27" x14ac:dyDescent="0.2">
      <c r="A763" s="97"/>
      <c r="B763" s="41"/>
      <c r="C763" s="94"/>
      <c r="D763" s="140"/>
      <c r="E763" s="41"/>
      <c r="F763" s="126"/>
      <c r="G763" s="127"/>
      <c r="H763" s="41"/>
      <c r="I763" s="95"/>
      <c r="J763" s="41"/>
      <c r="K763" s="41"/>
      <c r="L763" s="95"/>
      <c r="M763" s="128"/>
      <c r="N763" s="41"/>
      <c r="O763" s="42"/>
      <c r="P763" s="52"/>
      <c r="Q763" s="41"/>
      <c r="R763" s="42"/>
      <c r="S763" s="129"/>
      <c r="T763" s="41"/>
      <c r="U763" s="42"/>
      <c r="V763" s="41"/>
      <c r="W763" s="41"/>
      <c r="X763" s="42"/>
      <c r="Y763" s="97"/>
      <c r="Z763" s="41"/>
      <c r="AA763" s="94"/>
    </row>
    <row r="764" spans="1:27" x14ac:dyDescent="0.2">
      <c r="A764" s="96"/>
      <c r="B764" s="44"/>
      <c r="C764" s="91"/>
      <c r="D764" s="139"/>
      <c r="E764" s="44"/>
      <c r="F764" s="122"/>
      <c r="G764" s="123"/>
      <c r="H764" s="44"/>
      <c r="I764" s="93"/>
      <c r="J764" s="44"/>
      <c r="K764" s="44"/>
      <c r="L764" s="93"/>
      <c r="M764" s="124"/>
      <c r="N764" s="44"/>
      <c r="O764" s="92"/>
      <c r="P764" s="110"/>
      <c r="Q764" s="44"/>
      <c r="R764" s="92"/>
      <c r="S764" s="125"/>
      <c r="T764" s="44"/>
      <c r="U764" s="92"/>
      <c r="V764" s="44"/>
      <c r="W764" s="44"/>
      <c r="X764" s="92"/>
      <c r="Y764" s="96"/>
      <c r="Z764" s="44"/>
      <c r="AA764" s="91"/>
    </row>
    <row r="765" spans="1:27" x14ac:dyDescent="0.2">
      <c r="A765" s="96"/>
      <c r="B765" s="44"/>
      <c r="C765" s="91"/>
      <c r="D765" s="139"/>
      <c r="E765" s="44"/>
      <c r="F765" s="122"/>
      <c r="G765" s="123"/>
      <c r="H765" s="44"/>
      <c r="I765" s="93"/>
      <c r="J765" s="44"/>
      <c r="K765" s="44"/>
      <c r="L765" s="93"/>
      <c r="M765" s="124"/>
      <c r="N765" s="44"/>
      <c r="O765" s="92"/>
      <c r="P765" s="110"/>
      <c r="Q765" s="44"/>
      <c r="R765" s="92"/>
      <c r="S765" s="125"/>
      <c r="T765" s="44"/>
      <c r="U765" s="92"/>
      <c r="V765" s="44"/>
      <c r="W765" s="44"/>
      <c r="X765" s="92"/>
      <c r="Y765" s="96"/>
      <c r="Z765" s="44"/>
      <c r="AA765" s="91"/>
    </row>
    <row r="766" spans="1:27" x14ac:dyDescent="0.2">
      <c r="A766" s="97"/>
      <c r="B766" s="41"/>
      <c r="C766" s="94"/>
      <c r="D766" s="140"/>
      <c r="E766" s="41"/>
      <c r="F766" s="126"/>
      <c r="G766" s="127"/>
      <c r="H766" s="41"/>
      <c r="I766" s="95"/>
      <c r="J766" s="41"/>
      <c r="K766" s="41"/>
      <c r="L766" s="95"/>
      <c r="M766" s="128"/>
      <c r="N766" s="41"/>
      <c r="O766" s="42"/>
      <c r="P766" s="52"/>
      <c r="Q766" s="41"/>
      <c r="R766" s="42"/>
      <c r="S766" s="129"/>
      <c r="T766" s="41"/>
      <c r="U766" s="42"/>
      <c r="V766" s="41"/>
      <c r="W766" s="41"/>
      <c r="X766" s="42"/>
      <c r="Y766" s="97"/>
      <c r="Z766" s="41"/>
      <c r="AA766" s="94"/>
    </row>
    <row r="767" spans="1:27" x14ac:dyDescent="0.2">
      <c r="A767" s="87"/>
      <c r="B767" s="87"/>
      <c r="C767" s="88"/>
      <c r="D767" s="138"/>
      <c r="E767" s="87"/>
      <c r="F767" s="118"/>
      <c r="G767" s="119"/>
      <c r="H767" s="87"/>
      <c r="I767" s="90"/>
      <c r="J767" s="87"/>
      <c r="K767" s="87"/>
      <c r="L767" s="90"/>
      <c r="M767" s="120"/>
      <c r="N767" s="87"/>
      <c r="O767" s="89"/>
      <c r="P767" s="130"/>
      <c r="Q767" s="87"/>
      <c r="R767" s="89"/>
      <c r="S767" s="121"/>
      <c r="T767" s="87"/>
      <c r="U767" s="89"/>
      <c r="V767" s="87"/>
      <c r="W767" s="87"/>
      <c r="X767" s="89"/>
      <c r="Y767" s="87"/>
      <c r="Z767" s="87"/>
      <c r="AA767" s="88"/>
    </row>
    <row r="768" spans="1:27" x14ac:dyDescent="0.2">
      <c r="A768" s="44"/>
      <c r="B768" s="44"/>
      <c r="C768" s="91"/>
      <c r="D768" s="139"/>
      <c r="E768" s="44"/>
      <c r="F768" s="122"/>
      <c r="G768" s="123"/>
      <c r="H768" s="44"/>
      <c r="I768" s="93"/>
      <c r="J768" s="44"/>
      <c r="K768" s="44"/>
      <c r="L768" s="93"/>
      <c r="M768" s="124"/>
      <c r="N768" s="44"/>
      <c r="O768" s="92"/>
      <c r="P768" s="110"/>
      <c r="Q768" s="44"/>
      <c r="R768" s="92"/>
      <c r="S768" s="125"/>
      <c r="T768" s="44"/>
      <c r="U768" s="92"/>
      <c r="V768" s="44"/>
      <c r="W768" s="44"/>
      <c r="X768" s="92"/>
      <c r="Y768" s="44"/>
      <c r="Z768" s="44"/>
      <c r="AA768" s="91"/>
    </row>
    <row r="769" spans="1:27" x14ac:dyDescent="0.2">
      <c r="A769" s="41"/>
      <c r="B769" s="41"/>
      <c r="C769" s="94"/>
      <c r="D769" s="140"/>
      <c r="E769" s="41"/>
      <c r="F769" s="126"/>
      <c r="G769" s="127"/>
      <c r="H769" s="41"/>
      <c r="I769" s="95"/>
      <c r="J769" s="41"/>
      <c r="K769" s="41"/>
      <c r="L769" s="95"/>
      <c r="M769" s="128"/>
      <c r="N769" s="41"/>
      <c r="O769" s="42"/>
      <c r="P769" s="52"/>
      <c r="Q769" s="41"/>
      <c r="R769" s="42"/>
      <c r="S769" s="129"/>
      <c r="T769" s="41"/>
      <c r="U769" s="42"/>
      <c r="V769" s="41"/>
      <c r="W769" s="41"/>
      <c r="X769" s="42"/>
      <c r="Y769" s="41"/>
      <c r="Z769" s="41"/>
      <c r="AA769" s="94"/>
    </row>
    <row r="770" spans="1:27" x14ac:dyDescent="0.2">
      <c r="A770" s="44"/>
      <c r="B770" s="44"/>
      <c r="C770" s="91"/>
      <c r="D770" s="139"/>
      <c r="E770" s="44"/>
      <c r="F770" s="122"/>
      <c r="G770" s="123"/>
      <c r="H770" s="44"/>
      <c r="I770" s="93"/>
      <c r="J770" s="44"/>
      <c r="K770" s="44"/>
      <c r="L770" s="93"/>
      <c r="M770" s="124"/>
      <c r="N770" s="44"/>
      <c r="O770" s="92"/>
      <c r="P770" s="110"/>
      <c r="Q770" s="44"/>
      <c r="R770" s="92"/>
      <c r="S770" s="125"/>
      <c r="T770" s="44"/>
      <c r="U770" s="92"/>
      <c r="V770" s="44"/>
      <c r="W770" s="44"/>
      <c r="X770" s="92"/>
      <c r="Y770" s="44"/>
      <c r="Z770" s="44"/>
      <c r="AA770" s="91"/>
    </row>
    <row r="771" spans="1:27" x14ac:dyDescent="0.2">
      <c r="A771" s="87"/>
      <c r="B771" s="87"/>
      <c r="C771" s="88"/>
      <c r="D771" s="138"/>
      <c r="E771" s="87"/>
      <c r="F771" s="118"/>
      <c r="G771" s="119"/>
      <c r="H771" s="87"/>
      <c r="I771" s="90"/>
      <c r="J771" s="87"/>
      <c r="K771" s="87"/>
      <c r="L771" s="90"/>
      <c r="M771" s="120"/>
      <c r="N771" s="87"/>
      <c r="O771" s="89"/>
      <c r="P771" s="87"/>
      <c r="Q771" s="87"/>
      <c r="R771" s="89"/>
      <c r="S771" s="121"/>
      <c r="T771" s="87"/>
      <c r="U771" s="89"/>
      <c r="V771" s="87"/>
      <c r="W771" s="87"/>
      <c r="X771" s="89"/>
      <c r="Y771" s="87"/>
      <c r="Z771" s="87"/>
      <c r="AA771" s="88"/>
    </row>
    <row r="772" spans="1:27" x14ac:dyDescent="0.2">
      <c r="A772" s="44"/>
      <c r="B772" s="44"/>
      <c r="C772" s="91"/>
      <c r="D772" s="139"/>
      <c r="E772" s="44"/>
      <c r="F772" s="122"/>
      <c r="G772" s="123"/>
      <c r="H772" s="44"/>
      <c r="I772" s="93"/>
      <c r="J772" s="44"/>
      <c r="K772" s="44"/>
      <c r="L772" s="93"/>
      <c r="M772" s="124"/>
      <c r="N772" s="44"/>
      <c r="O772" s="92"/>
      <c r="P772" s="110"/>
      <c r="Q772" s="44"/>
      <c r="R772" s="92"/>
      <c r="S772" s="125"/>
      <c r="T772" s="44"/>
      <c r="U772" s="92"/>
      <c r="V772" s="44"/>
      <c r="W772" s="44"/>
      <c r="X772" s="92"/>
      <c r="Y772" s="44"/>
      <c r="Z772" s="44"/>
      <c r="AA772" s="91"/>
    </row>
    <row r="773" spans="1:27" x14ac:dyDescent="0.2">
      <c r="A773" s="41"/>
      <c r="B773" s="41"/>
      <c r="C773" s="94"/>
      <c r="D773" s="140"/>
      <c r="E773" s="41"/>
      <c r="F773" s="126"/>
      <c r="G773" s="127"/>
      <c r="H773" s="41"/>
      <c r="I773" s="95"/>
      <c r="J773" s="41"/>
      <c r="K773" s="41"/>
      <c r="L773" s="95"/>
      <c r="M773" s="128"/>
      <c r="N773" s="41"/>
      <c r="O773" s="42"/>
      <c r="P773" s="52"/>
      <c r="Q773" s="41"/>
      <c r="R773" s="42"/>
      <c r="S773" s="129"/>
      <c r="T773" s="41"/>
      <c r="U773" s="42"/>
      <c r="V773" s="41"/>
      <c r="W773" s="41"/>
      <c r="X773" s="42"/>
      <c r="Y773" s="41"/>
      <c r="Z773" s="41"/>
      <c r="AA773" s="94"/>
    </row>
    <row r="774" spans="1:27" x14ac:dyDescent="0.2">
      <c r="A774" s="44"/>
      <c r="B774" s="44"/>
      <c r="C774" s="91"/>
      <c r="D774" s="139"/>
      <c r="E774" s="44"/>
      <c r="F774" s="122"/>
      <c r="G774" s="123"/>
      <c r="H774" s="44"/>
      <c r="I774" s="93"/>
      <c r="J774" s="44"/>
      <c r="K774" s="44"/>
      <c r="L774" s="93"/>
      <c r="M774" s="124"/>
      <c r="N774" s="44"/>
      <c r="O774" s="92"/>
      <c r="P774" s="110"/>
      <c r="Q774" s="44"/>
      <c r="R774" s="92"/>
      <c r="S774" s="125"/>
      <c r="T774" s="44"/>
      <c r="U774" s="92"/>
      <c r="V774" s="44"/>
      <c r="W774" s="44"/>
      <c r="X774" s="92"/>
      <c r="Y774" s="44"/>
      <c r="Z774" s="44"/>
      <c r="AA774" s="91"/>
    </row>
    <row r="775" spans="1:27" x14ac:dyDescent="0.2">
      <c r="A775" s="41"/>
      <c r="B775" s="41"/>
      <c r="C775" s="94"/>
      <c r="D775" s="140"/>
      <c r="E775" s="41"/>
      <c r="F775" s="126"/>
      <c r="G775" s="127"/>
      <c r="H775" s="41"/>
      <c r="I775" s="95"/>
      <c r="J775" s="41"/>
      <c r="K775" s="41"/>
      <c r="L775" s="95"/>
      <c r="M775" s="128"/>
      <c r="N775" s="41"/>
      <c r="O775" s="42"/>
      <c r="P775" s="52"/>
      <c r="Q775" s="41"/>
      <c r="R775" s="42"/>
      <c r="S775" s="129"/>
      <c r="T775" s="41"/>
      <c r="U775" s="42"/>
      <c r="V775" s="41"/>
      <c r="W775" s="41"/>
      <c r="X775" s="42"/>
      <c r="Y775" s="41"/>
      <c r="Z775" s="41"/>
      <c r="AA775" s="94"/>
    </row>
    <row r="776" spans="1:27" x14ac:dyDescent="0.2">
      <c r="A776" s="44"/>
      <c r="B776" s="44"/>
      <c r="C776" s="91"/>
      <c r="D776" s="139"/>
      <c r="E776" s="44"/>
      <c r="F776" s="122"/>
      <c r="G776" s="123"/>
      <c r="H776" s="44"/>
      <c r="I776" s="93"/>
      <c r="J776" s="44"/>
      <c r="K776" s="44"/>
      <c r="L776" s="93"/>
      <c r="M776" s="124"/>
      <c r="N776" s="44"/>
      <c r="O776" s="92"/>
      <c r="P776" s="110"/>
      <c r="Q776" s="44"/>
      <c r="R776" s="92"/>
      <c r="S776" s="125"/>
      <c r="T776" s="44"/>
      <c r="U776" s="92"/>
      <c r="V776" s="44"/>
      <c r="W776" s="44"/>
      <c r="X776" s="92"/>
      <c r="Y776" s="44"/>
      <c r="Z776" s="44"/>
      <c r="AA776" s="91"/>
    </row>
    <row r="777" spans="1:27" x14ac:dyDescent="0.2">
      <c r="A777" s="41"/>
      <c r="B777" s="41"/>
      <c r="C777" s="94"/>
      <c r="D777" s="140"/>
      <c r="E777" s="41"/>
      <c r="F777" s="126"/>
      <c r="G777" s="127"/>
      <c r="H777" s="41"/>
      <c r="I777" s="95"/>
      <c r="J777" s="41"/>
      <c r="K777" s="41"/>
      <c r="L777" s="95"/>
      <c r="M777" s="128"/>
      <c r="N777" s="41"/>
      <c r="O777" s="42"/>
      <c r="P777" s="52"/>
      <c r="Q777" s="41"/>
      <c r="R777" s="42"/>
      <c r="S777" s="129"/>
      <c r="T777" s="41"/>
      <c r="U777" s="42"/>
      <c r="V777" s="41"/>
      <c r="W777" s="41"/>
      <c r="X777" s="42"/>
      <c r="Y777" s="41"/>
      <c r="Z777" s="41"/>
      <c r="AA777" s="94"/>
    </row>
    <row r="778" spans="1:27" x14ac:dyDescent="0.2">
      <c r="A778" s="44"/>
      <c r="B778" s="44"/>
      <c r="C778" s="91"/>
      <c r="D778" s="139"/>
      <c r="E778" s="44"/>
      <c r="F778" s="122"/>
      <c r="G778" s="123"/>
      <c r="H778" s="44"/>
      <c r="I778" s="93"/>
      <c r="J778" s="44"/>
      <c r="K778" s="44"/>
      <c r="L778" s="93"/>
      <c r="M778" s="124"/>
      <c r="N778" s="44"/>
      <c r="O778" s="92"/>
      <c r="P778" s="110"/>
      <c r="Q778" s="44"/>
      <c r="R778" s="92"/>
      <c r="S778" s="125"/>
      <c r="T778" s="44"/>
      <c r="U778" s="92"/>
      <c r="V778" s="44"/>
      <c r="W778" s="44"/>
      <c r="X778" s="92"/>
      <c r="Y778" s="44"/>
      <c r="Z778" s="44"/>
      <c r="AA778" s="91"/>
    </row>
    <row r="779" spans="1:27" x14ac:dyDescent="0.2">
      <c r="A779" s="41"/>
      <c r="B779" s="41"/>
      <c r="C779" s="94"/>
      <c r="D779" s="140"/>
      <c r="E779" s="41"/>
      <c r="F779" s="126"/>
      <c r="G779" s="127"/>
      <c r="H779" s="41"/>
      <c r="I779" s="95"/>
      <c r="J779" s="41"/>
      <c r="K779" s="41"/>
      <c r="L779" s="95"/>
      <c r="M779" s="128"/>
      <c r="N779" s="41"/>
      <c r="O779" s="42"/>
      <c r="P779" s="52"/>
      <c r="Q779" s="41"/>
      <c r="R779" s="42"/>
      <c r="S779" s="129"/>
      <c r="T779" s="41"/>
      <c r="U779" s="42"/>
      <c r="V779" s="41"/>
      <c r="W779" s="41"/>
      <c r="X779" s="42"/>
      <c r="Y779" s="41"/>
      <c r="Z779" s="41"/>
      <c r="AA779" s="94"/>
    </row>
    <row r="780" spans="1:27" x14ac:dyDescent="0.2">
      <c r="A780" s="44"/>
      <c r="B780" s="44"/>
      <c r="C780" s="91"/>
      <c r="D780" s="139"/>
      <c r="E780" s="44"/>
      <c r="F780" s="122"/>
      <c r="G780" s="123"/>
      <c r="H780" s="44"/>
      <c r="I780" s="93"/>
      <c r="J780" s="44"/>
      <c r="K780" s="44"/>
      <c r="L780" s="93"/>
      <c r="M780" s="124"/>
      <c r="N780" s="44"/>
      <c r="O780" s="92"/>
      <c r="P780" s="110"/>
      <c r="Q780" s="44"/>
      <c r="R780" s="92"/>
      <c r="S780" s="125"/>
      <c r="T780" s="44"/>
      <c r="U780" s="92"/>
      <c r="V780" s="44"/>
      <c r="W780" s="44"/>
      <c r="X780" s="92"/>
      <c r="Y780" s="44"/>
      <c r="Z780" s="44"/>
      <c r="AA780" s="91"/>
    </row>
    <row r="781" spans="1:27" x14ac:dyDescent="0.2">
      <c r="A781" s="41"/>
      <c r="B781" s="41"/>
      <c r="C781" s="94"/>
      <c r="D781" s="140"/>
      <c r="E781" s="41"/>
      <c r="F781" s="126"/>
      <c r="G781" s="127"/>
      <c r="H781" s="41"/>
      <c r="I781" s="95"/>
      <c r="J781" s="41"/>
      <c r="K781" s="41"/>
      <c r="L781" s="95"/>
      <c r="M781" s="128"/>
      <c r="N781" s="41"/>
      <c r="O781" s="42"/>
      <c r="P781" s="52"/>
      <c r="Q781" s="41"/>
      <c r="R781" s="42"/>
      <c r="S781" s="129"/>
      <c r="T781" s="41"/>
      <c r="U781" s="42"/>
      <c r="V781" s="41"/>
      <c r="W781" s="41"/>
      <c r="X781" s="42"/>
      <c r="Y781" s="41"/>
      <c r="Z781" s="41"/>
      <c r="AA781" s="94"/>
    </row>
    <row r="782" spans="1:27" x14ac:dyDescent="0.2">
      <c r="A782" s="44"/>
      <c r="B782" s="44"/>
      <c r="C782" s="91"/>
      <c r="D782" s="139"/>
      <c r="E782" s="44"/>
      <c r="F782" s="122"/>
      <c r="G782" s="123"/>
      <c r="H782" s="44"/>
      <c r="I782" s="93"/>
      <c r="J782" s="44"/>
      <c r="K782" s="44"/>
      <c r="L782" s="93"/>
      <c r="M782" s="124"/>
      <c r="N782" s="44"/>
      <c r="O782" s="92"/>
      <c r="P782" s="110"/>
      <c r="Q782" s="44"/>
      <c r="R782" s="92"/>
      <c r="S782" s="125"/>
      <c r="T782" s="44"/>
      <c r="U782" s="92"/>
      <c r="V782" s="44"/>
      <c r="W782" s="44"/>
      <c r="X782" s="92"/>
      <c r="Y782" s="44"/>
      <c r="Z782" s="44"/>
      <c r="AA782" s="91"/>
    </row>
    <row r="783" spans="1:27" x14ac:dyDescent="0.2">
      <c r="A783" s="41"/>
      <c r="B783" s="41"/>
      <c r="C783" s="94"/>
      <c r="D783" s="140"/>
      <c r="E783" s="41"/>
      <c r="F783" s="126"/>
      <c r="G783" s="127"/>
      <c r="H783" s="41"/>
      <c r="I783" s="95"/>
      <c r="J783" s="41"/>
      <c r="K783" s="41"/>
      <c r="L783" s="95"/>
      <c r="M783" s="128"/>
      <c r="N783" s="41"/>
      <c r="O783" s="42"/>
      <c r="P783" s="52"/>
      <c r="Q783" s="41"/>
      <c r="R783" s="42"/>
      <c r="S783" s="129"/>
      <c r="T783" s="41"/>
      <c r="U783" s="42"/>
      <c r="V783" s="41"/>
      <c r="W783" s="41"/>
      <c r="X783" s="42"/>
      <c r="Y783" s="41"/>
      <c r="Z783" s="41"/>
      <c r="AA783" s="94"/>
    </row>
    <row r="784" spans="1:27" x14ac:dyDescent="0.2">
      <c r="A784" s="44"/>
      <c r="B784" s="44"/>
      <c r="C784" s="91"/>
      <c r="D784" s="139"/>
      <c r="E784" s="44"/>
      <c r="F784" s="122"/>
      <c r="G784" s="123"/>
      <c r="H784" s="44"/>
      <c r="I784" s="93"/>
      <c r="J784" s="44"/>
      <c r="K784" s="44"/>
      <c r="L784" s="93"/>
      <c r="M784" s="124"/>
      <c r="N784" s="44"/>
      <c r="O784" s="92"/>
      <c r="P784" s="110"/>
      <c r="Q784" s="44"/>
      <c r="R784" s="92"/>
      <c r="S784" s="125"/>
      <c r="T784" s="44"/>
      <c r="U784" s="92"/>
      <c r="V784" s="44"/>
      <c r="W784" s="44"/>
      <c r="X784" s="92"/>
      <c r="Y784" s="44"/>
      <c r="Z784" s="44"/>
      <c r="AA784" s="91"/>
    </row>
    <row r="785" spans="1:27" x14ac:dyDescent="0.2">
      <c r="A785" s="41"/>
      <c r="B785" s="41"/>
      <c r="C785" s="94"/>
      <c r="D785" s="140"/>
      <c r="E785" s="41"/>
      <c r="F785" s="126"/>
      <c r="G785" s="127"/>
      <c r="H785" s="41"/>
      <c r="I785" s="95"/>
      <c r="J785" s="41"/>
      <c r="K785" s="41"/>
      <c r="L785" s="95"/>
      <c r="M785" s="128"/>
      <c r="N785" s="41"/>
      <c r="O785" s="42"/>
      <c r="P785" s="52"/>
      <c r="Q785" s="41"/>
      <c r="R785" s="42"/>
      <c r="S785" s="129"/>
      <c r="T785" s="41"/>
      <c r="U785" s="42"/>
      <c r="V785" s="41"/>
      <c r="W785" s="41"/>
      <c r="X785" s="42"/>
      <c r="Y785" s="41"/>
      <c r="Z785" s="41"/>
      <c r="AA785" s="94"/>
    </row>
    <row r="786" spans="1:27" x14ac:dyDescent="0.2">
      <c r="A786" s="44"/>
      <c r="B786" s="44"/>
      <c r="C786" s="91"/>
      <c r="D786" s="139"/>
      <c r="E786" s="44"/>
      <c r="F786" s="122"/>
      <c r="G786" s="123"/>
      <c r="H786" s="44"/>
      <c r="I786" s="93"/>
      <c r="J786" s="44"/>
      <c r="K786" s="44"/>
      <c r="L786" s="93"/>
      <c r="M786" s="124"/>
      <c r="N786" s="44"/>
      <c r="O786" s="92"/>
      <c r="P786" s="110"/>
      <c r="Q786" s="44"/>
      <c r="R786" s="92"/>
      <c r="S786" s="125"/>
      <c r="T786" s="44"/>
      <c r="U786" s="92"/>
      <c r="V786" s="44"/>
      <c r="W786" s="44"/>
      <c r="X786" s="92"/>
      <c r="Y786" s="44"/>
      <c r="Z786" s="44"/>
      <c r="AA786" s="91"/>
    </row>
    <row r="787" spans="1:27" x14ac:dyDescent="0.2">
      <c r="A787" s="41"/>
      <c r="B787" s="41"/>
      <c r="C787" s="94"/>
      <c r="D787" s="140"/>
      <c r="E787" s="41"/>
      <c r="F787" s="126"/>
      <c r="G787" s="127"/>
      <c r="H787" s="41"/>
      <c r="I787" s="95"/>
      <c r="J787" s="41"/>
      <c r="K787" s="41"/>
      <c r="L787" s="95"/>
      <c r="M787" s="128"/>
      <c r="N787" s="41"/>
      <c r="O787" s="42"/>
      <c r="P787" s="52"/>
      <c r="Q787" s="41"/>
      <c r="R787" s="42"/>
      <c r="S787" s="129"/>
      <c r="T787" s="41"/>
      <c r="U787" s="42"/>
      <c r="V787" s="41"/>
      <c r="W787" s="41"/>
      <c r="X787" s="42"/>
      <c r="Y787" s="41"/>
      <c r="Z787" s="41"/>
      <c r="AA787" s="94"/>
    </row>
    <row r="788" spans="1:27" x14ac:dyDescent="0.2">
      <c r="A788" s="44"/>
      <c r="B788" s="44"/>
      <c r="C788" s="91"/>
      <c r="D788" s="139"/>
      <c r="E788" s="44"/>
      <c r="F788" s="122"/>
      <c r="G788" s="123"/>
      <c r="H788" s="44"/>
      <c r="I788" s="93"/>
      <c r="J788" s="44"/>
      <c r="K788" s="44"/>
      <c r="L788" s="93"/>
      <c r="M788" s="124"/>
      <c r="N788" s="44"/>
      <c r="O788" s="92"/>
      <c r="P788" s="110"/>
      <c r="Q788" s="44"/>
      <c r="R788" s="92"/>
      <c r="S788" s="125"/>
      <c r="T788" s="44"/>
      <c r="U788" s="92"/>
      <c r="V788" s="44"/>
      <c r="W788" s="44"/>
      <c r="X788" s="92"/>
      <c r="Y788" s="44"/>
      <c r="Z788" s="44"/>
      <c r="AA788" s="91"/>
    </row>
    <row r="789" spans="1:27" x14ac:dyDescent="0.2">
      <c r="A789" s="41"/>
      <c r="B789" s="41"/>
      <c r="C789" s="94"/>
      <c r="D789" s="140"/>
      <c r="E789" s="41"/>
      <c r="F789" s="127"/>
      <c r="G789" s="127"/>
      <c r="H789" s="41"/>
      <c r="I789" s="95"/>
      <c r="J789" s="41"/>
      <c r="K789" s="41"/>
      <c r="L789" s="95"/>
      <c r="M789" s="128"/>
      <c r="N789" s="41"/>
      <c r="O789" s="42"/>
      <c r="P789" s="52"/>
      <c r="Q789" s="41"/>
      <c r="R789" s="42"/>
      <c r="S789" s="129"/>
      <c r="T789" s="41"/>
      <c r="U789" s="42"/>
      <c r="V789" s="41"/>
      <c r="W789" s="41"/>
      <c r="X789" s="42"/>
      <c r="Y789" s="41"/>
      <c r="Z789" s="41"/>
      <c r="AA789" s="94"/>
    </row>
    <row r="790" spans="1:27" x14ac:dyDescent="0.2">
      <c r="A790" s="44"/>
      <c r="B790" s="44"/>
      <c r="C790" s="91"/>
      <c r="D790" s="139"/>
      <c r="E790" s="44"/>
      <c r="F790" s="122"/>
      <c r="G790" s="123"/>
      <c r="H790" s="44"/>
      <c r="I790" s="93"/>
      <c r="J790" s="44"/>
      <c r="K790" s="44"/>
      <c r="L790" s="93"/>
      <c r="M790" s="124"/>
      <c r="N790" s="44"/>
      <c r="O790" s="92"/>
      <c r="P790" s="110"/>
      <c r="Q790" s="44"/>
      <c r="R790" s="92"/>
      <c r="S790" s="125"/>
      <c r="T790" s="44"/>
      <c r="U790" s="92"/>
      <c r="V790" s="44"/>
      <c r="W790" s="44"/>
      <c r="X790" s="92"/>
      <c r="Y790" s="44"/>
      <c r="Z790" s="44"/>
      <c r="AA790" s="91"/>
    </row>
    <row r="791" spans="1:27" x14ac:dyDescent="0.2">
      <c r="A791" s="41"/>
      <c r="B791" s="41"/>
      <c r="C791" s="94"/>
      <c r="D791" s="140"/>
      <c r="E791" s="41"/>
      <c r="F791" s="126"/>
      <c r="G791" s="127"/>
      <c r="H791" s="41"/>
      <c r="I791" s="95"/>
      <c r="J791" s="41"/>
      <c r="K791" s="41"/>
      <c r="L791" s="95"/>
      <c r="M791" s="128"/>
      <c r="N791" s="41"/>
      <c r="O791" s="42"/>
      <c r="P791" s="52"/>
      <c r="Q791" s="41"/>
      <c r="R791" s="42"/>
      <c r="S791" s="129"/>
      <c r="T791" s="41"/>
      <c r="U791" s="42"/>
      <c r="V791" s="41"/>
      <c r="W791" s="41"/>
      <c r="X791" s="42"/>
      <c r="Y791" s="41"/>
      <c r="Z791" s="41"/>
      <c r="AA791" s="94"/>
    </row>
    <row r="792" spans="1:27" x14ac:dyDescent="0.2">
      <c r="A792" s="44"/>
      <c r="B792" s="44"/>
      <c r="C792" s="91"/>
      <c r="D792" s="139"/>
      <c r="E792" s="44"/>
      <c r="F792" s="122"/>
      <c r="G792" s="123"/>
      <c r="H792" s="44"/>
      <c r="I792" s="93"/>
      <c r="J792" s="44"/>
      <c r="K792" s="44"/>
      <c r="L792" s="93"/>
      <c r="M792" s="124"/>
      <c r="N792" s="44"/>
      <c r="O792" s="92"/>
      <c r="P792" s="110"/>
      <c r="Q792" s="44"/>
      <c r="R792" s="92"/>
      <c r="S792" s="125"/>
      <c r="T792" s="44"/>
      <c r="U792" s="92"/>
      <c r="V792" s="44"/>
      <c r="W792" s="44"/>
      <c r="X792" s="92"/>
      <c r="Y792" s="44"/>
      <c r="Z792" s="44"/>
      <c r="AA792" s="91"/>
    </row>
    <row r="793" spans="1:27" x14ac:dyDescent="0.2">
      <c r="A793" s="41"/>
      <c r="B793" s="41"/>
      <c r="C793" s="94"/>
      <c r="D793" s="140"/>
      <c r="E793" s="41"/>
      <c r="F793" s="126"/>
      <c r="G793" s="127"/>
      <c r="H793" s="41"/>
      <c r="I793" s="95"/>
      <c r="J793" s="41"/>
      <c r="K793" s="41"/>
      <c r="L793" s="95"/>
      <c r="M793" s="128"/>
      <c r="N793" s="41"/>
      <c r="O793" s="42"/>
      <c r="P793" s="52"/>
      <c r="Q793" s="41"/>
      <c r="R793" s="42"/>
      <c r="S793" s="129"/>
      <c r="T793" s="41"/>
      <c r="U793" s="42"/>
      <c r="V793" s="41"/>
      <c r="W793" s="41"/>
      <c r="X793" s="42"/>
      <c r="Y793" s="41"/>
      <c r="Z793" s="41"/>
      <c r="AA793" s="94"/>
    </row>
    <row r="794" spans="1:27" x14ac:dyDescent="0.2">
      <c r="A794" s="44"/>
      <c r="B794" s="44"/>
      <c r="C794" s="91"/>
      <c r="D794" s="139"/>
      <c r="E794" s="44"/>
      <c r="F794" s="122"/>
      <c r="G794" s="123"/>
      <c r="H794" s="44"/>
      <c r="I794" s="93"/>
      <c r="J794" s="44"/>
      <c r="K794" s="44"/>
      <c r="L794" s="93"/>
      <c r="M794" s="124"/>
      <c r="N794" s="44"/>
      <c r="O794" s="92"/>
      <c r="P794" s="110"/>
      <c r="Q794" s="44"/>
      <c r="R794" s="92"/>
      <c r="S794" s="125"/>
      <c r="T794" s="44"/>
      <c r="U794" s="92"/>
      <c r="V794" s="44"/>
      <c r="W794" s="44"/>
      <c r="X794" s="92"/>
      <c r="Y794" s="44"/>
      <c r="Z794" s="44"/>
      <c r="AA794" s="91"/>
    </row>
    <row r="795" spans="1:27" x14ac:dyDescent="0.2">
      <c r="A795" s="41"/>
      <c r="B795" s="41"/>
      <c r="C795" s="94"/>
      <c r="D795" s="140"/>
      <c r="E795" s="41"/>
      <c r="F795" s="126"/>
      <c r="G795" s="127"/>
      <c r="H795" s="41"/>
      <c r="I795" s="95"/>
      <c r="J795" s="41"/>
      <c r="K795" s="41"/>
      <c r="L795" s="95"/>
      <c r="M795" s="128"/>
      <c r="N795" s="41"/>
      <c r="O795" s="42"/>
      <c r="P795" s="52"/>
      <c r="Q795" s="41"/>
      <c r="R795" s="42"/>
      <c r="S795" s="129"/>
      <c r="T795" s="41"/>
      <c r="U795" s="42"/>
      <c r="V795" s="41"/>
      <c r="W795" s="41"/>
      <c r="X795" s="42"/>
      <c r="Y795" s="41"/>
      <c r="Z795" s="41"/>
      <c r="AA795" s="94"/>
    </row>
    <row r="796" spans="1:27" x14ac:dyDescent="0.2">
      <c r="A796" s="44"/>
      <c r="B796" s="44"/>
      <c r="C796" s="91"/>
      <c r="D796" s="139"/>
      <c r="E796" s="44"/>
      <c r="F796" s="122"/>
      <c r="G796" s="123"/>
      <c r="H796" s="44"/>
      <c r="I796" s="93"/>
      <c r="J796" s="44"/>
      <c r="K796" s="44"/>
      <c r="L796" s="93"/>
      <c r="M796" s="124"/>
      <c r="N796" s="44"/>
      <c r="O796" s="92"/>
      <c r="P796" s="110"/>
      <c r="Q796" s="44"/>
      <c r="R796" s="92"/>
      <c r="S796" s="125"/>
      <c r="T796" s="44"/>
      <c r="U796" s="92"/>
      <c r="V796" s="44"/>
      <c r="W796" s="44"/>
      <c r="X796" s="92"/>
      <c r="Y796" s="44"/>
      <c r="Z796" s="44"/>
      <c r="AA796" s="91"/>
    </row>
    <row r="797" spans="1:27" x14ac:dyDescent="0.2">
      <c r="A797" s="96"/>
      <c r="B797" s="44"/>
      <c r="C797" s="91"/>
      <c r="D797" s="139"/>
      <c r="E797" s="44"/>
      <c r="F797" s="122"/>
      <c r="G797" s="123"/>
      <c r="H797" s="44"/>
      <c r="I797" s="93"/>
      <c r="J797" s="44"/>
      <c r="K797" s="44"/>
      <c r="L797" s="93"/>
      <c r="M797" s="124"/>
      <c r="N797" s="44"/>
      <c r="O797" s="92"/>
      <c r="P797" s="110"/>
      <c r="Q797" s="44"/>
      <c r="R797" s="92"/>
      <c r="S797" s="125"/>
      <c r="T797" s="44"/>
      <c r="U797" s="92"/>
      <c r="V797" s="44"/>
      <c r="W797" s="44"/>
      <c r="X797" s="92"/>
      <c r="Y797" s="96"/>
      <c r="Z797" s="44"/>
      <c r="AA797" s="91"/>
    </row>
    <row r="798" spans="1:27" x14ac:dyDescent="0.2">
      <c r="A798" s="97"/>
      <c r="B798" s="41"/>
      <c r="C798" s="94"/>
      <c r="D798" s="140"/>
      <c r="E798" s="41"/>
      <c r="F798" s="126"/>
      <c r="G798" s="127"/>
      <c r="H798" s="41"/>
      <c r="I798" s="95"/>
      <c r="J798" s="41"/>
      <c r="K798" s="41"/>
      <c r="L798" s="95"/>
      <c r="M798" s="128"/>
      <c r="N798" s="41"/>
      <c r="O798" s="42"/>
      <c r="P798" s="52"/>
      <c r="Q798" s="41"/>
      <c r="R798" s="42"/>
      <c r="S798" s="129"/>
      <c r="T798" s="41"/>
      <c r="U798" s="42"/>
      <c r="V798" s="41"/>
      <c r="W798" s="41"/>
      <c r="X798" s="42"/>
      <c r="Y798" s="97"/>
      <c r="Z798" s="41"/>
      <c r="AA798" s="94"/>
    </row>
    <row r="799" spans="1:27" x14ac:dyDescent="0.2">
      <c r="A799" s="96"/>
      <c r="B799" s="44"/>
      <c r="C799" s="91"/>
      <c r="D799" s="139"/>
      <c r="E799" s="44"/>
      <c r="F799" s="122"/>
      <c r="G799" s="123"/>
      <c r="H799" s="44"/>
      <c r="I799" s="93"/>
      <c r="J799" s="44"/>
      <c r="K799" s="44"/>
      <c r="L799" s="93"/>
      <c r="M799" s="124"/>
      <c r="N799" s="44"/>
      <c r="O799" s="92"/>
      <c r="P799" s="110"/>
      <c r="Q799" s="44"/>
      <c r="R799" s="92"/>
      <c r="S799" s="125"/>
      <c r="T799" s="44"/>
      <c r="U799" s="92"/>
      <c r="V799" s="44"/>
      <c r="W799" s="44"/>
      <c r="X799" s="92"/>
      <c r="Y799" s="96"/>
      <c r="Z799" s="44"/>
      <c r="AA799" s="91"/>
    </row>
    <row r="800" spans="1:27" x14ac:dyDescent="0.2">
      <c r="A800" s="97"/>
      <c r="B800" s="41"/>
      <c r="C800" s="94"/>
      <c r="D800" s="140"/>
      <c r="E800" s="41"/>
      <c r="F800" s="126"/>
      <c r="G800" s="127"/>
      <c r="H800" s="41"/>
      <c r="I800" s="95"/>
      <c r="J800" s="41"/>
      <c r="K800" s="41"/>
      <c r="L800" s="95"/>
      <c r="M800" s="128"/>
      <c r="N800" s="41"/>
      <c r="O800" s="42"/>
      <c r="P800" s="52"/>
      <c r="Q800" s="41"/>
      <c r="R800" s="42"/>
      <c r="S800" s="129"/>
      <c r="T800" s="41"/>
      <c r="U800" s="42"/>
      <c r="V800" s="41"/>
      <c r="W800" s="41"/>
      <c r="X800" s="42"/>
      <c r="Y800" s="97"/>
      <c r="Z800" s="41"/>
      <c r="AA800" s="94"/>
    </row>
    <row r="801" spans="1:27" x14ac:dyDescent="0.2">
      <c r="A801" s="97"/>
      <c r="B801" s="41"/>
      <c r="C801" s="94"/>
      <c r="D801" s="140"/>
      <c r="E801" s="41"/>
      <c r="F801" s="126"/>
      <c r="G801" s="127"/>
      <c r="H801" s="41"/>
      <c r="I801" s="95"/>
      <c r="J801" s="41"/>
      <c r="K801" s="41"/>
      <c r="L801" s="95"/>
      <c r="M801" s="128"/>
      <c r="N801" s="41"/>
      <c r="O801" s="42"/>
      <c r="P801" s="52"/>
      <c r="Q801" s="41"/>
      <c r="R801" s="42"/>
      <c r="S801" s="129"/>
      <c r="T801" s="41"/>
      <c r="U801" s="42"/>
      <c r="V801" s="41"/>
      <c r="W801" s="41"/>
      <c r="X801" s="42"/>
      <c r="Y801" s="97"/>
      <c r="Z801" s="41"/>
      <c r="AA801" s="94"/>
    </row>
    <row r="802" spans="1:27" x14ac:dyDescent="0.2">
      <c r="A802" s="97"/>
      <c r="B802" s="41"/>
      <c r="C802" s="94"/>
      <c r="D802" s="140"/>
      <c r="E802" s="41"/>
      <c r="F802" s="126"/>
      <c r="G802" s="127"/>
      <c r="H802" s="41"/>
      <c r="I802" s="95"/>
      <c r="J802" s="41"/>
      <c r="K802" s="41"/>
      <c r="L802" s="95"/>
      <c r="M802" s="128"/>
      <c r="N802" s="41"/>
      <c r="O802" s="42"/>
      <c r="P802" s="52"/>
      <c r="Q802" s="41"/>
      <c r="R802" s="42"/>
      <c r="S802" s="129"/>
      <c r="T802" s="41"/>
      <c r="U802" s="42"/>
      <c r="V802" s="41"/>
      <c r="W802" s="41"/>
      <c r="X802" s="42"/>
      <c r="Y802" s="97"/>
      <c r="Z802" s="41"/>
      <c r="AA802" s="94"/>
    </row>
    <row r="803" spans="1:27" x14ac:dyDescent="0.2">
      <c r="A803" s="97"/>
      <c r="B803" s="41"/>
      <c r="C803" s="94"/>
      <c r="D803" s="140"/>
      <c r="E803" s="41"/>
      <c r="F803" s="126"/>
      <c r="G803" s="127"/>
      <c r="H803" s="41"/>
      <c r="I803" s="95"/>
      <c r="J803" s="41"/>
      <c r="K803" s="41"/>
      <c r="L803" s="95"/>
      <c r="M803" s="128"/>
      <c r="N803" s="41"/>
      <c r="O803" s="42"/>
      <c r="P803" s="52"/>
      <c r="Q803" s="41"/>
      <c r="R803" s="42"/>
      <c r="S803" s="129"/>
      <c r="T803" s="41"/>
      <c r="U803" s="42"/>
      <c r="V803" s="41"/>
      <c r="W803" s="41"/>
      <c r="X803" s="42"/>
      <c r="Y803" s="97"/>
      <c r="Z803" s="41"/>
      <c r="AA803" s="94"/>
    </row>
    <row r="804" spans="1:27" x14ac:dyDescent="0.2">
      <c r="A804" s="96"/>
      <c r="B804" s="44"/>
      <c r="C804" s="91"/>
      <c r="D804" s="139"/>
      <c r="E804" s="44"/>
      <c r="F804" s="122"/>
      <c r="G804" s="123"/>
      <c r="H804" s="44"/>
      <c r="I804" s="93"/>
      <c r="J804" s="44"/>
      <c r="K804" s="44"/>
      <c r="L804" s="93"/>
      <c r="M804" s="124"/>
      <c r="N804" s="44"/>
      <c r="O804" s="92"/>
      <c r="P804" s="110"/>
      <c r="Q804" s="44"/>
      <c r="R804" s="92"/>
      <c r="S804" s="125"/>
      <c r="T804" s="44"/>
      <c r="U804" s="92"/>
      <c r="V804" s="44"/>
      <c r="W804" s="44"/>
      <c r="X804" s="92"/>
      <c r="Y804" s="96"/>
      <c r="Z804" s="44"/>
      <c r="AA804" s="91"/>
    </row>
    <row r="805" spans="1:27" x14ac:dyDescent="0.2">
      <c r="A805" s="96"/>
      <c r="B805" s="44"/>
      <c r="C805" s="91"/>
      <c r="D805" s="139"/>
      <c r="E805" s="44"/>
      <c r="F805" s="122"/>
      <c r="G805" s="123"/>
      <c r="H805" s="44"/>
      <c r="I805" s="93"/>
      <c r="J805" s="44"/>
      <c r="K805" s="44"/>
      <c r="L805" s="93"/>
      <c r="M805" s="124"/>
      <c r="N805" s="44"/>
      <c r="O805" s="92"/>
      <c r="P805" s="110"/>
      <c r="Q805" s="44"/>
      <c r="R805" s="92"/>
      <c r="S805" s="125"/>
      <c r="T805" s="44"/>
      <c r="U805" s="92"/>
      <c r="V805" s="44"/>
      <c r="W805" s="44"/>
      <c r="X805" s="92"/>
      <c r="Y805" s="96"/>
      <c r="Z805" s="44"/>
      <c r="AA805" s="91"/>
    </row>
    <row r="806" spans="1:27" x14ac:dyDescent="0.2">
      <c r="A806" s="96"/>
      <c r="B806" s="44"/>
      <c r="C806" s="91"/>
      <c r="D806" s="139"/>
      <c r="E806" s="44"/>
      <c r="F806" s="122"/>
      <c r="G806" s="123"/>
      <c r="H806" s="44"/>
      <c r="I806" s="93"/>
      <c r="J806" s="44"/>
      <c r="K806" s="44"/>
      <c r="L806" s="93"/>
      <c r="M806" s="124"/>
      <c r="N806" s="44"/>
      <c r="O806" s="92"/>
      <c r="P806" s="110"/>
      <c r="Q806" s="44"/>
      <c r="R806" s="92"/>
      <c r="S806" s="125"/>
      <c r="T806" s="44"/>
      <c r="U806" s="92"/>
      <c r="V806" s="44"/>
      <c r="W806" s="44"/>
      <c r="X806" s="92"/>
      <c r="Y806" s="96"/>
      <c r="Z806" s="44"/>
      <c r="AA806" s="91"/>
    </row>
    <row r="807" spans="1:27" x14ac:dyDescent="0.2">
      <c r="A807" s="96"/>
      <c r="B807" s="44"/>
      <c r="C807" s="91"/>
      <c r="D807" s="139"/>
      <c r="E807" s="44"/>
      <c r="F807" s="122"/>
      <c r="G807" s="123"/>
      <c r="H807" s="44"/>
      <c r="I807" s="93"/>
      <c r="J807" s="44"/>
      <c r="K807" s="44"/>
      <c r="L807" s="93"/>
      <c r="M807" s="124"/>
      <c r="N807" s="44"/>
      <c r="O807" s="92"/>
      <c r="P807" s="110"/>
      <c r="Q807" s="44"/>
      <c r="R807" s="92"/>
      <c r="S807" s="125"/>
      <c r="T807" s="44"/>
      <c r="U807" s="92"/>
      <c r="V807" s="44"/>
      <c r="W807" s="44"/>
      <c r="X807" s="92"/>
      <c r="Y807" s="96"/>
      <c r="Z807" s="44"/>
      <c r="AA807" s="91"/>
    </row>
    <row r="808" spans="1:27" x14ac:dyDescent="0.2">
      <c r="A808" s="96"/>
      <c r="B808" s="44"/>
      <c r="C808" s="91"/>
      <c r="D808" s="139"/>
      <c r="E808" s="44"/>
      <c r="F808" s="122"/>
      <c r="G808" s="123"/>
      <c r="H808" s="44"/>
      <c r="I808" s="93"/>
      <c r="J808" s="44"/>
      <c r="K808" s="44"/>
      <c r="L808" s="93"/>
      <c r="M808" s="124"/>
      <c r="N808" s="44"/>
      <c r="O808" s="92"/>
      <c r="P808" s="110"/>
      <c r="Q808" s="44"/>
      <c r="R808" s="92"/>
      <c r="S808" s="125"/>
      <c r="T808" s="44"/>
      <c r="U808" s="92"/>
      <c r="V808" s="44"/>
      <c r="W808" s="44"/>
      <c r="X808" s="92"/>
      <c r="Y808" s="96"/>
      <c r="Z808" s="44"/>
      <c r="AA808" s="91"/>
    </row>
    <row r="809" spans="1:27" x14ac:dyDescent="0.2">
      <c r="A809" s="97"/>
      <c r="B809" s="41"/>
      <c r="C809" s="94"/>
      <c r="D809" s="140"/>
      <c r="E809" s="41"/>
      <c r="F809" s="126"/>
      <c r="G809" s="127"/>
      <c r="H809" s="41"/>
      <c r="I809" s="95"/>
      <c r="J809" s="41"/>
      <c r="K809" s="41"/>
      <c r="L809" s="95"/>
      <c r="M809" s="128"/>
      <c r="N809" s="41"/>
      <c r="O809" s="42"/>
      <c r="P809" s="52"/>
      <c r="Q809" s="41"/>
      <c r="R809" s="42"/>
      <c r="S809" s="129"/>
      <c r="T809" s="41"/>
      <c r="U809" s="42"/>
      <c r="V809" s="41"/>
      <c r="W809" s="41"/>
      <c r="X809" s="42"/>
      <c r="Y809" s="97"/>
      <c r="Z809" s="41"/>
      <c r="AA809" s="94"/>
    </row>
    <row r="810" spans="1:27" x14ac:dyDescent="0.2">
      <c r="A810" s="96"/>
      <c r="B810" s="44"/>
      <c r="C810" s="91"/>
      <c r="D810" s="139"/>
      <c r="E810" s="44"/>
      <c r="F810" s="122"/>
      <c r="G810" s="123"/>
      <c r="H810" s="44"/>
      <c r="I810" s="93"/>
      <c r="J810" s="44"/>
      <c r="K810" s="44"/>
      <c r="L810" s="93"/>
      <c r="M810" s="124"/>
      <c r="N810" s="44"/>
      <c r="O810" s="92"/>
      <c r="P810" s="110"/>
      <c r="Q810" s="44"/>
      <c r="R810" s="92"/>
      <c r="S810" s="125"/>
      <c r="T810" s="44"/>
      <c r="U810" s="92"/>
      <c r="V810" s="44"/>
      <c r="W810" s="44"/>
      <c r="X810" s="92"/>
      <c r="Y810" s="96"/>
      <c r="Z810" s="44"/>
      <c r="AA810" s="91"/>
    </row>
    <row r="811" spans="1:27" x14ac:dyDescent="0.2">
      <c r="A811" s="97"/>
      <c r="B811" s="41"/>
      <c r="C811" s="94"/>
      <c r="D811" s="140"/>
      <c r="E811" s="41"/>
      <c r="F811" s="126"/>
      <c r="G811" s="127"/>
      <c r="H811" s="41"/>
      <c r="I811" s="95"/>
      <c r="J811" s="41"/>
      <c r="K811" s="41"/>
      <c r="L811" s="95"/>
      <c r="M811" s="128"/>
      <c r="N811" s="41"/>
      <c r="O811" s="42"/>
      <c r="P811" s="52"/>
      <c r="Q811" s="41"/>
      <c r="R811" s="42"/>
      <c r="S811" s="129"/>
      <c r="T811" s="41"/>
      <c r="U811" s="42"/>
      <c r="V811" s="41"/>
      <c r="W811" s="41"/>
      <c r="X811" s="42"/>
      <c r="Y811" s="97"/>
      <c r="Z811" s="41"/>
      <c r="AA811" s="94"/>
    </row>
    <row r="812" spans="1:27" x14ac:dyDescent="0.2">
      <c r="A812" s="96"/>
      <c r="B812" s="44"/>
      <c r="C812" s="91"/>
      <c r="D812" s="139"/>
      <c r="E812" s="44"/>
      <c r="F812" s="122"/>
      <c r="G812" s="123"/>
      <c r="H812" s="44"/>
      <c r="I812" s="93"/>
      <c r="J812" s="44"/>
      <c r="K812" s="44"/>
      <c r="L812" s="93"/>
      <c r="M812" s="124"/>
      <c r="N812" s="44"/>
      <c r="O812" s="92"/>
      <c r="P812" s="110"/>
      <c r="Q812" s="44"/>
      <c r="R812" s="92"/>
      <c r="S812" s="125"/>
      <c r="T812" s="44"/>
      <c r="U812" s="92"/>
      <c r="V812" s="44"/>
      <c r="W812" s="44"/>
      <c r="X812" s="92"/>
      <c r="Y812" s="96"/>
      <c r="Z812" s="44"/>
      <c r="AA812" s="91"/>
    </row>
    <row r="813" spans="1:27" x14ac:dyDescent="0.2">
      <c r="A813" s="96"/>
      <c r="B813" s="44"/>
      <c r="C813" s="91"/>
      <c r="D813" s="139"/>
      <c r="E813" s="44"/>
      <c r="F813" s="122"/>
      <c r="G813" s="123"/>
      <c r="H813" s="44"/>
      <c r="I813" s="93"/>
      <c r="J813" s="44"/>
      <c r="K813" s="44"/>
      <c r="L813" s="93"/>
      <c r="M813" s="124"/>
      <c r="N813" s="44"/>
      <c r="O813" s="92"/>
      <c r="P813" s="110"/>
      <c r="Q813" s="44"/>
      <c r="R813" s="92"/>
      <c r="S813" s="125"/>
      <c r="T813" s="44"/>
      <c r="U813" s="92"/>
      <c r="V813" s="44"/>
      <c r="W813" s="44"/>
      <c r="X813" s="92"/>
      <c r="Y813" s="96"/>
      <c r="Z813" s="44"/>
      <c r="AA813" s="91"/>
    </row>
    <row r="814" spans="1:27" x14ac:dyDescent="0.2">
      <c r="A814" s="97"/>
      <c r="B814" s="41"/>
      <c r="C814" s="94"/>
      <c r="D814" s="140"/>
      <c r="E814" s="41"/>
      <c r="F814" s="126"/>
      <c r="G814" s="127"/>
      <c r="H814" s="41"/>
      <c r="I814" s="95"/>
      <c r="J814" s="41"/>
      <c r="K814" s="41"/>
      <c r="L814" s="95"/>
      <c r="M814" s="128"/>
      <c r="N814" s="41"/>
      <c r="O814" s="42"/>
      <c r="P814" s="52"/>
      <c r="Q814" s="41"/>
      <c r="R814" s="42"/>
      <c r="S814" s="129"/>
      <c r="T814" s="41"/>
      <c r="U814" s="42"/>
      <c r="V814" s="41"/>
      <c r="W814" s="41"/>
      <c r="X814" s="42"/>
      <c r="Y814" s="97"/>
      <c r="Z814" s="41"/>
      <c r="AA814" s="94"/>
    </row>
    <row r="815" spans="1:27" x14ac:dyDescent="0.2">
      <c r="A815" s="96"/>
      <c r="B815" s="44"/>
      <c r="C815" s="91"/>
      <c r="D815" s="139"/>
      <c r="E815" s="44"/>
      <c r="F815" s="122"/>
      <c r="G815" s="123"/>
      <c r="H815" s="44"/>
      <c r="I815" s="93"/>
      <c r="J815" s="44"/>
      <c r="K815" s="44"/>
      <c r="L815" s="93"/>
      <c r="M815" s="124"/>
      <c r="N815" s="44"/>
      <c r="O815" s="92"/>
      <c r="P815" s="110"/>
      <c r="Q815" s="44"/>
      <c r="R815" s="92"/>
      <c r="S815" s="125"/>
      <c r="T815" s="44"/>
      <c r="U815" s="92"/>
      <c r="V815" s="44"/>
      <c r="W815" s="44"/>
      <c r="X815" s="92"/>
      <c r="Y815" s="96"/>
      <c r="Z815" s="44"/>
      <c r="AA815" s="91"/>
    </row>
    <row r="816" spans="1:27" x14ac:dyDescent="0.2">
      <c r="A816" s="96"/>
      <c r="B816" s="44"/>
      <c r="C816" s="91"/>
      <c r="D816" s="139"/>
      <c r="E816" s="44"/>
      <c r="F816" s="122"/>
      <c r="G816" s="123"/>
      <c r="H816" s="44"/>
      <c r="I816" s="93"/>
      <c r="J816" s="44"/>
      <c r="K816" s="44"/>
      <c r="L816" s="93"/>
      <c r="M816" s="124"/>
      <c r="N816" s="44"/>
      <c r="O816" s="92"/>
      <c r="P816" s="110"/>
      <c r="Q816" s="44"/>
      <c r="R816" s="92"/>
      <c r="S816" s="125"/>
      <c r="T816" s="44"/>
      <c r="U816" s="92"/>
      <c r="V816" s="44"/>
      <c r="W816" s="44"/>
      <c r="X816" s="92"/>
      <c r="Y816" s="96"/>
      <c r="Z816" s="44"/>
      <c r="AA816" s="91"/>
    </row>
    <row r="817" spans="1:27" x14ac:dyDescent="0.2">
      <c r="A817" s="97"/>
      <c r="B817" s="41"/>
      <c r="C817" s="94"/>
      <c r="D817" s="140"/>
      <c r="E817" s="41"/>
      <c r="F817" s="126"/>
      <c r="G817" s="127"/>
      <c r="H817" s="41"/>
      <c r="I817" s="95"/>
      <c r="J817" s="41"/>
      <c r="K817" s="41"/>
      <c r="L817" s="95"/>
      <c r="M817" s="128"/>
      <c r="N817" s="41"/>
      <c r="O817" s="42"/>
      <c r="P817" s="52"/>
      <c r="Q817" s="41"/>
      <c r="R817" s="42"/>
      <c r="S817" s="129"/>
      <c r="T817" s="41"/>
      <c r="U817" s="42"/>
      <c r="V817" s="41"/>
      <c r="W817" s="41"/>
      <c r="X817" s="42"/>
      <c r="Y817" s="97"/>
      <c r="Z817" s="41"/>
      <c r="AA817" s="94"/>
    </row>
    <row r="818" spans="1:27" x14ac:dyDescent="0.2">
      <c r="A818" s="97"/>
      <c r="B818" s="41"/>
      <c r="C818" s="94"/>
      <c r="D818" s="140"/>
      <c r="E818" s="41"/>
      <c r="F818" s="126"/>
      <c r="G818" s="127"/>
      <c r="H818" s="41"/>
      <c r="I818" s="95"/>
      <c r="J818" s="41"/>
      <c r="K818" s="41"/>
      <c r="L818" s="95"/>
      <c r="M818" s="128"/>
      <c r="N818" s="41"/>
      <c r="O818" s="42"/>
      <c r="P818" s="52"/>
      <c r="Q818" s="41"/>
      <c r="R818" s="42"/>
      <c r="S818" s="129"/>
      <c r="T818" s="41"/>
      <c r="U818" s="42"/>
      <c r="V818" s="41"/>
      <c r="W818" s="41"/>
      <c r="X818" s="42"/>
      <c r="Y818" s="97"/>
      <c r="Z818" s="41"/>
      <c r="AA818" s="94"/>
    </row>
    <row r="819" spans="1:27" x14ac:dyDescent="0.2">
      <c r="A819" s="96"/>
      <c r="B819" s="44"/>
      <c r="C819" s="91"/>
      <c r="D819" s="139"/>
      <c r="E819" s="44"/>
      <c r="F819" s="122"/>
      <c r="G819" s="123"/>
      <c r="H819" s="44"/>
      <c r="I819" s="93"/>
      <c r="J819" s="44"/>
      <c r="K819" s="44"/>
      <c r="L819" s="93"/>
      <c r="M819" s="124"/>
      <c r="N819" s="44"/>
      <c r="O819" s="92"/>
      <c r="P819" s="110"/>
      <c r="Q819" s="44"/>
      <c r="R819" s="92"/>
      <c r="S819" s="125"/>
      <c r="T819" s="44"/>
      <c r="U819" s="92"/>
      <c r="V819" s="44"/>
      <c r="W819" s="44"/>
      <c r="X819" s="92"/>
      <c r="Y819" s="96"/>
      <c r="Z819" s="44"/>
      <c r="AA819" s="91"/>
    </row>
    <row r="820" spans="1:27" x14ac:dyDescent="0.2">
      <c r="A820" s="96"/>
      <c r="B820" s="44"/>
      <c r="C820" s="91"/>
      <c r="D820" s="139"/>
      <c r="E820" s="44"/>
      <c r="F820" s="122"/>
      <c r="G820" s="123"/>
      <c r="H820" s="44"/>
      <c r="I820" s="93"/>
      <c r="J820" s="44"/>
      <c r="K820" s="44"/>
      <c r="L820" s="93"/>
      <c r="M820" s="124"/>
      <c r="N820" s="44"/>
      <c r="O820" s="92"/>
      <c r="P820" s="110"/>
      <c r="Q820" s="44"/>
      <c r="R820" s="92"/>
      <c r="S820" s="125"/>
      <c r="T820" s="44"/>
      <c r="U820" s="92"/>
      <c r="V820" s="44"/>
      <c r="W820" s="44"/>
      <c r="X820" s="92"/>
      <c r="Y820" s="96"/>
      <c r="Z820" s="44"/>
      <c r="AA820" s="91"/>
    </row>
    <row r="821" spans="1:27" x14ac:dyDescent="0.2">
      <c r="A821" s="97"/>
      <c r="B821" s="41"/>
      <c r="C821" s="94"/>
      <c r="D821" s="140"/>
      <c r="E821" s="41"/>
      <c r="F821" s="126"/>
      <c r="G821" s="127"/>
      <c r="H821" s="41"/>
      <c r="I821" s="95"/>
      <c r="J821" s="41"/>
      <c r="K821" s="41"/>
      <c r="L821" s="95"/>
      <c r="M821" s="128"/>
      <c r="N821" s="41"/>
      <c r="O821" s="42"/>
      <c r="P821" s="52"/>
      <c r="Q821" s="41"/>
      <c r="R821" s="42"/>
      <c r="S821" s="129"/>
      <c r="T821" s="41"/>
      <c r="U821" s="42"/>
      <c r="V821" s="41"/>
      <c r="W821" s="41"/>
      <c r="X821" s="42"/>
      <c r="Y821" s="97"/>
      <c r="Z821" s="41"/>
      <c r="AA821" s="94"/>
    </row>
    <row r="822" spans="1:27" x14ac:dyDescent="0.2">
      <c r="A822" s="87"/>
      <c r="B822" s="87"/>
      <c r="C822" s="88"/>
      <c r="D822" s="138"/>
      <c r="E822" s="87"/>
      <c r="F822" s="118"/>
      <c r="G822" s="119"/>
      <c r="H822" s="87"/>
      <c r="I822" s="90"/>
      <c r="J822" s="87"/>
      <c r="K822" s="87"/>
      <c r="L822" s="90"/>
      <c r="M822" s="120"/>
      <c r="N822" s="87"/>
      <c r="O822" s="89"/>
      <c r="P822" s="130"/>
      <c r="Q822" s="87"/>
      <c r="R822" s="89"/>
      <c r="S822" s="121"/>
      <c r="T822" s="87"/>
      <c r="U822" s="89"/>
      <c r="V822" s="87"/>
      <c r="W822" s="87"/>
      <c r="X822" s="89"/>
      <c r="Y822" s="87"/>
      <c r="Z822" s="87"/>
      <c r="AA822" s="88"/>
    </row>
    <row r="823" spans="1:27" x14ac:dyDescent="0.2">
      <c r="A823" s="44"/>
      <c r="B823" s="44"/>
      <c r="C823" s="91"/>
      <c r="D823" s="139"/>
      <c r="E823" s="44"/>
      <c r="F823" s="122"/>
      <c r="G823" s="123"/>
      <c r="H823" s="44"/>
      <c r="I823" s="93"/>
      <c r="J823" s="44"/>
      <c r="K823" s="44"/>
      <c r="L823" s="93"/>
      <c r="M823" s="124"/>
      <c r="N823" s="44"/>
      <c r="O823" s="92"/>
      <c r="P823" s="110"/>
      <c r="Q823" s="44"/>
      <c r="R823" s="92"/>
      <c r="S823" s="125"/>
      <c r="T823" s="44"/>
      <c r="U823" s="92"/>
      <c r="V823" s="44"/>
      <c r="W823" s="44"/>
      <c r="X823" s="92"/>
      <c r="Y823" s="44"/>
      <c r="Z823" s="44"/>
      <c r="AA823" s="91"/>
    </row>
    <row r="824" spans="1:27" x14ac:dyDescent="0.2">
      <c r="A824" s="41"/>
      <c r="B824" s="41"/>
      <c r="C824" s="94"/>
      <c r="D824" s="140"/>
      <c r="E824" s="41"/>
      <c r="F824" s="126"/>
      <c r="G824" s="127"/>
      <c r="H824" s="41"/>
      <c r="I824" s="95"/>
      <c r="J824" s="41"/>
      <c r="K824" s="41"/>
      <c r="L824" s="95"/>
      <c r="M824" s="128"/>
      <c r="N824" s="41"/>
      <c r="O824" s="42"/>
      <c r="P824" s="52"/>
      <c r="Q824" s="41"/>
      <c r="R824" s="42"/>
      <c r="S824" s="129"/>
      <c r="T824" s="41"/>
      <c r="U824" s="42"/>
      <c r="V824" s="41"/>
      <c r="W824" s="41"/>
      <c r="X824" s="42"/>
      <c r="Y824" s="41"/>
      <c r="Z824" s="41"/>
      <c r="AA824" s="94"/>
    </row>
    <row r="825" spans="1:27" x14ac:dyDescent="0.2">
      <c r="A825" s="44"/>
      <c r="B825" s="44"/>
      <c r="C825" s="91"/>
      <c r="D825" s="139"/>
      <c r="E825" s="44"/>
      <c r="F825" s="122"/>
      <c r="G825" s="123"/>
      <c r="H825" s="44"/>
      <c r="I825" s="93"/>
      <c r="J825" s="44"/>
      <c r="K825" s="44"/>
      <c r="L825" s="93"/>
      <c r="M825" s="124"/>
      <c r="N825" s="44"/>
      <c r="O825" s="92"/>
      <c r="P825" s="110"/>
      <c r="Q825" s="44"/>
      <c r="R825" s="92"/>
      <c r="S825" s="125"/>
      <c r="T825" s="44"/>
      <c r="U825" s="92"/>
      <c r="V825" s="44"/>
      <c r="W825" s="44"/>
      <c r="X825" s="92"/>
      <c r="Y825" s="44"/>
      <c r="Z825" s="44"/>
      <c r="AA825" s="91"/>
    </row>
    <row r="826" spans="1:27" x14ac:dyDescent="0.2">
      <c r="A826" s="87"/>
      <c r="B826" s="87"/>
      <c r="C826" s="88"/>
      <c r="D826" s="138"/>
      <c r="E826" s="87"/>
      <c r="F826" s="118"/>
      <c r="G826" s="119"/>
      <c r="H826" s="87"/>
      <c r="I826" s="90"/>
      <c r="J826" s="87"/>
      <c r="K826" s="87"/>
      <c r="L826" s="90"/>
      <c r="M826" s="120"/>
      <c r="N826" s="87"/>
      <c r="O826" s="89"/>
      <c r="P826" s="87"/>
      <c r="Q826" s="87"/>
      <c r="R826" s="89"/>
      <c r="S826" s="121"/>
      <c r="T826" s="87"/>
      <c r="U826" s="89"/>
      <c r="V826" s="87"/>
      <c r="W826" s="87"/>
      <c r="X826" s="89"/>
      <c r="Y826" s="87"/>
      <c r="Z826" s="87"/>
      <c r="AA826" s="88"/>
    </row>
    <row r="827" spans="1:27" x14ac:dyDescent="0.2">
      <c r="A827" s="44"/>
      <c r="B827" s="44"/>
      <c r="C827" s="91"/>
      <c r="D827" s="139"/>
      <c r="E827" s="44"/>
      <c r="F827" s="122"/>
      <c r="G827" s="123"/>
      <c r="H827" s="44"/>
      <c r="I827" s="93"/>
      <c r="J827" s="44"/>
      <c r="K827" s="44"/>
      <c r="L827" s="93"/>
      <c r="M827" s="124"/>
      <c r="N827" s="44"/>
      <c r="O827" s="92"/>
      <c r="P827" s="110"/>
      <c r="Q827" s="44"/>
      <c r="R827" s="92"/>
      <c r="S827" s="125"/>
      <c r="T827" s="44"/>
      <c r="U827" s="92"/>
      <c r="V827" s="44"/>
      <c r="W827" s="44"/>
      <c r="X827" s="92"/>
      <c r="Y827" s="44"/>
      <c r="Z827" s="44"/>
      <c r="AA827" s="91"/>
    </row>
    <row r="828" spans="1:27" x14ac:dyDescent="0.2">
      <c r="A828" s="41"/>
      <c r="B828" s="41"/>
      <c r="C828" s="94"/>
      <c r="D828" s="140"/>
      <c r="E828" s="41"/>
      <c r="F828" s="126"/>
      <c r="G828" s="127"/>
      <c r="H828" s="41"/>
      <c r="I828" s="95"/>
      <c r="J828" s="41"/>
      <c r="K828" s="41"/>
      <c r="L828" s="95"/>
      <c r="M828" s="128"/>
      <c r="N828" s="41"/>
      <c r="O828" s="42"/>
      <c r="P828" s="52"/>
      <c r="Q828" s="41"/>
      <c r="R828" s="42"/>
      <c r="S828" s="129"/>
      <c r="T828" s="41"/>
      <c r="U828" s="42"/>
      <c r="V828" s="41"/>
      <c r="W828" s="41"/>
      <c r="X828" s="42"/>
      <c r="Y828" s="41"/>
      <c r="Z828" s="41"/>
      <c r="AA828" s="94"/>
    </row>
    <row r="829" spans="1:27" x14ac:dyDescent="0.2">
      <c r="A829" s="44"/>
      <c r="B829" s="44"/>
      <c r="C829" s="91"/>
      <c r="D829" s="139"/>
      <c r="E829" s="44"/>
      <c r="F829" s="122"/>
      <c r="G829" s="123"/>
      <c r="H829" s="44"/>
      <c r="I829" s="93"/>
      <c r="J829" s="44"/>
      <c r="K829" s="44"/>
      <c r="L829" s="93"/>
      <c r="M829" s="124"/>
      <c r="N829" s="44"/>
      <c r="O829" s="92"/>
      <c r="P829" s="110"/>
      <c r="Q829" s="44"/>
      <c r="R829" s="92"/>
      <c r="S829" s="125"/>
      <c r="T829" s="44"/>
      <c r="U829" s="92"/>
      <c r="V829" s="44"/>
      <c r="W829" s="44"/>
      <c r="X829" s="92"/>
      <c r="Y829" s="44"/>
      <c r="Z829" s="44"/>
      <c r="AA829" s="91"/>
    </row>
    <row r="830" spans="1:27" x14ac:dyDescent="0.2">
      <c r="A830" s="41"/>
      <c r="B830" s="41"/>
      <c r="C830" s="94"/>
      <c r="D830" s="140"/>
      <c r="E830" s="41"/>
      <c r="F830" s="126"/>
      <c r="G830" s="127"/>
      <c r="H830" s="41"/>
      <c r="I830" s="95"/>
      <c r="J830" s="41"/>
      <c r="K830" s="41"/>
      <c r="L830" s="95"/>
      <c r="M830" s="128"/>
      <c r="N830" s="41"/>
      <c r="O830" s="42"/>
      <c r="P830" s="52"/>
      <c r="Q830" s="41"/>
      <c r="R830" s="42"/>
      <c r="S830" s="129"/>
      <c r="T830" s="41"/>
      <c r="U830" s="42"/>
      <c r="V830" s="41"/>
      <c r="W830" s="41"/>
      <c r="X830" s="42"/>
      <c r="Y830" s="41"/>
      <c r="Z830" s="41"/>
      <c r="AA830" s="94"/>
    </row>
    <row r="831" spans="1:27" x14ac:dyDescent="0.2">
      <c r="A831" s="44"/>
      <c r="B831" s="44"/>
      <c r="C831" s="91"/>
      <c r="D831" s="139"/>
      <c r="E831" s="44"/>
      <c r="F831" s="122"/>
      <c r="G831" s="123"/>
      <c r="H831" s="44"/>
      <c r="I831" s="93"/>
      <c r="J831" s="44"/>
      <c r="K831" s="44"/>
      <c r="L831" s="93"/>
      <c r="M831" s="124"/>
      <c r="N831" s="44"/>
      <c r="O831" s="92"/>
      <c r="P831" s="110"/>
      <c r="Q831" s="44"/>
      <c r="R831" s="92"/>
      <c r="S831" s="125"/>
      <c r="T831" s="44"/>
      <c r="U831" s="92"/>
      <c r="V831" s="44"/>
      <c r="W831" s="44"/>
      <c r="X831" s="92"/>
      <c r="Y831" s="44"/>
      <c r="Z831" s="44"/>
      <c r="AA831" s="91"/>
    </row>
    <row r="832" spans="1:27" x14ac:dyDescent="0.2">
      <c r="A832" s="41"/>
      <c r="B832" s="41"/>
      <c r="C832" s="94"/>
      <c r="D832" s="140"/>
      <c r="E832" s="41"/>
      <c r="F832" s="126"/>
      <c r="G832" s="127"/>
      <c r="H832" s="41"/>
      <c r="I832" s="95"/>
      <c r="J832" s="41"/>
      <c r="K832" s="41"/>
      <c r="L832" s="95"/>
      <c r="M832" s="128"/>
      <c r="N832" s="41"/>
      <c r="O832" s="42"/>
      <c r="P832" s="52"/>
      <c r="Q832" s="41"/>
      <c r="R832" s="42"/>
      <c r="S832" s="129"/>
      <c r="T832" s="41"/>
      <c r="U832" s="42"/>
      <c r="V832" s="41"/>
      <c r="W832" s="41"/>
      <c r="X832" s="42"/>
      <c r="Y832" s="41"/>
      <c r="Z832" s="41"/>
      <c r="AA832" s="94"/>
    </row>
    <row r="833" spans="1:27" x14ac:dyDescent="0.2">
      <c r="A833" s="44"/>
      <c r="B833" s="44"/>
      <c r="C833" s="91"/>
      <c r="D833" s="139"/>
      <c r="E833" s="44"/>
      <c r="F833" s="122"/>
      <c r="G833" s="123"/>
      <c r="H833" s="44"/>
      <c r="I833" s="93"/>
      <c r="J833" s="44"/>
      <c r="K833" s="44"/>
      <c r="L833" s="93"/>
      <c r="M833" s="124"/>
      <c r="N833" s="44"/>
      <c r="O833" s="92"/>
      <c r="P833" s="110"/>
      <c r="Q833" s="44"/>
      <c r="R833" s="92"/>
      <c r="S833" s="125"/>
      <c r="T833" s="44"/>
      <c r="U833" s="92"/>
      <c r="V833" s="44"/>
      <c r="W833" s="44"/>
      <c r="X833" s="92"/>
      <c r="Y833" s="44"/>
      <c r="Z833" s="44"/>
      <c r="AA833" s="91"/>
    </row>
    <row r="834" spans="1:27" x14ac:dyDescent="0.2">
      <c r="A834" s="41"/>
      <c r="B834" s="41"/>
      <c r="C834" s="94"/>
      <c r="D834" s="140"/>
      <c r="E834" s="41"/>
      <c r="F834" s="126"/>
      <c r="G834" s="127"/>
      <c r="H834" s="41"/>
      <c r="I834" s="95"/>
      <c r="J834" s="41"/>
      <c r="K834" s="41"/>
      <c r="L834" s="95"/>
      <c r="M834" s="128"/>
      <c r="N834" s="41"/>
      <c r="O834" s="42"/>
      <c r="P834" s="52"/>
      <c r="Q834" s="41"/>
      <c r="R834" s="42"/>
      <c r="S834" s="129"/>
      <c r="T834" s="41"/>
      <c r="U834" s="42"/>
      <c r="V834" s="41"/>
      <c r="W834" s="41"/>
      <c r="X834" s="42"/>
      <c r="Y834" s="41"/>
      <c r="Z834" s="41"/>
      <c r="AA834" s="94"/>
    </row>
    <row r="835" spans="1:27" x14ac:dyDescent="0.2">
      <c r="A835" s="44"/>
      <c r="B835" s="44"/>
      <c r="C835" s="91"/>
      <c r="D835" s="139"/>
      <c r="E835" s="44"/>
      <c r="F835" s="122"/>
      <c r="G835" s="123"/>
      <c r="H835" s="44"/>
      <c r="I835" s="93"/>
      <c r="J835" s="44"/>
      <c r="K835" s="44"/>
      <c r="L835" s="93"/>
      <c r="M835" s="124"/>
      <c r="N835" s="44"/>
      <c r="O835" s="92"/>
      <c r="P835" s="110"/>
      <c r="Q835" s="44"/>
      <c r="R835" s="92"/>
      <c r="S835" s="125"/>
      <c r="T835" s="44"/>
      <c r="U835" s="92"/>
      <c r="V835" s="44"/>
      <c r="W835" s="44"/>
      <c r="X835" s="92"/>
      <c r="Y835" s="44"/>
      <c r="Z835" s="44"/>
      <c r="AA835" s="91"/>
    </row>
    <row r="836" spans="1:27" x14ac:dyDescent="0.2">
      <c r="A836" s="41"/>
      <c r="B836" s="41"/>
      <c r="C836" s="94"/>
      <c r="D836" s="140"/>
      <c r="E836" s="41"/>
      <c r="F836" s="126"/>
      <c r="G836" s="127"/>
      <c r="H836" s="41"/>
      <c r="I836" s="95"/>
      <c r="J836" s="41"/>
      <c r="K836" s="41"/>
      <c r="L836" s="95"/>
      <c r="M836" s="128"/>
      <c r="N836" s="41"/>
      <c r="O836" s="42"/>
      <c r="P836" s="52"/>
      <c r="Q836" s="41"/>
      <c r="R836" s="42"/>
      <c r="S836" s="129"/>
      <c r="T836" s="41"/>
      <c r="U836" s="42"/>
      <c r="V836" s="41"/>
      <c r="W836" s="41"/>
      <c r="X836" s="42"/>
      <c r="Y836" s="41"/>
      <c r="Z836" s="41"/>
      <c r="AA836" s="94"/>
    </row>
    <row r="837" spans="1:27" x14ac:dyDescent="0.2">
      <c r="A837" s="44"/>
      <c r="B837" s="44"/>
      <c r="C837" s="91"/>
      <c r="D837" s="139"/>
      <c r="E837" s="44"/>
      <c r="F837" s="122"/>
      <c r="G837" s="123"/>
      <c r="H837" s="44"/>
      <c r="I837" s="93"/>
      <c r="J837" s="44"/>
      <c r="K837" s="44"/>
      <c r="L837" s="93"/>
      <c r="M837" s="124"/>
      <c r="N837" s="44"/>
      <c r="O837" s="92"/>
      <c r="P837" s="110"/>
      <c r="Q837" s="44"/>
      <c r="R837" s="92"/>
      <c r="S837" s="125"/>
      <c r="T837" s="44"/>
      <c r="U837" s="92"/>
      <c r="V837" s="44"/>
      <c r="W837" s="44"/>
      <c r="X837" s="92"/>
      <c r="Y837" s="44"/>
      <c r="Z837" s="44"/>
      <c r="AA837" s="91"/>
    </row>
    <row r="838" spans="1:27" x14ac:dyDescent="0.2">
      <c r="A838" s="41"/>
      <c r="B838" s="41"/>
      <c r="C838" s="94"/>
      <c r="D838" s="140"/>
      <c r="E838" s="41"/>
      <c r="F838" s="126"/>
      <c r="G838" s="127"/>
      <c r="H838" s="41"/>
      <c r="I838" s="95"/>
      <c r="J838" s="41"/>
      <c r="K838" s="41"/>
      <c r="L838" s="95"/>
      <c r="M838" s="128"/>
      <c r="N838" s="41"/>
      <c r="O838" s="42"/>
      <c r="P838" s="52"/>
      <c r="Q838" s="41"/>
      <c r="R838" s="42"/>
      <c r="S838" s="129"/>
      <c r="T838" s="41"/>
      <c r="U838" s="42"/>
      <c r="V838" s="41"/>
      <c r="W838" s="41"/>
      <c r="X838" s="42"/>
      <c r="Y838" s="41"/>
      <c r="Z838" s="41"/>
      <c r="AA838" s="94"/>
    </row>
    <row r="839" spans="1:27" x14ac:dyDescent="0.2">
      <c r="A839" s="44"/>
      <c r="B839" s="44"/>
      <c r="C839" s="91"/>
      <c r="D839" s="139"/>
      <c r="E839" s="44"/>
      <c r="F839" s="122"/>
      <c r="G839" s="123"/>
      <c r="H839" s="44"/>
      <c r="I839" s="93"/>
      <c r="J839" s="44"/>
      <c r="K839" s="44"/>
      <c r="L839" s="93"/>
      <c r="M839" s="124"/>
      <c r="N839" s="44"/>
      <c r="O839" s="92"/>
      <c r="P839" s="110"/>
      <c r="Q839" s="44"/>
      <c r="R839" s="92"/>
      <c r="S839" s="125"/>
      <c r="T839" s="44"/>
      <c r="U839" s="92"/>
      <c r="V839" s="44"/>
      <c r="W839" s="44"/>
      <c r="X839" s="92"/>
      <c r="Y839" s="44"/>
      <c r="Z839" s="44"/>
      <c r="AA839" s="91"/>
    </row>
    <row r="840" spans="1:27" x14ac:dyDescent="0.2">
      <c r="A840" s="41"/>
      <c r="B840" s="41"/>
      <c r="C840" s="94"/>
      <c r="D840" s="140"/>
      <c r="E840" s="41"/>
      <c r="F840" s="126"/>
      <c r="G840" s="127"/>
      <c r="H840" s="41"/>
      <c r="I840" s="95"/>
      <c r="J840" s="41"/>
      <c r="K840" s="41"/>
      <c r="L840" s="95"/>
      <c r="M840" s="128"/>
      <c r="N840" s="41"/>
      <c r="O840" s="42"/>
      <c r="P840" s="52"/>
      <c r="Q840" s="41"/>
      <c r="R840" s="42"/>
      <c r="S840" s="129"/>
      <c r="T840" s="41"/>
      <c r="U840" s="42"/>
      <c r="V840" s="41"/>
      <c r="W840" s="41"/>
      <c r="X840" s="42"/>
      <c r="Y840" s="41"/>
      <c r="Z840" s="41"/>
      <c r="AA840" s="94"/>
    </row>
    <row r="841" spans="1:27" x14ac:dyDescent="0.2">
      <c r="A841" s="44"/>
      <c r="B841" s="44"/>
      <c r="C841" s="91"/>
      <c r="D841" s="139"/>
      <c r="E841" s="44"/>
      <c r="F841" s="122"/>
      <c r="G841" s="123"/>
      <c r="H841" s="44"/>
      <c r="I841" s="93"/>
      <c r="J841" s="44"/>
      <c r="K841" s="44"/>
      <c r="L841" s="93"/>
      <c r="M841" s="124"/>
      <c r="N841" s="44"/>
      <c r="O841" s="92"/>
      <c r="P841" s="110"/>
      <c r="Q841" s="44"/>
      <c r="R841" s="92"/>
      <c r="S841" s="125"/>
      <c r="T841" s="44"/>
      <c r="U841" s="92"/>
      <c r="V841" s="44"/>
      <c r="W841" s="44"/>
      <c r="X841" s="92"/>
      <c r="Y841" s="44"/>
      <c r="Z841" s="44"/>
      <c r="AA841" s="91"/>
    </row>
    <row r="842" spans="1:27" x14ac:dyDescent="0.2">
      <c r="A842" s="41"/>
      <c r="B842" s="41"/>
      <c r="C842" s="94"/>
      <c r="D842" s="140"/>
      <c r="E842" s="41"/>
      <c r="F842" s="126"/>
      <c r="G842" s="127"/>
      <c r="H842" s="41"/>
      <c r="I842" s="95"/>
      <c r="J842" s="41"/>
      <c r="K842" s="41"/>
      <c r="L842" s="95"/>
      <c r="M842" s="128"/>
      <c r="N842" s="41"/>
      <c r="O842" s="42"/>
      <c r="P842" s="52"/>
      <c r="Q842" s="41"/>
      <c r="R842" s="42"/>
      <c r="S842" s="129"/>
      <c r="T842" s="41"/>
      <c r="U842" s="42"/>
      <c r="V842" s="41"/>
      <c r="W842" s="41"/>
      <c r="X842" s="42"/>
      <c r="Y842" s="41"/>
      <c r="Z842" s="41"/>
      <c r="AA842" s="94"/>
    </row>
    <row r="843" spans="1:27" x14ac:dyDescent="0.2">
      <c r="A843" s="44"/>
      <c r="B843" s="44"/>
      <c r="C843" s="91"/>
      <c r="D843" s="139"/>
      <c r="E843" s="44"/>
      <c r="F843" s="122"/>
      <c r="G843" s="123"/>
      <c r="H843" s="44"/>
      <c r="I843" s="93"/>
      <c r="J843" s="44"/>
      <c r="K843" s="44"/>
      <c r="L843" s="93"/>
      <c r="M843" s="124"/>
      <c r="N843" s="44"/>
      <c r="O843" s="92"/>
      <c r="P843" s="110"/>
      <c r="Q843" s="44"/>
      <c r="R843" s="92"/>
      <c r="S843" s="125"/>
      <c r="T843" s="44"/>
      <c r="U843" s="92"/>
      <c r="V843" s="44"/>
      <c r="W843" s="44"/>
      <c r="X843" s="92"/>
      <c r="Y843" s="44"/>
      <c r="Z843" s="44"/>
      <c r="AA843" s="91"/>
    </row>
    <row r="844" spans="1:27" x14ac:dyDescent="0.2">
      <c r="A844" s="41"/>
      <c r="B844" s="41"/>
      <c r="C844" s="94"/>
      <c r="D844" s="140"/>
      <c r="E844" s="41"/>
      <c r="F844" s="127"/>
      <c r="G844" s="127"/>
      <c r="H844" s="41"/>
      <c r="I844" s="95"/>
      <c r="J844" s="41"/>
      <c r="K844" s="41"/>
      <c r="L844" s="95"/>
      <c r="M844" s="128"/>
      <c r="N844" s="41"/>
      <c r="O844" s="42"/>
      <c r="P844" s="52"/>
      <c r="Q844" s="41"/>
      <c r="R844" s="42"/>
      <c r="S844" s="129"/>
      <c r="T844" s="41"/>
      <c r="U844" s="42"/>
      <c r="V844" s="41"/>
      <c r="W844" s="41"/>
      <c r="X844" s="42"/>
      <c r="Y844" s="41"/>
      <c r="Z844" s="41"/>
      <c r="AA844" s="94"/>
    </row>
    <row r="845" spans="1:27" x14ac:dyDescent="0.2">
      <c r="A845" s="44"/>
      <c r="B845" s="44"/>
      <c r="C845" s="91"/>
      <c r="D845" s="139"/>
      <c r="E845" s="44"/>
      <c r="F845" s="122"/>
      <c r="G845" s="123"/>
      <c r="H845" s="44"/>
      <c r="I845" s="93"/>
      <c r="J845" s="44"/>
      <c r="K845" s="44"/>
      <c r="L845" s="93"/>
      <c r="M845" s="124"/>
      <c r="N845" s="44"/>
      <c r="O845" s="92"/>
      <c r="P845" s="110"/>
      <c r="Q845" s="44"/>
      <c r="R845" s="92"/>
      <c r="S845" s="125"/>
      <c r="T845" s="44"/>
      <c r="U845" s="92"/>
      <c r="V845" s="44"/>
      <c r="W845" s="44"/>
      <c r="X845" s="92"/>
      <c r="Y845" s="44"/>
      <c r="Z845" s="44"/>
      <c r="AA845" s="91"/>
    </row>
    <row r="846" spans="1:27" x14ac:dyDescent="0.2">
      <c r="A846" s="41"/>
      <c r="B846" s="41"/>
      <c r="C846" s="94"/>
      <c r="D846" s="140"/>
      <c r="E846" s="41"/>
      <c r="F846" s="126"/>
      <c r="G846" s="127"/>
      <c r="H846" s="41"/>
      <c r="I846" s="95"/>
      <c r="J846" s="41"/>
      <c r="K846" s="41"/>
      <c r="L846" s="95"/>
      <c r="M846" s="128"/>
      <c r="N846" s="41"/>
      <c r="O846" s="42"/>
      <c r="P846" s="52"/>
      <c r="Q846" s="41"/>
      <c r="R846" s="42"/>
      <c r="S846" s="129"/>
      <c r="T846" s="41"/>
      <c r="U846" s="42"/>
      <c r="V846" s="41"/>
      <c r="W846" s="41"/>
      <c r="X846" s="42"/>
      <c r="Y846" s="41"/>
      <c r="Z846" s="41"/>
      <c r="AA846" s="94"/>
    </row>
    <row r="847" spans="1:27" x14ac:dyDescent="0.2">
      <c r="A847" s="44"/>
      <c r="B847" s="44"/>
      <c r="C847" s="91"/>
      <c r="D847" s="139"/>
      <c r="E847" s="44"/>
      <c r="F847" s="122"/>
      <c r="G847" s="123"/>
      <c r="H847" s="44"/>
      <c r="I847" s="93"/>
      <c r="J847" s="44"/>
      <c r="K847" s="44"/>
      <c r="L847" s="93"/>
      <c r="M847" s="124"/>
      <c r="N847" s="44"/>
      <c r="O847" s="92"/>
      <c r="P847" s="110"/>
      <c r="Q847" s="44"/>
      <c r="R847" s="92"/>
      <c r="S847" s="125"/>
      <c r="T847" s="44"/>
      <c r="U847" s="92"/>
      <c r="V847" s="44"/>
      <c r="W847" s="44"/>
      <c r="X847" s="92"/>
      <c r="Y847" s="44"/>
      <c r="Z847" s="44"/>
      <c r="AA847" s="91"/>
    </row>
    <row r="848" spans="1:27" x14ac:dyDescent="0.2">
      <c r="A848" s="41"/>
      <c r="B848" s="41"/>
      <c r="C848" s="94"/>
      <c r="D848" s="140"/>
      <c r="E848" s="41"/>
      <c r="F848" s="126"/>
      <c r="G848" s="127"/>
      <c r="H848" s="41"/>
      <c r="I848" s="95"/>
      <c r="J848" s="41"/>
      <c r="K848" s="41"/>
      <c r="L848" s="95"/>
      <c r="M848" s="128"/>
      <c r="N848" s="41"/>
      <c r="O848" s="42"/>
      <c r="P848" s="52"/>
      <c r="Q848" s="41"/>
      <c r="R848" s="42"/>
      <c r="S848" s="129"/>
      <c r="T848" s="41"/>
      <c r="U848" s="42"/>
      <c r="V848" s="41"/>
      <c r="W848" s="41"/>
      <c r="X848" s="42"/>
      <c r="Y848" s="41"/>
      <c r="Z848" s="41"/>
      <c r="AA848" s="94"/>
    </row>
    <row r="849" spans="1:27" x14ac:dyDescent="0.2">
      <c r="A849" s="44"/>
      <c r="B849" s="44"/>
      <c r="C849" s="91"/>
      <c r="D849" s="139"/>
      <c r="E849" s="44"/>
      <c r="F849" s="122"/>
      <c r="G849" s="123"/>
      <c r="H849" s="44"/>
      <c r="I849" s="93"/>
      <c r="J849" s="44"/>
      <c r="K849" s="44"/>
      <c r="L849" s="93"/>
      <c r="M849" s="124"/>
      <c r="N849" s="44"/>
      <c r="O849" s="92"/>
      <c r="P849" s="110"/>
      <c r="Q849" s="44"/>
      <c r="R849" s="92"/>
      <c r="S849" s="125"/>
      <c r="T849" s="44"/>
      <c r="U849" s="92"/>
      <c r="V849" s="44"/>
      <c r="W849" s="44"/>
      <c r="X849" s="92"/>
      <c r="Y849" s="44"/>
      <c r="Z849" s="44"/>
      <c r="AA849" s="91"/>
    </row>
    <row r="850" spans="1:27" x14ac:dyDescent="0.2">
      <c r="A850" s="41"/>
      <c r="B850" s="41"/>
      <c r="C850" s="94"/>
      <c r="D850" s="140"/>
      <c r="E850" s="41"/>
      <c r="F850" s="126"/>
      <c r="G850" s="127"/>
      <c r="H850" s="41"/>
      <c r="I850" s="95"/>
      <c r="J850" s="41"/>
      <c r="K850" s="41"/>
      <c r="L850" s="95"/>
      <c r="M850" s="128"/>
      <c r="N850" s="41"/>
      <c r="O850" s="42"/>
      <c r="P850" s="52"/>
      <c r="Q850" s="41"/>
      <c r="R850" s="42"/>
      <c r="S850" s="129"/>
      <c r="T850" s="41"/>
      <c r="U850" s="42"/>
      <c r="V850" s="41"/>
      <c r="W850" s="41"/>
      <c r="X850" s="42"/>
      <c r="Y850" s="41"/>
      <c r="Z850" s="41"/>
      <c r="AA850" s="94"/>
    </row>
    <row r="851" spans="1:27" x14ac:dyDescent="0.2">
      <c r="A851" s="44"/>
      <c r="B851" s="44"/>
      <c r="C851" s="91"/>
      <c r="D851" s="139"/>
      <c r="E851" s="44"/>
      <c r="F851" s="122"/>
      <c r="G851" s="123"/>
      <c r="H851" s="44"/>
      <c r="I851" s="93"/>
      <c r="J851" s="44"/>
      <c r="K851" s="44"/>
      <c r="L851" s="93"/>
      <c r="M851" s="124"/>
      <c r="N851" s="44"/>
      <c r="O851" s="92"/>
      <c r="P851" s="110"/>
      <c r="Q851" s="44"/>
      <c r="R851" s="92"/>
      <c r="S851" s="125"/>
      <c r="T851" s="44"/>
      <c r="U851" s="92"/>
      <c r="V851" s="44"/>
      <c r="W851" s="44"/>
      <c r="X851" s="92"/>
      <c r="Y851" s="44"/>
      <c r="Z851" s="44"/>
      <c r="AA851" s="91"/>
    </row>
    <row r="852" spans="1:27" x14ac:dyDescent="0.2">
      <c r="A852" s="96"/>
      <c r="B852" s="44"/>
      <c r="C852" s="91"/>
      <c r="D852" s="139"/>
      <c r="E852" s="44"/>
      <c r="F852" s="122"/>
      <c r="G852" s="123"/>
      <c r="H852" s="44"/>
      <c r="I852" s="93"/>
      <c r="J852" s="44"/>
      <c r="K852" s="44"/>
      <c r="L852" s="93"/>
      <c r="M852" s="124"/>
      <c r="N852" s="44"/>
      <c r="O852" s="92"/>
      <c r="P852" s="110"/>
      <c r="Q852" s="44"/>
      <c r="R852" s="92"/>
      <c r="S852" s="125"/>
      <c r="T852" s="44"/>
      <c r="U852" s="92"/>
      <c r="V852" s="44"/>
      <c r="W852" s="44"/>
      <c r="X852" s="92"/>
      <c r="Y852" s="96"/>
      <c r="Z852" s="44"/>
      <c r="AA852" s="91"/>
    </row>
    <row r="853" spans="1:27" x14ac:dyDescent="0.2">
      <c r="A853" s="97"/>
      <c r="B853" s="41"/>
      <c r="C853" s="94"/>
      <c r="D853" s="140"/>
      <c r="E853" s="41"/>
      <c r="F853" s="126"/>
      <c r="G853" s="127"/>
      <c r="H853" s="41"/>
      <c r="I853" s="95"/>
      <c r="J853" s="41"/>
      <c r="K853" s="41"/>
      <c r="L853" s="95"/>
      <c r="M853" s="128"/>
      <c r="N853" s="41"/>
      <c r="O853" s="42"/>
      <c r="P853" s="52"/>
      <c r="Q853" s="41"/>
      <c r="R853" s="42"/>
      <c r="S853" s="129"/>
      <c r="T853" s="41"/>
      <c r="U853" s="42"/>
      <c r="V853" s="41"/>
      <c r="W853" s="41"/>
      <c r="X853" s="42"/>
      <c r="Y853" s="97"/>
      <c r="Z853" s="41"/>
      <c r="AA853" s="94"/>
    </row>
    <row r="854" spans="1:27" x14ac:dyDescent="0.2">
      <c r="A854" s="96"/>
      <c r="B854" s="44"/>
      <c r="C854" s="91"/>
      <c r="D854" s="139"/>
      <c r="E854" s="44"/>
      <c r="F854" s="122"/>
      <c r="G854" s="123"/>
      <c r="H854" s="44"/>
      <c r="I854" s="93"/>
      <c r="J854" s="44"/>
      <c r="K854" s="44"/>
      <c r="L854" s="93"/>
      <c r="M854" s="124"/>
      <c r="N854" s="44"/>
      <c r="O854" s="92"/>
      <c r="P854" s="110"/>
      <c r="Q854" s="44"/>
      <c r="R854" s="92"/>
      <c r="S854" s="125"/>
      <c r="T854" s="44"/>
      <c r="U854" s="92"/>
      <c r="V854" s="44"/>
      <c r="W854" s="44"/>
      <c r="X854" s="92"/>
      <c r="Y854" s="96"/>
      <c r="Z854" s="44"/>
      <c r="AA854" s="91"/>
    </row>
    <row r="855" spans="1:27" x14ac:dyDescent="0.2">
      <c r="A855" s="97"/>
      <c r="B855" s="41"/>
      <c r="C855" s="94"/>
      <c r="D855" s="140"/>
      <c r="E855" s="41"/>
      <c r="F855" s="126"/>
      <c r="G855" s="127"/>
      <c r="H855" s="41"/>
      <c r="I855" s="95"/>
      <c r="J855" s="41"/>
      <c r="K855" s="41"/>
      <c r="L855" s="95"/>
      <c r="M855" s="128"/>
      <c r="N855" s="41"/>
      <c r="O855" s="42"/>
      <c r="P855" s="52"/>
      <c r="Q855" s="41"/>
      <c r="R855" s="42"/>
      <c r="S855" s="129"/>
      <c r="T855" s="41"/>
      <c r="U855" s="42"/>
      <c r="V855" s="41"/>
      <c r="W855" s="41"/>
      <c r="X855" s="42"/>
      <c r="Y855" s="97"/>
      <c r="Z855" s="41"/>
      <c r="AA855" s="94"/>
    </row>
    <row r="856" spans="1:27" x14ac:dyDescent="0.2">
      <c r="A856" s="97"/>
      <c r="B856" s="41"/>
      <c r="C856" s="94"/>
      <c r="D856" s="140"/>
      <c r="E856" s="41"/>
      <c r="F856" s="126"/>
      <c r="G856" s="127"/>
      <c r="H856" s="41"/>
      <c r="I856" s="95"/>
      <c r="J856" s="41"/>
      <c r="K856" s="41"/>
      <c r="L856" s="95"/>
      <c r="M856" s="128"/>
      <c r="N856" s="41"/>
      <c r="O856" s="42"/>
      <c r="P856" s="52"/>
      <c r="Q856" s="41"/>
      <c r="R856" s="42"/>
      <c r="S856" s="129"/>
      <c r="T856" s="41"/>
      <c r="U856" s="42"/>
      <c r="V856" s="41"/>
      <c r="W856" s="41"/>
      <c r="X856" s="42"/>
      <c r="Y856" s="97"/>
      <c r="Z856" s="41"/>
      <c r="AA856" s="94"/>
    </row>
    <row r="857" spans="1:27" x14ac:dyDescent="0.2">
      <c r="A857" s="97"/>
      <c r="B857" s="41"/>
      <c r="C857" s="94"/>
      <c r="D857" s="140"/>
      <c r="E857" s="41"/>
      <c r="F857" s="126"/>
      <c r="G857" s="127"/>
      <c r="H857" s="41"/>
      <c r="I857" s="95"/>
      <c r="J857" s="41"/>
      <c r="K857" s="41"/>
      <c r="L857" s="95"/>
      <c r="M857" s="128"/>
      <c r="N857" s="41"/>
      <c r="O857" s="42"/>
      <c r="P857" s="52"/>
      <c r="Q857" s="41"/>
      <c r="R857" s="42"/>
      <c r="S857" s="129"/>
      <c r="T857" s="41"/>
      <c r="U857" s="42"/>
      <c r="V857" s="41"/>
      <c r="W857" s="41"/>
      <c r="X857" s="42"/>
      <c r="Y857" s="97"/>
      <c r="Z857" s="41"/>
      <c r="AA857" s="94"/>
    </row>
    <row r="858" spans="1:27" x14ac:dyDescent="0.2">
      <c r="A858" s="97"/>
      <c r="B858" s="41"/>
      <c r="C858" s="94"/>
      <c r="D858" s="140"/>
      <c r="E858" s="41"/>
      <c r="F858" s="126"/>
      <c r="G858" s="127"/>
      <c r="H858" s="41"/>
      <c r="I858" s="95"/>
      <c r="J858" s="41"/>
      <c r="K858" s="41"/>
      <c r="L858" s="95"/>
      <c r="M858" s="128"/>
      <c r="N858" s="41"/>
      <c r="O858" s="42"/>
      <c r="P858" s="52"/>
      <c r="Q858" s="41"/>
      <c r="R858" s="42"/>
      <c r="S858" s="129"/>
      <c r="T858" s="41"/>
      <c r="U858" s="42"/>
      <c r="V858" s="41"/>
      <c r="W858" s="41"/>
      <c r="X858" s="42"/>
      <c r="Y858" s="97"/>
      <c r="Z858" s="41"/>
      <c r="AA858" s="94"/>
    </row>
    <row r="859" spans="1:27" x14ac:dyDescent="0.2">
      <c r="A859" s="96"/>
      <c r="B859" s="44"/>
      <c r="C859" s="91"/>
      <c r="D859" s="139"/>
      <c r="E859" s="44"/>
      <c r="F859" s="122"/>
      <c r="G859" s="123"/>
      <c r="H859" s="44"/>
      <c r="I859" s="93"/>
      <c r="J859" s="44"/>
      <c r="K859" s="44"/>
      <c r="L859" s="93"/>
      <c r="M859" s="124"/>
      <c r="N859" s="44"/>
      <c r="O859" s="92"/>
      <c r="P859" s="110"/>
      <c r="Q859" s="44"/>
      <c r="R859" s="92"/>
      <c r="S859" s="125"/>
      <c r="T859" s="44"/>
      <c r="U859" s="92"/>
      <c r="V859" s="44"/>
      <c r="W859" s="44"/>
      <c r="X859" s="92"/>
      <c r="Y859" s="96"/>
      <c r="Z859" s="44"/>
      <c r="AA859" s="91"/>
    </row>
    <row r="860" spans="1:27" x14ac:dyDescent="0.2">
      <c r="A860" s="96"/>
      <c r="B860" s="44"/>
      <c r="C860" s="91"/>
      <c r="D860" s="139"/>
      <c r="E860" s="44"/>
      <c r="F860" s="122"/>
      <c r="G860" s="123"/>
      <c r="H860" s="44"/>
      <c r="I860" s="93"/>
      <c r="J860" s="44"/>
      <c r="K860" s="44"/>
      <c r="L860" s="93"/>
      <c r="M860" s="124"/>
      <c r="N860" s="44"/>
      <c r="O860" s="92"/>
      <c r="P860" s="110"/>
      <c r="Q860" s="44"/>
      <c r="R860" s="92"/>
      <c r="S860" s="125"/>
      <c r="T860" s="44"/>
      <c r="U860" s="92"/>
      <c r="V860" s="44"/>
      <c r="W860" s="44"/>
      <c r="X860" s="92"/>
      <c r="Y860" s="96"/>
      <c r="Z860" s="44"/>
      <c r="AA860" s="91"/>
    </row>
    <row r="861" spans="1:27" x14ac:dyDescent="0.2">
      <c r="A861" s="96"/>
      <c r="B861" s="44"/>
      <c r="C861" s="91"/>
      <c r="D861" s="139"/>
      <c r="E861" s="44"/>
      <c r="F861" s="122"/>
      <c r="G861" s="123"/>
      <c r="H861" s="44"/>
      <c r="I861" s="93"/>
      <c r="J861" s="44"/>
      <c r="K861" s="44"/>
      <c r="L861" s="93"/>
      <c r="M861" s="124"/>
      <c r="N861" s="44"/>
      <c r="O861" s="92"/>
      <c r="P861" s="110"/>
      <c r="Q861" s="44"/>
      <c r="R861" s="92"/>
      <c r="S861" s="125"/>
      <c r="T861" s="44"/>
      <c r="U861" s="92"/>
      <c r="V861" s="44"/>
      <c r="W861" s="44"/>
      <c r="X861" s="92"/>
      <c r="Y861" s="96"/>
      <c r="Z861" s="44"/>
      <c r="AA861" s="91"/>
    </row>
    <row r="862" spans="1:27" x14ac:dyDescent="0.2">
      <c r="A862" s="96"/>
      <c r="B862" s="44"/>
      <c r="C862" s="91"/>
      <c r="D862" s="139"/>
      <c r="E862" s="44"/>
      <c r="F862" s="122"/>
      <c r="G862" s="123"/>
      <c r="H862" s="44"/>
      <c r="I862" s="93"/>
      <c r="J862" s="44"/>
      <c r="K862" s="44"/>
      <c r="L862" s="93"/>
      <c r="M862" s="124"/>
      <c r="N862" s="44"/>
      <c r="O862" s="92"/>
      <c r="P862" s="110"/>
      <c r="Q862" s="44"/>
      <c r="R862" s="92"/>
      <c r="S862" s="125"/>
      <c r="T862" s="44"/>
      <c r="U862" s="92"/>
      <c r="V862" s="44"/>
      <c r="W862" s="44"/>
      <c r="X862" s="92"/>
      <c r="Y862" s="96"/>
      <c r="Z862" s="44"/>
      <c r="AA862" s="91"/>
    </row>
    <row r="863" spans="1:27" x14ac:dyDescent="0.2">
      <c r="A863" s="96"/>
      <c r="B863" s="44"/>
      <c r="C863" s="91"/>
      <c r="D863" s="139"/>
      <c r="E863" s="44"/>
      <c r="F863" s="122"/>
      <c r="G863" s="123"/>
      <c r="H863" s="44"/>
      <c r="I863" s="93"/>
      <c r="J863" s="44"/>
      <c r="K863" s="44"/>
      <c r="L863" s="93"/>
      <c r="M863" s="124"/>
      <c r="N863" s="44"/>
      <c r="O863" s="92"/>
      <c r="P863" s="110"/>
      <c r="Q863" s="44"/>
      <c r="R863" s="92"/>
      <c r="S863" s="125"/>
      <c r="T863" s="44"/>
      <c r="U863" s="92"/>
      <c r="V863" s="44"/>
      <c r="W863" s="44"/>
      <c r="X863" s="92"/>
      <c r="Y863" s="96"/>
      <c r="Z863" s="44"/>
      <c r="AA863" s="91"/>
    </row>
    <row r="864" spans="1:27" x14ac:dyDescent="0.2">
      <c r="A864" s="97"/>
      <c r="B864" s="41"/>
      <c r="C864" s="94"/>
      <c r="D864" s="140"/>
      <c r="E864" s="41"/>
      <c r="F864" s="126"/>
      <c r="G864" s="127"/>
      <c r="H864" s="41"/>
      <c r="I864" s="95"/>
      <c r="J864" s="41"/>
      <c r="K864" s="41"/>
      <c r="L864" s="95"/>
      <c r="M864" s="128"/>
      <c r="N864" s="41"/>
      <c r="O864" s="42"/>
      <c r="P864" s="52"/>
      <c r="Q864" s="41"/>
      <c r="R864" s="42"/>
      <c r="S864" s="129"/>
      <c r="T864" s="41"/>
      <c r="U864" s="42"/>
      <c r="V864" s="41"/>
      <c r="W864" s="41"/>
      <c r="X864" s="42"/>
      <c r="Y864" s="97"/>
      <c r="Z864" s="41"/>
      <c r="AA864" s="94"/>
    </row>
    <row r="865" spans="1:27" x14ac:dyDescent="0.2">
      <c r="A865" s="96"/>
      <c r="B865" s="44"/>
      <c r="C865" s="91"/>
      <c r="D865" s="139"/>
      <c r="E865" s="44"/>
      <c r="F865" s="122"/>
      <c r="G865" s="123"/>
      <c r="H865" s="44"/>
      <c r="I865" s="93"/>
      <c r="J865" s="44"/>
      <c r="K865" s="44"/>
      <c r="L865" s="93"/>
      <c r="M865" s="124"/>
      <c r="N865" s="44"/>
      <c r="O865" s="92"/>
      <c r="P865" s="110"/>
      <c r="Q865" s="44"/>
      <c r="R865" s="92"/>
      <c r="S865" s="125"/>
      <c r="T865" s="44"/>
      <c r="U865" s="92"/>
      <c r="V865" s="44"/>
      <c r="W865" s="44"/>
      <c r="X865" s="92"/>
      <c r="Y865" s="96"/>
      <c r="Z865" s="44"/>
      <c r="AA865" s="91"/>
    </row>
    <row r="866" spans="1:27" x14ac:dyDescent="0.2">
      <c r="A866" s="97"/>
      <c r="B866" s="41"/>
      <c r="C866" s="94"/>
      <c r="D866" s="140"/>
      <c r="E866" s="41"/>
      <c r="F866" s="126"/>
      <c r="G866" s="127"/>
      <c r="H866" s="41"/>
      <c r="I866" s="95"/>
      <c r="J866" s="41"/>
      <c r="K866" s="41"/>
      <c r="L866" s="95"/>
      <c r="M866" s="128"/>
      <c r="N866" s="41"/>
      <c r="O866" s="42"/>
      <c r="P866" s="52"/>
      <c r="Q866" s="41"/>
      <c r="R866" s="42"/>
      <c r="S866" s="129"/>
      <c r="T866" s="41"/>
      <c r="U866" s="42"/>
      <c r="V866" s="41"/>
      <c r="W866" s="41"/>
      <c r="X866" s="42"/>
      <c r="Y866" s="97"/>
      <c r="Z866" s="41"/>
      <c r="AA866" s="94"/>
    </row>
    <row r="867" spans="1:27" x14ac:dyDescent="0.2">
      <c r="A867" s="96"/>
      <c r="B867" s="44"/>
      <c r="C867" s="91"/>
      <c r="D867" s="139"/>
      <c r="E867" s="44"/>
      <c r="F867" s="122"/>
      <c r="G867" s="123"/>
      <c r="H867" s="44"/>
      <c r="I867" s="93"/>
      <c r="J867" s="44"/>
      <c r="K867" s="44"/>
      <c r="L867" s="93"/>
      <c r="M867" s="124"/>
      <c r="N867" s="44"/>
      <c r="O867" s="92"/>
      <c r="P867" s="110"/>
      <c r="Q867" s="44"/>
      <c r="R867" s="92"/>
      <c r="S867" s="125"/>
      <c r="T867" s="44"/>
      <c r="U867" s="92"/>
      <c r="V867" s="44"/>
      <c r="W867" s="44"/>
      <c r="X867" s="92"/>
      <c r="Y867" s="96"/>
      <c r="Z867" s="44"/>
      <c r="AA867" s="91"/>
    </row>
    <row r="868" spans="1:27" x14ac:dyDescent="0.2">
      <c r="A868" s="96"/>
      <c r="B868" s="44"/>
      <c r="C868" s="91"/>
      <c r="D868" s="139"/>
      <c r="E868" s="44"/>
      <c r="F868" s="122"/>
      <c r="G868" s="123"/>
      <c r="H868" s="44"/>
      <c r="I868" s="93"/>
      <c r="J868" s="44"/>
      <c r="K868" s="44"/>
      <c r="L868" s="93"/>
      <c r="M868" s="124"/>
      <c r="N868" s="44"/>
      <c r="O868" s="92"/>
      <c r="P868" s="110"/>
      <c r="Q868" s="44"/>
      <c r="R868" s="92"/>
      <c r="S868" s="125"/>
      <c r="T868" s="44"/>
      <c r="U868" s="92"/>
      <c r="V868" s="44"/>
      <c r="W868" s="44"/>
      <c r="X868" s="92"/>
      <c r="Y868" s="96"/>
      <c r="Z868" s="44"/>
      <c r="AA868" s="91"/>
    </row>
    <row r="869" spans="1:27" x14ac:dyDescent="0.2">
      <c r="A869" s="97"/>
      <c r="B869" s="41"/>
      <c r="C869" s="94"/>
      <c r="D869" s="140"/>
      <c r="E869" s="41"/>
      <c r="F869" s="126"/>
      <c r="G869" s="127"/>
      <c r="H869" s="41"/>
      <c r="I869" s="95"/>
      <c r="J869" s="41"/>
      <c r="K869" s="41"/>
      <c r="L869" s="95"/>
      <c r="M869" s="128"/>
      <c r="N869" s="41"/>
      <c r="O869" s="42"/>
      <c r="P869" s="52"/>
      <c r="Q869" s="41"/>
      <c r="R869" s="42"/>
      <c r="S869" s="129"/>
      <c r="T869" s="41"/>
      <c r="U869" s="42"/>
      <c r="V869" s="41"/>
      <c r="W869" s="41"/>
      <c r="X869" s="42"/>
      <c r="Y869" s="97"/>
      <c r="Z869" s="41"/>
      <c r="AA869" s="94"/>
    </row>
    <row r="870" spans="1:27" x14ac:dyDescent="0.2">
      <c r="A870" s="96"/>
      <c r="B870" s="44"/>
      <c r="C870" s="91"/>
      <c r="D870" s="139"/>
      <c r="E870" s="44"/>
      <c r="F870" s="122"/>
      <c r="G870" s="123"/>
      <c r="H870" s="44"/>
      <c r="I870" s="93"/>
      <c r="J870" s="44"/>
      <c r="K870" s="44"/>
      <c r="L870" s="93"/>
      <c r="M870" s="124"/>
      <c r="N870" s="44"/>
      <c r="O870" s="92"/>
      <c r="P870" s="110"/>
      <c r="Q870" s="44"/>
      <c r="R870" s="92"/>
      <c r="S870" s="125"/>
      <c r="T870" s="44"/>
      <c r="U870" s="92"/>
      <c r="V870" s="44"/>
      <c r="W870" s="44"/>
      <c r="X870" s="92"/>
      <c r="Y870" s="96"/>
      <c r="Z870" s="44"/>
      <c r="AA870" s="91"/>
    </row>
    <row r="871" spans="1:27" x14ac:dyDescent="0.2">
      <c r="A871" s="96"/>
      <c r="B871" s="44"/>
      <c r="C871" s="91"/>
      <c r="D871" s="139"/>
      <c r="E871" s="44"/>
      <c r="F871" s="122"/>
      <c r="G871" s="123"/>
      <c r="H871" s="44"/>
      <c r="I871" s="93"/>
      <c r="J871" s="44"/>
      <c r="K871" s="44"/>
      <c r="L871" s="93"/>
      <c r="M871" s="124"/>
      <c r="N871" s="44"/>
      <c r="O871" s="92"/>
      <c r="P871" s="110"/>
      <c r="Q871" s="44"/>
      <c r="R871" s="92"/>
      <c r="S871" s="125"/>
      <c r="T871" s="44"/>
      <c r="U871" s="92"/>
      <c r="V871" s="44"/>
      <c r="W871" s="44"/>
      <c r="X871" s="92"/>
      <c r="Y871" s="96"/>
      <c r="Z871" s="44"/>
      <c r="AA871" s="91"/>
    </row>
    <row r="872" spans="1:27" x14ac:dyDescent="0.2">
      <c r="A872" s="97"/>
      <c r="B872" s="41"/>
      <c r="C872" s="94"/>
      <c r="D872" s="140"/>
      <c r="E872" s="41"/>
      <c r="F872" s="126"/>
      <c r="G872" s="127"/>
      <c r="H872" s="41"/>
      <c r="I872" s="95"/>
      <c r="J872" s="41"/>
      <c r="K872" s="41"/>
      <c r="L872" s="95"/>
      <c r="M872" s="128"/>
      <c r="N872" s="41"/>
      <c r="O872" s="42"/>
      <c r="P872" s="52"/>
      <c r="Q872" s="41"/>
      <c r="R872" s="42"/>
      <c r="S872" s="129"/>
      <c r="T872" s="41"/>
      <c r="U872" s="42"/>
      <c r="V872" s="41"/>
      <c r="W872" s="41"/>
      <c r="X872" s="42"/>
      <c r="Y872" s="97"/>
      <c r="Z872" s="41"/>
      <c r="AA872" s="94"/>
    </row>
    <row r="873" spans="1:27" x14ac:dyDescent="0.2">
      <c r="A873" s="97"/>
      <c r="B873" s="41"/>
      <c r="C873" s="94"/>
      <c r="D873" s="140"/>
      <c r="E873" s="41"/>
      <c r="F873" s="126"/>
      <c r="G873" s="127"/>
      <c r="H873" s="41"/>
      <c r="I873" s="95"/>
      <c r="J873" s="41"/>
      <c r="K873" s="41"/>
      <c r="L873" s="95"/>
      <c r="M873" s="128"/>
      <c r="N873" s="41"/>
      <c r="O873" s="42"/>
      <c r="P873" s="52"/>
      <c r="Q873" s="41"/>
      <c r="R873" s="42"/>
      <c r="S873" s="129"/>
      <c r="T873" s="41"/>
      <c r="U873" s="42"/>
      <c r="V873" s="41"/>
      <c r="W873" s="41"/>
      <c r="X873" s="42"/>
      <c r="Y873" s="97"/>
      <c r="Z873" s="41"/>
      <c r="AA873" s="94"/>
    </row>
    <row r="874" spans="1:27" x14ac:dyDescent="0.2">
      <c r="A874" s="96"/>
      <c r="B874" s="44"/>
      <c r="C874" s="91"/>
      <c r="D874" s="139"/>
      <c r="E874" s="44"/>
      <c r="F874" s="122"/>
      <c r="G874" s="123"/>
      <c r="H874" s="44"/>
      <c r="I874" s="93"/>
      <c r="J874" s="44"/>
      <c r="K874" s="44"/>
      <c r="L874" s="93"/>
      <c r="M874" s="124"/>
      <c r="N874" s="44"/>
      <c r="O874" s="92"/>
      <c r="P874" s="110"/>
      <c r="Q874" s="44"/>
      <c r="R874" s="92"/>
      <c r="S874" s="125"/>
      <c r="T874" s="44"/>
      <c r="U874" s="92"/>
      <c r="V874" s="44"/>
      <c r="W874" s="44"/>
      <c r="X874" s="92"/>
      <c r="Y874" s="96"/>
      <c r="Z874" s="44"/>
      <c r="AA874" s="91"/>
    </row>
    <row r="875" spans="1:27" x14ac:dyDescent="0.2">
      <c r="A875" s="96"/>
      <c r="B875" s="44"/>
      <c r="C875" s="91"/>
      <c r="D875" s="139"/>
      <c r="E875" s="44"/>
      <c r="F875" s="122"/>
      <c r="G875" s="123"/>
      <c r="H875" s="44"/>
      <c r="I875" s="93"/>
      <c r="J875" s="44"/>
      <c r="K875" s="44"/>
      <c r="L875" s="93"/>
      <c r="M875" s="124"/>
      <c r="N875" s="44"/>
      <c r="O875" s="92"/>
      <c r="P875" s="110"/>
      <c r="Q875" s="44"/>
      <c r="R875" s="92"/>
      <c r="S875" s="125"/>
      <c r="T875" s="44"/>
      <c r="U875" s="92"/>
      <c r="V875" s="44"/>
      <c r="W875" s="44"/>
      <c r="X875" s="92"/>
      <c r="Y875" s="96"/>
      <c r="Z875" s="44"/>
      <c r="AA875" s="91"/>
    </row>
    <row r="876" spans="1:27" x14ac:dyDescent="0.2">
      <c r="A876" s="97"/>
      <c r="B876" s="41"/>
      <c r="C876" s="94"/>
      <c r="D876" s="140"/>
      <c r="E876" s="41"/>
      <c r="F876" s="126"/>
      <c r="G876" s="127"/>
      <c r="H876" s="41"/>
      <c r="I876" s="95"/>
      <c r="J876" s="41"/>
      <c r="K876" s="41"/>
      <c r="L876" s="95"/>
      <c r="M876" s="128"/>
      <c r="N876" s="41"/>
      <c r="O876" s="42"/>
      <c r="P876" s="52"/>
      <c r="Q876" s="41"/>
      <c r="R876" s="42"/>
      <c r="S876" s="129"/>
      <c r="T876" s="41"/>
      <c r="U876" s="42"/>
      <c r="V876" s="41"/>
      <c r="W876" s="41"/>
      <c r="X876" s="42"/>
      <c r="Y876" s="97"/>
      <c r="Z876" s="41"/>
      <c r="AA876" s="94"/>
    </row>
    <row r="877" spans="1:27" x14ac:dyDescent="0.2">
      <c r="A877" s="87"/>
      <c r="B877" s="87"/>
      <c r="C877" s="88"/>
      <c r="D877" s="138"/>
      <c r="E877" s="87"/>
      <c r="F877" s="118"/>
      <c r="G877" s="119"/>
      <c r="H877" s="87"/>
      <c r="I877" s="90"/>
      <c r="J877" s="87"/>
      <c r="K877" s="87"/>
      <c r="L877" s="90"/>
      <c r="M877" s="120"/>
      <c r="N877" s="87"/>
      <c r="O877" s="89"/>
      <c r="P877" s="130"/>
      <c r="Q877" s="87"/>
      <c r="R877" s="89"/>
      <c r="S877" s="121"/>
      <c r="T877" s="87"/>
      <c r="U877" s="89"/>
      <c r="V877" s="87"/>
      <c r="W877" s="87"/>
      <c r="X877" s="89"/>
      <c r="Y877" s="87"/>
      <c r="Z877" s="87"/>
      <c r="AA877" s="88"/>
    </row>
    <row r="878" spans="1:27" x14ac:dyDescent="0.2">
      <c r="A878" s="44"/>
      <c r="B878" s="44"/>
      <c r="C878" s="91"/>
      <c r="D878" s="139"/>
      <c r="E878" s="44"/>
      <c r="F878" s="122"/>
      <c r="G878" s="123"/>
      <c r="H878" s="44"/>
      <c r="I878" s="93"/>
      <c r="J878" s="44"/>
      <c r="K878" s="44"/>
      <c r="L878" s="93"/>
      <c r="M878" s="124"/>
      <c r="N878" s="44"/>
      <c r="O878" s="92"/>
      <c r="P878" s="110"/>
      <c r="Q878" s="44"/>
      <c r="R878" s="92"/>
      <c r="S878" s="125"/>
      <c r="T878" s="44"/>
      <c r="U878" s="92"/>
      <c r="V878" s="44"/>
      <c r="W878" s="44"/>
      <c r="X878" s="92"/>
      <c r="Y878" s="44"/>
      <c r="Z878" s="44"/>
      <c r="AA878" s="91"/>
    </row>
    <row r="879" spans="1:27" x14ac:dyDescent="0.2">
      <c r="A879" s="41"/>
      <c r="B879" s="41"/>
      <c r="C879" s="94"/>
      <c r="D879" s="140"/>
      <c r="E879" s="41"/>
      <c r="F879" s="126"/>
      <c r="G879" s="127"/>
      <c r="H879" s="41"/>
      <c r="I879" s="95"/>
      <c r="J879" s="41"/>
      <c r="K879" s="41"/>
      <c r="L879" s="95"/>
      <c r="M879" s="128"/>
      <c r="N879" s="41"/>
      <c r="O879" s="42"/>
      <c r="P879" s="52"/>
      <c r="Q879" s="41"/>
      <c r="R879" s="42"/>
      <c r="S879" s="129"/>
      <c r="T879" s="41"/>
      <c r="U879" s="42"/>
      <c r="V879" s="41"/>
      <c r="W879" s="41"/>
      <c r="X879" s="42"/>
      <c r="Y879" s="41"/>
      <c r="Z879" s="41"/>
      <c r="AA879" s="94"/>
    </row>
    <row r="880" spans="1:27" x14ac:dyDescent="0.2">
      <c r="A880" s="44"/>
      <c r="B880" s="44"/>
      <c r="C880" s="91"/>
      <c r="D880" s="139"/>
      <c r="E880" s="44"/>
      <c r="F880" s="122"/>
      <c r="G880" s="123"/>
      <c r="H880" s="44"/>
      <c r="I880" s="93"/>
      <c r="J880" s="44"/>
      <c r="K880" s="44"/>
      <c r="L880" s="93"/>
      <c r="M880" s="124"/>
      <c r="N880" s="44"/>
      <c r="O880" s="92"/>
      <c r="P880" s="110"/>
      <c r="Q880" s="44"/>
      <c r="R880" s="92"/>
      <c r="S880" s="125"/>
      <c r="T880" s="44"/>
      <c r="U880" s="92"/>
      <c r="V880" s="44"/>
      <c r="W880" s="44"/>
      <c r="X880" s="92"/>
      <c r="Y880" s="44"/>
      <c r="Z880" s="44"/>
      <c r="AA880" s="91"/>
    </row>
    <row r="881" spans="1:27" x14ac:dyDescent="0.2">
      <c r="A881" s="87"/>
      <c r="B881" s="87"/>
      <c r="C881" s="88"/>
      <c r="D881" s="138"/>
      <c r="E881" s="87"/>
      <c r="F881" s="118"/>
      <c r="G881" s="119"/>
      <c r="H881" s="87"/>
      <c r="I881" s="90"/>
      <c r="J881" s="87"/>
      <c r="K881" s="87"/>
      <c r="L881" s="90"/>
      <c r="M881" s="120"/>
      <c r="N881" s="87"/>
      <c r="O881" s="89"/>
      <c r="P881" s="87"/>
      <c r="Q881" s="87"/>
      <c r="R881" s="89"/>
      <c r="S881" s="121"/>
      <c r="T881" s="87"/>
      <c r="U881" s="89"/>
      <c r="V881" s="87"/>
      <c r="W881" s="87"/>
      <c r="X881" s="89"/>
      <c r="Y881" s="87"/>
      <c r="Z881" s="87"/>
      <c r="AA881" s="88"/>
    </row>
    <row r="882" spans="1:27" x14ac:dyDescent="0.2">
      <c r="A882" s="44"/>
      <c r="B882" s="44"/>
      <c r="C882" s="91"/>
      <c r="D882" s="139"/>
      <c r="E882" s="44"/>
      <c r="F882" s="122"/>
      <c r="G882" s="123"/>
      <c r="H882" s="44"/>
      <c r="I882" s="93"/>
      <c r="J882" s="44"/>
      <c r="K882" s="44"/>
      <c r="L882" s="93"/>
      <c r="M882" s="124"/>
      <c r="N882" s="44"/>
      <c r="O882" s="92"/>
      <c r="P882" s="110"/>
      <c r="Q882" s="44"/>
      <c r="R882" s="92"/>
      <c r="S882" s="125"/>
      <c r="T882" s="44"/>
      <c r="U882" s="92"/>
      <c r="V882" s="44"/>
      <c r="W882" s="44"/>
      <c r="X882" s="92"/>
      <c r="Y882" s="44"/>
      <c r="Z882" s="44"/>
      <c r="AA882" s="91"/>
    </row>
    <row r="883" spans="1:27" x14ac:dyDescent="0.2">
      <c r="A883" s="41"/>
      <c r="B883" s="41"/>
      <c r="C883" s="94"/>
      <c r="D883" s="140"/>
      <c r="E883" s="41"/>
      <c r="F883" s="126"/>
      <c r="G883" s="127"/>
      <c r="H883" s="41"/>
      <c r="I883" s="95"/>
      <c r="J883" s="41"/>
      <c r="K883" s="41"/>
      <c r="L883" s="95"/>
      <c r="M883" s="128"/>
      <c r="N883" s="41"/>
      <c r="O883" s="42"/>
      <c r="P883" s="52"/>
      <c r="Q883" s="41"/>
      <c r="R883" s="42"/>
      <c r="S883" s="129"/>
      <c r="T883" s="41"/>
      <c r="U883" s="42"/>
      <c r="V883" s="41"/>
      <c r="W883" s="41"/>
      <c r="X883" s="42"/>
      <c r="Y883" s="41"/>
      <c r="Z883" s="41"/>
      <c r="AA883" s="94"/>
    </row>
    <row r="884" spans="1:27" x14ac:dyDescent="0.2">
      <c r="A884" s="44"/>
      <c r="B884" s="44"/>
      <c r="C884" s="91"/>
      <c r="D884" s="139"/>
      <c r="E884" s="44"/>
      <c r="F884" s="122"/>
      <c r="G884" s="123"/>
      <c r="H884" s="44"/>
      <c r="I884" s="93"/>
      <c r="J884" s="44"/>
      <c r="K884" s="44"/>
      <c r="L884" s="93"/>
      <c r="M884" s="124"/>
      <c r="N884" s="44"/>
      <c r="O884" s="92"/>
      <c r="P884" s="110"/>
      <c r="Q884" s="44"/>
      <c r="R884" s="92"/>
      <c r="S884" s="125"/>
      <c r="T884" s="44"/>
      <c r="U884" s="92"/>
      <c r="V884" s="44"/>
      <c r="W884" s="44"/>
      <c r="X884" s="92"/>
      <c r="Y884" s="44"/>
      <c r="Z884" s="44"/>
      <c r="AA884" s="91"/>
    </row>
    <row r="885" spans="1:27" x14ac:dyDescent="0.2">
      <c r="A885" s="41"/>
      <c r="B885" s="41"/>
      <c r="C885" s="94"/>
      <c r="D885" s="140"/>
      <c r="E885" s="41"/>
      <c r="F885" s="126"/>
      <c r="G885" s="127"/>
      <c r="H885" s="41"/>
      <c r="I885" s="95"/>
      <c r="J885" s="41"/>
      <c r="K885" s="41"/>
      <c r="L885" s="95"/>
      <c r="M885" s="128"/>
      <c r="N885" s="41"/>
      <c r="O885" s="42"/>
      <c r="P885" s="52"/>
      <c r="Q885" s="41"/>
      <c r="R885" s="42"/>
      <c r="S885" s="129"/>
      <c r="T885" s="41"/>
      <c r="U885" s="42"/>
      <c r="V885" s="41"/>
      <c r="W885" s="41"/>
      <c r="X885" s="42"/>
      <c r="Y885" s="41"/>
      <c r="Z885" s="41"/>
      <c r="AA885" s="94"/>
    </row>
    <row r="886" spans="1:27" x14ac:dyDescent="0.2">
      <c r="A886" s="44"/>
      <c r="B886" s="44"/>
      <c r="C886" s="91"/>
      <c r="D886" s="139"/>
      <c r="E886" s="44"/>
      <c r="F886" s="122"/>
      <c r="G886" s="123"/>
      <c r="H886" s="44"/>
      <c r="I886" s="93"/>
      <c r="J886" s="44"/>
      <c r="K886" s="44"/>
      <c r="L886" s="93"/>
      <c r="M886" s="124"/>
      <c r="N886" s="44"/>
      <c r="O886" s="92"/>
      <c r="P886" s="110"/>
      <c r="Q886" s="44"/>
      <c r="R886" s="92"/>
      <c r="S886" s="125"/>
      <c r="T886" s="44"/>
      <c r="U886" s="92"/>
      <c r="V886" s="44"/>
      <c r="W886" s="44"/>
      <c r="X886" s="92"/>
      <c r="Y886" s="44"/>
      <c r="Z886" s="44"/>
      <c r="AA886" s="91"/>
    </row>
    <row r="887" spans="1:27" x14ac:dyDescent="0.2">
      <c r="A887" s="41"/>
      <c r="B887" s="41"/>
      <c r="C887" s="94"/>
      <c r="D887" s="140"/>
      <c r="E887" s="41"/>
      <c r="F887" s="126"/>
      <c r="G887" s="127"/>
      <c r="H887" s="41"/>
      <c r="I887" s="95"/>
      <c r="J887" s="41"/>
      <c r="K887" s="41"/>
      <c r="L887" s="95"/>
      <c r="M887" s="128"/>
      <c r="N887" s="41"/>
      <c r="O887" s="42"/>
      <c r="P887" s="52"/>
      <c r="Q887" s="41"/>
      <c r="R887" s="42"/>
      <c r="S887" s="129"/>
      <c r="T887" s="41"/>
      <c r="U887" s="42"/>
      <c r="V887" s="41"/>
      <c r="W887" s="41"/>
      <c r="X887" s="42"/>
      <c r="Y887" s="41"/>
      <c r="Z887" s="41"/>
      <c r="AA887" s="94"/>
    </row>
    <row r="888" spans="1:27" x14ac:dyDescent="0.2">
      <c r="A888" s="44"/>
      <c r="B888" s="44"/>
      <c r="C888" s="91"/>
      <c r="D888" s="139"/>
      <c r="E888" s="44"/>
      <c r="F888" s="122"/>
      <c r="G888" s="123"/>
      <c r="H888" s="44"/>
      <c r="I888" s="93"/>
      <c r="J888" s="44"/>
      <c r="K888" s="44"/>
      <c r="L888" s="93"/>
      <c r="M888" s="124"/>
      <c r="N888" s="44"/>
      <c r="O888" s="92"/>
      <c r="P888" s="110"/>
      <c r="Q888" s="44"/>
      <c r="R888" s="92"/>
      <c r="S888" s="125"/>
      <c r="T888" s="44"/>
      <c r="U888" s="92"/>
      <c r="V888" s="44"/>
      <c r="W888" s="44"/>
      <c r="X888" s="92"/>
      <c r="Y888" s="44"/>
      <c r="Z888" s="44"/>
      <c r="AA888" s="91"/>
    </row>
    <row r="889" spans="1:27" x14ac:dyDescent="0.2">
      <c r="A889" s="41"/>
      <c r="B889" s="41"/>
      <c r="C889" s="94"/>
      <c r="D889" s="140"/>
      <c r="E889" s="41"/>
      <c r="F889" s="126"/>
      <c r="G889" s="127"/>
      <c r="H889" s="41"/>
      <c r="I889" s="95"/>
      <c r="J889" s="41"/>
      <c r="K889" s="41"/>
      <c r="L889" s="95"/>
      <c r="M889" s="128"/>
      <c r="N889" s="41"/>
      <c r="O889" s="42"/>
      <c r="P889" s="52"/>
      <c r="Q889" s="41"/>
      <c r="R889" s="42"/>
      <c r="S889" s="129"/>
      <c r="T889" s="41"/>
      <c r="U889" s="42"/>
      <c r="V889" s="41"/>
      <c r="W889" s="41"/>
      <c r="X889" s="42"/>
      <c r="Y889" s="41"/>
      <c r="Z889" s="41"/>
      <c r="AA889" s="94"/>
    </row>
    <row r="890" spans="1:27" x14ac:dyDescent="0.2">
      <c r="A890" s="44"/>
      <c r="B890" s="44"/>
      <c r="C890" s="91"/>
      <c r="D890" s="139"/>
      <c r="E890" s="44"/>
      <c r="F890" s="122"/>
      <c r="G890" s="123"/>
      <c r="H890" s="44"/>
      <c r="I890" s="93"/>
      <c r="J890" s="44"/>
      <c r="K890" s="44"/>
      <c r="L890" s="93"/>
      <c r="M890" s="124"/>
      <c r="N890" s="44"/>
      <c r="O890" s="92"/>
      <c r="P890" s="110"/>
      <c r="Q890" s="44"/>
      <c r="R890" s="92"/>
      <c r="S890" s="125"/>
      <c r="T890" s="44"/>
      <c r="U890" s="92"/>
      <c r="V890" s="44"/>
      <c r="W890" s="44"/>
      <c r="X890" s="92"/>
      <c r="Y890" s="44"/>
      <c r="Z890" s="44"/>
      <c r="AA890" s="91"/>
    </row>
    <row r="891" spans="1:27" x14ac:dyDescent="0.2">
      <c r="A891" s="41"/>
      <c r="B891" s="41"/>
      <c r="C891" s="94"/>
      <c r="D891" s="140"/>
      <c r="E891" s="41"/>
      <c r="F891" s="126"/>
      <c r="G891" s="127"/>
      <c r="H891" s="41"/>
      <c r="I891" s="95"/>
      <c r="J891" s="41"/>
      <c r="K891" s="41"/>
      <c r="L891" s="95"/>
      <c r="M891" s="128"/>
      <c r="N891" s="41"/>
      <c r="O891" s="42"/>
      <c r="P891" s="52"/>
      <c r="Q891" s="41"/>
      <c r="R891" s="42"/>
      <c r="S891" s="129"/>
      <c r="T891" s="41"/>
      <c r="U891" s="42"/>
      <c r="V891" s="41"/>
      <c r="W891" s="41"/>
      <c r="X891" s="42"/>
      <c r="Y891" s="41"/>
      <c r="Z891" s="41"/>
      <c r="AA891" s="94"/>
    </row>
    <row r="892" spans="1:27" x14ac:dyDescent="0.2">
      <c r="A892" s="44"/>
      <c r="B892" s="44"/>
      <c r="C892" s="91"/>
      <c r="D892" s="139"/>
      <c r="E892" s="44"/>
      <c r="F892" s="122"/>
      <c r="G892" s="123"/>
      <c r="H892" s="44"/>
      <c r="I892" s="93"/>
      <c r="J892" s="44"/>
      <c r="K892" s="44"/>
      <c r="L892" s="93"/>
      <c r="M892" s="124"/>
      <c r="N892" s="44"/>
      <c r="O892" s="92"/>
      <c r="P892" s="110"/>
      <c r="Q892" s="44"/>
      <c r="R892" s="92"/>
      <c r="S892" s="125"/>
      <c r="T892" s="44"/>
      <c r="U892" s="92"/>
      <c r="V892" s="44"/>
      <c r="W892" s="44"/>
      <c r="X892" s="92"/>
      <c r="Y892" s="44"/>
      <c r="Z892" s="44"/>
      <c r="AA892" s="91"/>
    </row>
    <row r="893" spans="1:27" x14ac:dyDescent="0.2">
      <c r="A893" s="41"/>
      <c r="B893" s="41"/>
      <c r="C893" s="94"/>
      <c r="D893" s="140"/>
      <c r="E893" s="41"/>
      <c r="F893" s="126"/>
      <c r="G893" s="127"/>
      <c r="H893" s="41"/>
      <c r="I893" s="95"/>
      <c r="J893" s="41"/>
      <c r="K893" s="41"/>
      <c r="L893" s="95"/>
      <c r="M893" s="128"/>
      <c r="N893" s="41"/>
      <c r="O893" s="42"/>
      <c r="P893" s="52"/>
      <c r="Q893" s="41"/>
      <c r="R893" s="42"/>
      <c r="S893" s="129"/>
      <c r="T893" s="41"/>
      <c r="U893" s="42"/>
      <c r="V893" s="41"/>
      <c r="W893" s="41"/>
      <c r="X893" s="42"/>
      <c r="Y893" s="41"/>
      <c r="Z893" s="41"/>
      <c r="AA893" s="94"/>
    </row>
    <row r="894" spans="1:27" x14ac:dyDescent="0.2">
      <c r="A894" s="44"/>
      <c r="B894" s="44"/>
      <c r="C894" s="91"/>
      <c r="D894" s="139"/>
      <c r="E894" s="44"/>
      <c r="F894" s="122"/>
      <c r="G894" s="123"/>
      <c r="H894" s="44"/>
      <c r="I894" s="93"/>
      <c r="J894" s="44"/>
      <c r="K894" s="44"/>
      <c r="L894" s="93"/>
      <c r="M894" s="124"/>
      <c r="N894" s="44"/>
      <c r="O894" s="92"/>
      <c r="P894" s="110"/>
      <c r="Q894" s="44"/>
      <c r="R894" s="92"/>
      <c r="S894" s="125"/>
      <c r="T894" s="44"/>
      <c r="U894" s="92"/>
      <c r="V894" s="44"/>
      <c r="W894" s="44"/>
      <c r="X894" s="92"/>
      <c r="Y894" s="44"/>
      <c r="Z894" s="44"/>
      <c r="AA894" s="91"/>
    </row>
    <row r="895" spans="1:27" x14ac:dyDescent="0.2">
      <c r="A895" s="41"/>
      <c r="B895" s="41"/>
      <c r="C895" s="94"/>
      <c r="D895" s="140"/>
      <c r="E895" s="41"/>
      <c r="F895" s="126"/>
      <c r="G895" s="127"/>
      <c r="H895" s="41"/>
      <c r="I895" s="95"/>
      <c r="J895" s="41"/>
      <c r="K895" s="41"/>
      <c r="L895" s="95"/>
      <c r="M895" s="128"/>
      <c r="N895" s="41"/>
      <c r="O895" s="42"/>
      <c r="P895" s="52"/>
      <c r="Q895" s="41"/>
      <c r="R895" s="42"/>
      <c r="S895" s="129"/>
      <c r="T895" s="41"/>
      <c r="U895" s="42"/>
      <c r="V895" s="41"/>
      <c r="W895" s="41"/>
      <c r="X895" s="42"/>
      <c r="Y895" s="41"/>
      <c r="Z895" s="41"/>
      <c r="AA895" s="94"/>
    </row>
    <row r="896" spans="1:27" x14ac:dyDescent="0.2">
      <c r="A896" s="44"/>
      <c r="B896" s="44"/>
      <c r="C896" s="91"/>
      <c r="D896" s="139"/>
      <c r="E896" s="44"/>
      <c r="F896" s="122"/>
      <c r="G896" s="123"/>
      <c r="H896" s="44"/>
      <c r="I896" s="93"/>
      <c r="J896" s="44"/>
      <c r="K896" s="44"/>
      <c r="L896" s="93"/>
      <c r="M896" s="124"/>
      <c r="N896" s="44"/>
      <c r="O896" s="92"/>
      <c r="P896" s="110"/>
      <c r="Q896" s="44"/>
      <c r="R896" s="92"/>
      <c r="S896" s="125"/>
      <c r="T896" s="44"/>
      <c r="U896" s="92"/>
      <c r="V896" s="44"/>
      <c r="W896" s="44"/>
      <c r="X896" s="92"/>
      <c r="Y896" s="44"/>
      <c r="Z896" s="44"/>
      <c r="AA896" s="91"/>
    </row>
    <row r="897" spans="1:27" x14ac:dyDescent="0.2">
      <c r="A897" s="41"/>
      <c r="B897" s="41"/>
      <c r="C897" s="94"/>
      <c r="D897" s="140"/>
      <c r="E897" s="41"/>
      <c r="F897" s="126"/>
      <c r="G897" s="127"/>
      <c r="H897" s="41"/>
      <c r="I897" s="95"/>
      <c r="J897" s="41"/>
      <c r="K897" s="41"/>
      <c r="L897" s="95"/>
      <c r="M897" s="128"/>
      <c r="N897" s="41"/>
      <c r="O897" s="42"/>
      <c r="P897" s="52"/>
      <c r="Q897" s="41"/>
      <c r="R897" s="42"/>
      <c r="S897" s="129"/>
      <c r="T897" s="41"/>
      <c r="U897" s="42"/>
      <c r="V897" s="41"/>
      <c r="W897" s="41"/>
      <c r="X897" s="42"/>
      <c r="Y897" s="41"/>
      <c r="Z897" s="41"/>
      <c r="AA897" s="94"/>
    </row>
    <row r="898" spans="1:27" x14ac:dyDescent="0.2">
      <c r="A898" s="44"/>
      <c r="B898" s="44"/>
      <c r="C898" s="91"/>
      <c r="D898" s="139"/>
      <c r="E898" s="44"/>
      <c r="F898" s="122"/>
      <c r="G898" s="123"/>
      <c r="H898" s="44"/>
      <c r="I898" s="93"/>
      <c r="J898" s="44"/>
      <c r="K898" s="44"/>
      <c r="L898" s="93"/>
      <c r="M898" s="124"/>
      <c r="N898" s="44"/>
      <c r="O898" s="92"/>
      <c r="P898" s="110"/>
      <c r="Q898" s="44"/>
      <c r="R898" s="92"/>
      <c r="S898" s="125"/>
      <c r="T898" s="44"/>
      <c r="U898" s="92"/>
      <c r="V898" s="44"/>
      <c r="W898" s="44"/>
      <c r="X898" s="92"/>
      <c r="Y898" s="44"/>
      <c r="Z898" s="44"/>
      <c r="AA898" s="91"/>
    </row>
    <row r="899" spans="1:27" x14ac:dyDescent="0.2">
      <c r="A899" s="41"/>
      <c r="B899" s="41"/>
      <c r="C899" s="94"/>
      <c r="D899" s="140"/>
      <c r="E899" s="41"/>
      <c r="F899" s="127"/>
      <c r="G899" s="127"/>
      <c r="H899" s="41"/>
      <c r="I899" s="95"/>
      <c r="J899" s="41"/>
      <c r="K899" s="41"/>
      <c r="L899" s="95"/>
      <c r="M899" s="128"/>
      <c r="N899" s="41"/>
      <c r="O899" s="42"/>
      <c r="P899" s="52"/>
      <c r="Q899" s="41"/>
      <c r="R899" s="42"/>
      <c r="S899" s="129"/>
      <c r="T899" s="41"/>
      <c r="U899" s="42"/>
      <c r="V899" s="41"/>
      <c r="W899" s="41"/>
      <c r="X899" s="42"/>
      <c r="Y899" s="41"/>
      <c r="Z899" s="41"/>
      <c r="AA899" s="94"/>
    </row>
    <row r="900" spans="1:27" x14ac:dyDescent="0.2">
      <c r="A900" s="44"/>
      <c r="B900" s="44"/>
      <c r="C900" s="91"/>
      <c r="D900" s="139"/>
      <c r="E900" s="44"/>
      <c r="F900" s="122"/>
      <c r="G900" s="123"/>
      <c r="H900" s="44"/>
      <c r="I900" s="93"/>
      <c r="J900" s="44"/>
      <c r="K900" s="44"/>
      <c r="L900" s="93"/>
      <c r="M900" s="124"/>
      <c r="N900" s="44"/>
      <c r="O900" s="92"/>
      <c r="P900" s="110"/>
      <c r="Q900" s="44"/>
      <c r="R900" s="92"/>
      <c r="S900" s="125"/>
      <c r="T900" s="44"/>
      <c r="U900" s="92"/>
      <c r="V900" s="44"/>
      <c r="W900" s="44"/>
      <c r="X900" s="92"/>
      <c r="Y900" s="44"/>
      <c r="Z900" s="44"/>
      <c r="AA900" s="91"/>
    </row>
    <row r="901" spans="1:27" x14ac:dyDescent="0.2">
      <c r="A901" s="41"/>
      <c r="B901" s="41"/>
      <c r="C901" s="94"/>
      <c r="D901" s="140"/>
      <c r="E901" s="41"/>
      <c r="F901" s="126"/>
      <c r="G901" s="127"/>
      <c r="H901" s="41"/>
      <c r="I901" s="95"/>
      <c r="J901" s="41"/>
      <c r="K901" s="41"/>
      <c r="L901" s="95"/>
      <c r="M901" s="128"/>
      <c r="N901" s="41"/>
      <c r="O901" s="42"/>
      <c r="P901" s="52"/>
      <c r="Q901" s="41"/>
      <c r="R901" s="42"/>
      <c r="S901" s="129"/>
      <c r="T901" s="41"/>
      <c r="U901" s="42"/>
      <c r="V901" s="41"/>
      <c r="W901" s="41"/>
      <c r="X901" s="42"/>
      <c r="Y901" s="41"/>
      <c r="Z901" s="41"/>
      <c r="AA901" s="94"/>
    </row>
    <row r="902" spans="1:27" x14ac:dyDescent="0.2">
      <c r="A902" s="44"/>
      <c r="B902" s="44"/>
      <c r="C902" s="91"/>
      <c r="D902" s="139"/>
      <c r="E902" s="44"/>
      <c r="F902" s="122"/>
      <c r="G902" s="123"/>
      <c r="H902" s="44"/>
      <c r="I902" s="93"/>
      <c r="J902" s="44"/>
      <c r="K902" s="44"/>
      <c r="L902" s="93"/>
      <c r="M902" s="124"/>
      <c r="N902" s="44"/>
      <c r="O902" s="92"/>
      <c r="P902" s="110"/>
      <c r="Q902" s="44"/>
      <c r="R902" s="92"/>
      <c r="S902" s="125"/>
      <c r="T902" s="44"/>
      <c r="U902" s="92"/>
      <c r="V902" s="44"/>
      <c r="W902" s="44"/>
      <c r="X902" s="92"/>
      <c r="Y902" s="44"/>
      <c r="Z902" s="44"/>
      <c r="AA902" s="91"/>
    </row>
    <row r="903" spans="1:27" x14ac:dyDescent="0.2">
      <c r="A903" s="41"/>
      <c r="B903" s="41"/>
      <c r="C903" s="94"/>
      <c r="D903" s="140"/>
      <c r="E903" s="41"/>
      <c r="F903" s="126"/>
      <c r="G903" s="127"/>
      <c r="H903" s="41"/>
      <c r="I903" s="95"/>
      <c r="J903" s="41"/>
      <c r="K903" s="41"/>
      <c r="L903" s="95"/>
      <c r="M903" s="128"/>
      <c r="N903" s="41"/>
      <c r="O903" s="42"/>
      <c r="P903" s="52"/>
      <c r="Q903" s="41"/>
      <c r="R903" s="42"/>
      <c r="S903" s="129"/>
      <c r="T903" s="41"/>
      <c r="U903" s="42"/>
      <c r="V903" s="41"/>
      <c r="W903" s="41"/>
      <c r="X903" s="42"/>
      <c r="Y903" s="41"/>
      <c r="Z903" s="41"/>
      <c r="AA903" s="94"/>
    </row>
    <row r="904" spans="1:27" x14ac:dyDescent="0.2">
      <c r="A904" s="44"/>
      <c r="B904" s="44"/>
      <c r="C904" s="91"/>
      <c r="D904" s="139"/>
      <c r="E904" s="44"/>
      <c r="F904" s="122"/>
      <c r="G904" s="123"/>
      <c r="H904" s="44"/>
      <c r="I904" s="93"/>
      <c r="J904" s="44"/>
      <c r="K904" s="44"/>
      <c r="L904" s="93"/>
      <c r="M904" s="124"/>
      <c r="N904" s="44"/>
      <c r="O904" s="92"/>
      <c r="P904" s="110"/>
      <c r="Q904" s="44"/>
      <c r="R904" s="92"/>
      <c r="S904" s="125"/>
      <c r="T904" s="44"/>
      <c r="U904" s="92"/>
      <c r="V904" s="44"/>
      <c r="W904" s="44"/>
      <c r="X904" s="92"/>
      <c r="Y904" s="44"/>
      <c r="Z904" s="44"/>
      <c r="AA904" s="91"/>
    </row>
    <row r="905" spans="1:27" x14ac:dyDescent="0.2">
      <c r="A905" s="41"/>
      <c r="B905" s="41"/>
      <c r="C905" s="94"/>
      <c r="D905" s="140"/>
      <c r="E905" s="41"/>
      <c r="F905" s="126"/>
      <c r="G905" s="127"/>
      <c r="H905" s="41"/>
      <c r="I905" s="95"/>
      <c r="J905" s="41"/>
      <c r="K905" s="41"/>
      <c r="L905" s="95"/>
      <c r="M905" s="128"/>
      <c r="N905" s="41"/>
      <c r="O905" s="42"/>
      <c r="P905" s="52"/>
      <c r="Q905" s="41"/>
      <c r="R905" s="42"/>
      <c r="S905" s="129"/>
      <c r="T905" s="41"/>
      <c r="U905" s="42"/>
      <c r="V905" s="41"/>
      <c r="W905" s="41"/>
      <c r="X905" s="42"/>
      <c r="Y905" s="41"/>
      <c r="Z905" s="41"/>
      <c r="AA905" s="94"/>
    </row>
    <row r="906" spans="1:27" x14ac:dyDescent="0.2">
      <c r="A906" s="44"/>
      <c r="B906" s="44"/>
      <c r="C906" s="91"/>
      <c r="D906" s="139"/>
      <c r="E906" s="44"/>
      <c r="F906" s="122"/>
      <c r="G906" s="123"/>
      <c r="H906" s="44"/>
      <c r="I906" s="93"/>
      <c r="J906" s="44"/>
      <c r="K906" s="44"/>
      <c r="L906" s="93"/>
      <c r="M906" s="124"/>
      <c r="N906" s="44"/>
      <c r="O906" s="92"/>
      <c r="P906" s="110"/>
      <c r="Q906" s="44"/>
      <c r="R906" s="92"/>
      <c r="S906" s="125"/>
      <c r="T906" s="44"/>
      <c r="U906" s="92"/>
      <c r="V906" s="44"/>
      <c r="W906" s="44"/>
      <c r="X906" s="92"/>
      <c r="Y906" s="44"/>
      <c r="Z906" s="44"/>
      <c r="AA906" s="91"/>
    </row>
    <row r="907" spans="1:27" x14ac:dyDescent="0.2">
      <c r="A907" s="96"/>
      <c r="B907" s="44"/>
      <c r="C907" s="91"/>
      <c r="D907" s="139"/>
      <c r="E907" s="44"/>
      <c r="F907" s="122"/>
      <c r="G907" s="123"/>
      <c r="H907" s="44"/>
      <c r="I907" s="93"/>
      <c r="J907" s="44"/>
      <c r="K907" s="44"/>
      <c r="L907" s="93"/>
      <c r="M907" s="124"/>
      <c r="N907" s="44"/>
      <c r="O907" s="92"/>
      <c r="P907" s="110"/>
      <c r="Q907" s="44"/>
      <c r="R907" s="92"/>
      <c r="S907" s="125"/>
      <c r="T907" s="44"/>
      <c r="U907" s="92"/>
      <c r="V907" s="44"/>
      <c r="W907" s="44"/>
      <c r="X907" s="92"/>
      <c r="Y907" s="96"/>
      <c r="Z907" s="44"/>
      <c r="AA907" s="91"/>
    </row>
    <row r="908" spans="1:27" x14ac:dyDescent="0.2">
      <c r="A908" s="97"/>
      <c r="B908" s="41"/>
      <c r="C908" s="94"/>
      <c r="D908" s="140"/>
      <c r="E908" s="41"/>
      <c r="F908" s="126"/>
      <c r="G908" s="127"/>
      <c r="H908" s="41"/>
      <c r="I908" s="95"/>
      <c r="J908" s="41"/>
      <c r="K908" s="41"/>
      <c r="L908" s="95"/>
      <c r="M908" s="128"/>
      <c r="N908" s="41"/>
      <c r="O908" s="42"/>
      <c r="P908" s="52"/>
      <c r="Q908" s="41"/>
      <c r="R908" s="42"/>
      <c r="S908" s="129"/>
      <c r="T908" s="41"/>
      <c r="U908" s="42"/>
      <c r="V908" s="41"/>
      <c r="W908" s="41"/>
      <c r="X908" s="42"/>
      <c r="Y908" s="97"/>
      <c r="Z908" s="41"/>
      <c r="AA908" s="94"/>
    </row>
    <row r="909" spans="1:27" x14ac:dyDescent="0.2">
      <c r="A909" s="96"/>
      <c r="B909" s="44"/>
      <c r="C909" s="91"/>
      <c r="D909" s="139"/>
      <c r="E909" s="44"/>
      <c r="F909" s="122"/>
      <c r="G909" s="123"/>
      <c r="H909" s="44"/>
      <c r="I909" s="93"/>
      <c r="J909" s="44"/>
      <c r="K909" s="44"/>
      <c r="L909" s="93"/>
      <c r="M909" s="124"/>
      <c r="N909" s="44"/>
      <c r="O909" s="92"/>
      <c r="P909" s="110"/>
      <c r="Q909" s="44"/>
      <c r="R909" s="92"/>
      <c r="S909" s="125"/>
      <c r="T909" s="44"/>
      <c r="U909" s="92"/>
      <c r="V909" s="44"/>
      <c r="W909" s="44"/>
      <c r="X909" s="92"/>
      <c r="Y909" s="96"/>
      <c r="Z909" s="44"/>
      <c r="AA909" s="91"/>
    </row>
    <row r="910" spans="1:27" x14ac:dyDescent="0.2">
      <c r="A910" s="97"/>
      <c r="B910" s="41"/>
      <c r="C910" s="94"/>
      <c r="D910" s="140"/>
      <c r="E910" s="41"/>
      <c r="F910" s="126"/>
      <c r="G910" s="127"/>
      <c r="H910" s="41"/>
      <c r="I910" s="95"/>
      <c r="J910" s="41"/>
      <c r="K910" s="41"/>
      <c r="L910" s="95"/>
      <c r="M910" s="128"/>
      <c r="N910" s="41"/>
      <c r="O910" s="42"/>
      <c r="P910" s="52"/>
      <c r="Q910" s="41"/>
      <c r="R910" s="42"/>
      <c r="S910" s="129"/>
      <c r="T910" s="41"/>
      <c r="U910" s="42"/>
      <c r="V910" s="41"/>
      <c r="W910" s="41"/>
      <c r="X910" s="42"/>
      <c r="Y910" s="97"/>
      <c r="Z910" s="41"/>
      <c r="AA910" s="94"/>
    </row>
    <row r="911" spans="1:27" x14ac:dyDescent="0.2">
      <c r="A911" s="97"/>
      <c r="B911" s="41"/>
      <c r="C911" s="94"/>
      <c r="D911" s="140"/>
      <c r="E911" s="41"/>
      <c r="F911" s="126"/>
      <c r="G911" s="127"/>
      <c r="H911" s="41"/>
      <c r="I911" s="95"/>
      <c r="J911" s="41"/>
      <c r="K911" s="41"/>
      <c r="L911" s="95"/>
      <c r="M911" s="128"/>
      <c r="N911" s="41"/>
      <c r="O911" s="42"/>
      <c r="P911" s="52"/>
      <c r="Q911" s="41"/>
      <c r="R911" s="42"/>
      <c r="S911" s="129"/>
      <c r="T911" s="41"/>
      <c r="U911" s="42"/>
      <c r="V911" s="41"/>
      <c r="W911" s="41"/>
      <c r="X911" s="42"/>
      <c r="Y911" s="97"/>
      <c r="Z911" s="41"/>
      <c r="AA911" s="94"/>
    </row>
    <row r="912" spans="1:27" x14ac:dyDescent="0.2">
      <c r="A912" s="97"/>
      <c r="B912" s="41"/>
      <c r="C912" s="94"/>
      <c r="D912" s="140"/>
      <c r="E912" s="41"/>
      <c r="F912" s="126"/>
      <c r="G912" s="127"/>
      <c r="H912" s="41"/>
      <c r="I912" s="95"/>
      <c r="J912" s="41"/>
      <c r="K912" s="41"/>
      <c r="L912" s="95"/>
      <c r="M912" s="128"/>
      <c r="N912" s="41"/>
      <c r="O912" s="42"/>
      <c r="P912" s="52"/>
      <c r="Q912" s="41"/>
      <c r="R912" s="42"/>
      <c r="S912" s="129"/>
      <c r="T912" s="41"/>
      <c r="U912" s="42"/>
      <c r="V912" s="41"/>
      <c r="W912" s="41"/>
      <c r="X912" s="42"/>
      <c r="Y912" s="97"/>
      <c r="Z912" s="41"/>
      <c r="AA912" s="94"/>
    </row>
    <row r="913" spans="1:27" x14ac:dyDescent="0.2">
      <c r="A913" s="97"/>
      <c r="B913" s="41"/>
      <c r="C913" s="94"/>
      <c r="D913" s="140"/>
      <c r="E913" s="41"/>
      <c r="F913" s="126"/>
      <c r="G913" s="127"/>
      <c r="H913" s="41"/>
      <c r="I913" s="95"/>
      <c r="J913" s="41"/>
      <c r="K913" s="41"/>
      <c r="L913" s="95"/>
      <c r="M913" s="128"/>
      <c r="N913" s="41"/>
      <c r="O913" s="42"/>
      <c r="P913" s="52"/>
      <c r="Q913" s="41"/>
      <c r="R913" s="42"/>
      <c r="S913" s="129"/>
      <c r="T913" s="41"/>
      <c r="U913" s="42"/>
      <c r="V913" s="41"/>
      <c r="W913" s="41"/>
      <c r="X913" s="42"/>
      <c r="Y913" s="97"/>
      <c r="Z913" s="41"/>
      <c r="AA913" s="94"/>
    </row>
    <row r="914" spans="1:27" x14ac:dyDescent="0.2">
      <c r="A914" s="96"/>
      <c r="B914" s="44"/>
      <c r="C914" s="91"/>
      <c r="D914" s="139"/>
      <c r="E914" s="44"/>
      <c r="F914" s="122"/>
      <c r="G914" s="123"/>
      <c r="H914" s="44"/>
      <c r="I914" s="93"/>
      <c r="J914" s="44"/>
      <c r="K914" s="44"/>
      <c r="L914" s="93"/>
      <c r="M914" s="124"/>
      <c r="N914" s="44"/>
      <c r="O914" s="92"/>
      <c r="P914" s="110"/>
      <c r="Q914" s="44"/>
      <c r="R914" s="92"/>
      <c r="S914" s="125"/>
      <c r="T914" s="44"/>
      <c r="U914" s="92"/>
      <c r="V914" s="44"/>
      <c r="W914" s="44"/>
      <c r="X914" s="92"/>
      <c r="Y914" s="96"/>
      <c r="Z914" s="44"/>
      <c r="AA914" s="91"/>
    </row>
    <row r="915" spans="1:27" x14ac:dyDescent="0.2">
      <c r="A915" s="96"/>
      <c r="B915" s="44"/>
      <c r="C915" s="91"/>
      <c r="D915" s="139"/>
      <c r="E915" s="44"/>
      <c r="F915" s="122"/>
      <c r="G915" s="123"/>
      <c r="H915" s="44"/>
      <c r="I915" s="93"/>
      <c r="J915" s="44"/>
      <c r="K915" s="44"/>
      <c r="L915" s="93"/>
      <c r="M915" s="124"/>
      <c r="N915" s="44"/>
      <c r="O915" s="92"/>
      <c r="P915" s="110"/>
      <c r="Q915" s="44"/>
      <c r="R915" s="92"/>
      <c r="S915" s="125"/>
      <c r="T915" s="44"/>
      <c r="U915" s="92"/>
      <c r="V915" s="44"/>
      <c r="W915" s="44"/>
      <c r="X915" s="92"/>
      <c r="Y915" s="96"/>
      <c r="Z915" s="44"/>
      <c r="AA915" s="91"/>
    </row>
    <row r="916" spans="1:27" x14ac:dyDescent="0.2">
      <c r="A916" s="96"/>
      <c r="B916" s="44"/>
      <c r="C916" s="91"/>
      <c r="D916" s="139"/>
      <c r="E916" s="44"/>
      <c r="F916" s="122"/>
      <c r="G916" s="123"/>
      <c r="H916" s="44"/>
      <c r="I916" s="93"/>
      <c r="J916" s="44"/>
      <c r="K916" s="44"/>
      <c r="L916" s="93"/>
      <c r="M916" s="124"/>
      <c r="N916" s="44"/>
      <c r="O916" s="92"/>
      <c r="P916" s="110"/>
      <c r="Q916" s="44"/>
      <c r="R916" s="92"/>
      <c r="S916" s="125"/>
      <c r="T916" s="44"/>
      <c r="U916" s="92"/>
      <c r="V916" s="44"/>
      <c r="W916" s="44"/>
      <c r="X916" s="92"/>
      <c r="Y916" s="96"/>
      <c r="Z916" s="44"/>
      <c r="AA916" s="91"/>
    </row>
    <row r="917" spans="1:27" x14ac:dyDescent="0.2">
      <c r="A917" s="96"/>
      <c r="B917" s="44"/>
      <c r="C917" s="91"/>
      <c r="D917" s="139"/>
      <c r="E917" s="44"/>
      <c r="F917" s="122"/>
      <c r="G917" s="123"/>
      <c r="H917" s="44"/>
      <c r="I917" s="93"/>
      <c r="J917" s="44"/>
      <c r="K917" s="44"/>
      <c r="L917" s="93"/>
      <c r="M917" s="124"/>
      <c r="N917" s="44"/>
      <c r="O917" s="92"/>
      <c r="P917" s="110"/>
      <c r="Q917" s="44"/>
      <c r="R917" s="92"/>
      <c r="S917" s="125"/>
      <c r="T917" s="44"/>
      <c r="U917" s="92"/>
      <c r="V917" s="44"/>
      <c r="W917" s="44"/>
      <c r="X917" s="92"/>
      <c r="Y917" s="96"/>
      <c r="Z917" s="44"/>
      <c r="AA917" s="91"/>
    </row>
    <row r="918" spans="1:27" x14ac:dyDescent="0.2">
      <c r="A918" s="96"/>
      <c r="B918" s="44"/>
      <c r="C918" s="91"/>
      <c r="D918" s="139"/>
      <c r="E918" s="44"/>
      <c r="F918" s="122"/>
      <c r="G918" s="123"/>
      <c r="H918" s="44"/>
      <c r="I918" s="93"/>
      <c r="J918" s="44"/>
      <c r="K918" s="44"/>
      <c r="L918" s="93"/>
      <c r="M918" s="124"/>
      <c r="N918" s="44"/>
      <c r="O918" s="92"/>
      <c r="P918" s="110"/>
      <c r="Q918" s="44"/>
      <c r="R918" s="92"/>
      <c r="S918" s="125"/>
      <c r="T918" s="44"/>
      <c r="U918" s="92"/>
      <c r="V918" s="44"/>
      <c r="W918" s="44"/>
      <c r="X918" s="92"/>
      <c r="Y918" s="96"/>
      <c r="Z918" s="44"/>
      <c r="AA918" s="91"/>
    </row>
    <row r="919" spans="1:27" x14ac:dyDescent="0.2">
      <c r="A919" s="97"/>
      <c r="B919" s="41"/>
      <c r="C919" s="94"/>
      <c r="D919" s="140"/>
      <c r="E919" s="41"/>
      <c r="F919" s="126"/>
      <c r="G919" s="127"/>
      <c r="H919" s="41"/>
      <c r="I919" s="95"/>
      <c r="J919" s="41"/>
      <c r="K919" s="41"/>
      <c r="L919" s="95"/>
      <c r="M919" s="128"/>
      <c r="N919" s="41"/>
      <c r="O919" s="42"/>
      <c r="P919" s="52"/>
      <c r="Q919" s="41"/>
      <c r="R919" s="42"/>
      <c r="S919" s="129"/>
      <c r="T919" s="41"/>
      <c r="U919" s="42"/>
      <c r="V919" s="41"/>
      <c r="W919" s="41"/>
      <c r="X919" s="42"/>
      <c r="Y919" s="97"/>
      <c r="Z919" s="41"/>
      <c r="AA919" s="94"/>
    </row>
    <row r="920" spans="1:27" x14ac:dyDescent="0.2">
      <c r="A920" s="96"/>
      <c r="B920" s="44"/>
      <c r="C920" s="91"/>
      <c r="D920" s="139"/>
      <c r="E920" s="44"/>
      <c r="F920" s="122"/>
      <c r="G920" s="123"/>
      <c r="H920" s="44"/>
      <c r="I920" s="93"/>
      <c r="J920" s="44"/>
      <c r="K920" s="44"/>
      <c r="L920" s="93"/>
      <c r="M920" s="124"/>
      <c r="N920" s="44"/>
      <c r="O920" s="92"/>
      <c r="P920" s="110"/>
      <c r="Q920" s="44"/>
      <c r="R920" s="92"/>
      <c r="S920" s="125"/>
      <c r="T920" s="44"/>
      <c r="U920" s="92"/>
      <c r="V920" s="44"/>
      <c r="W920" s="44"/>
      <c r="X920" s="92"/>
      <c r="Y920" s="96"/>
      <c r="Z920" s="44"/>
      <c r="AA920" s="91"/>
    </row>
    <row r="921" spans="1:27" x14ac:dyDescent="0.2">
      <c r="A921" s="97"/>
      <c r="B921" s="41"/>
      <c r="C921" s="94"/>
      <c r="D921" s="140"/>
      <c r="E921" s="41"/>
      <c r="F921" s="126"/>
      <c r="G921" s="127"/>
      <c r="H921" s="41"/>
      <c r="I921" s="95"/>
      <c r="J921" s="41"/>
      <c r="K921" s="41"/>
      <c r="L921" s="95"/>
      <c r="M921" s="128"/>
      <c r="N921" s="41"/>
      <c r="O921" s="42"/>
      <c r="P921" s="52"/>
      <c r="Q921" s="41"/>
      <c r="R921" s="42"/>
      <c r="S921" s="129"/>
      <c r="T921" s="41"/>
      <c r="U921" s="42"/>
      <c r="V921" s="41"/>
      <c r="W921" s="41"/>
      <c r="X921" s="42"/>
      <c r="Y921" s="97"/>
      <c r="Z921" s="41"/>
      <c r="AA921" s="94"/>
    </row>
    <row r="922" spans="1:27" x14ac:dyDescent="0.2">
      <c r="A922" s="96"/>
      <c r="B922" s="44"/>
      <c r="C922" s="91"/>
      <c r="D922" s="139"/>
      <c r="E922" s="44"/>
      <c r="F922" s="122"/>
      <c r="G922" s="123"/>
      <c r="H922" s="44"/>
      <c r="I922" s="93"/>
      <c r="J922" s="44"/>
      <c r="K922" s="44"/>
      <c r="L922" s="93"/>
      <c r="M922" s="124"/>
      <c r="N922" s="44"/>
      <c r="O922" s="92"/>
      <c r="P922" s="110"/>
      <c r="Q922" s="44"/>
      <c r="R922" s="92"/>
      <c r="S922" s="125"/>
      <c r="T922" s="44"/>
      <c r="U922" s="92"/>
      <c r="V922" s="44"/>
      <c r="W922" s="44"/>
      <c r="X922" s="92"/>
      <c r="Y922" s="96"/>
      <c r="Z922" s="44"/>
      <c r="AA922" s="91"/>
    </row>
    <row r="923" spans="1:27" x14ac:dyDescent="0.2">
      <c r="A923" s="96"/>
      <c r="B923" s="44"/>
      <c r="C923" s="91"/>
      <c r="D923" s="139"/>
      <c r="E923" s="44"/>
      <c r="F923" s="122"/>
      <c r="G923" s="123"/>
      <c r="H923" s="44"/>
      <c r="I923" s="93"/>
      <c r="J923" s="44"/>
      <c r="K923" s="44"/>
      <c r="L923" s="93"/>
      <c r="M923" s="124"/>
      <c r="N923" s="44"/>
      <c r="O923" s="92"/>
      <c r="P923" s="110"/>
      <c r="Q923" s="44"/>
      <c r="R923" s="92"/>
      <c r="S923" s="125"/>
      <c r="T923" s="44"/>
      <c r="U923" s="92"/>
      <c r="V923" s="44"/>
      <c r="W923" s="44"/>
      <c r="X923" s="92"/>
      <c r="Y923" s="96"/>
      <c r="Z923" s="44"/>
      <c r="AA923" s="91"/>
    </row>
    <row r="924" spans="1:27" x14ac:dyDescent="0.2">
      <c r="A924" s="97"/>
      <c r="B924" s="41"/>
      <c r="C924" s="94"/>
      <c r="D924" s="140"/>
      <c r="E924" s="41"/>
      <c r="F924" s="126"/>
      <c r="G924" s="127"/>
      <c r="H924" s="41"/>
      <c r="I924" s="95"/>
      <c r="J924" s="41"/>
      <c r="K924" s="41"/>
      <c r="L924" s="95"/>
      <c r="M924" s="128"/>
      <c r="N924" s="41"/>
      <c r="O924" s="42"/>
      <c r="P924" s="52"/>
      <c r="Q924" s="41"/>
      <c r="R924" s="42"/>
      <c r="S924" s="129"/>
      <c r="T924" s="41"/>
      <c r="U924" s="42"/>
      <c r="V924" s="41"/>
      <c r="W924" s="41"/>
      <c r="X924" s="42"/>
      <c r="Y924" s="97"/>
      <c r="Z924" s="41"/>
      <c r="AA924" s="94"/>
    </row>
    <row r="925" spans="1:27" x14ac:dyDescent="0.2">
      <c r="A925" s="96"/>
      <c r="B925" s="44"/>
      <c r="C925" s="91"/>
      <c r="D925" s="139"/>
      <c r="E925" s="44"/>
      <c r="F925" s="122"/>
      <c r="G925" s="123"/>
      <c r="H925" s="44"/>
      <c r="I925" s="93"/>
      <c r="J925" s="44"/>
      <c r="K925" s="44"/>
      <c r="L925" s="93"/>
      <c r="M925" s="124"/>
      <c r="N925" s="44"/>
      <c r="O925" s="92"/>
      <c r="P925" s="110"/>
      <c r="Q925" s="44"/>
      <c r="R925" s="92"/>
      <c r="S925" s="125"/>
      <c r="T925" s="44"/>
      <c r="U925" s="92"/>
      <c r="V925" s="44"/>
      <c r="W925" s="44"/>
      <c r="X925" s="92"/>
      <c r="Y925" s="96"/>
      <c r="Z925" s="44"/>
      <c r="AA925" s="91"/>
    </row>
    <row r="926" spans="1:27" x14ac:dyDescent="0.2">
      <c r="A926" s="96"/>
      <c r="B926" s="44"/>
      <c r="C926" s="91"/>
      <c r="D926" s="139"/>
      <c r="E926" s="44"/>
      <c r="F926" s="122"/>
      <c r="G926" s="123"/>
      <c r="H926" s="44"/>
      <c r="I926" s="93"/>
      <c r="J926" s="44"/>
      <c r="K926" s="44"/>
      <c r="L926" s="93"/>
      <c r="M926" s="124"/>
      <c r="N926" s="44"/>
      <c r="O926" s="92"/>
      <c r="P926" s="110"/>
      <c r="Q926" s="44"/>
      <c r="R926" s="92"/>
      <c r="S926" s="125"/>
      <c r="T926" s="44"/>
      <c r="U926" s="92"/>
      <c r="V926" s="44"/>
      <c r="W926" s="44"/>
      <c r="X926" s="92"/>
      <c r="Y926" s="96"/>
      <c r="Z926" s="44"/>
      <c r="AA926" s="91"/>
    </row>
    <row r="927" spans="1:27" x14ac:dyDescent="0.2">
      <c r="A927" s="97"/>
      <c r="B927" s="41"/>
      <c r="C927" s="94"/>
      <c r="D927" s="140"/>
      <c r="E927" s="41"/>
      <c r="F927" s="126"/>
      <c r="G927" s="127"/>
      <c r="H927" s="41"/>
      <c r="I927" s="95"/>
      <c r="J927" s="41"/>
      <c r="K927" s="41"/>
      <c r="L927" s="95"/>
      <c r="M927" s="128"/>
      <c r="N927" s="41"/>
      <c r="O927" s="42"/>
      <c r="P927" s="52"/>
      <c r="Q927" s="41"/>
      <c r="R927" s="42"/>
      <c r="S927" s="129"/>
      <c r="T927" s="41"/>
      <c r="U927" s="42"/>
      <c r="V927" s="41"/>
      <c r="W927" s="41"/>
      <c r="X927" s="42"/>
      <c r="Y927" s="97"/>
      <c r="Z927" s="41"/>
      <c r="AA927" s="94"/>
    </row>
    <row r="928" spans="1:27" x14ac:dyDescent="0.2">
      <c r="A928" s="97"/>
      <c r="B928" s="41"/>
      <c r="C928" s="94"/>
      <c r="D928" s="140"/>
      <c r="E928" s="41"/>
      <c r="F928" s="126"/>
      <c r="G928" s="127"/>
      <c r="H928" s="41"/>
      <c r="I928" s="95"/>
      <c r="J928" s="41"/>
      <c r="K928" s="41"/>
      <c r="L928" s="95"/>
      <c r="M928" s="128"/>
      <c r="N928" s="41"/>
      <c r="O928" s="42"/>
      <c r="P928" s="52"/>
      <c r="Q928" s="41"/>
      <c r="R928" s="42"/>
      <c r="S928" s="129"/>
      <c r="T928" s="41"/>
      <c r="U928" s="42"/>
      <c r="V928" s="41"/>
      <c r="W928" s="41"/>
      <c r="X928" s="42"/>
      <c r="Y928" s="97"/>
      <c r="Z928" s="41"/>
      <c r="AA928" s="94"/>
    </row>
    <row r="929" spans="1:27" x14ac:dyDescent="0.2">
      <c r="A929" s="96"/>
      <c r="B929" s="44"/>
      <c r="C929" s="91"/>
      <c r="D929" s="139"/>
      <c r="E929" s="44"/>
      <c r="F929" s="122"/>
      <c r="G929" s="123"/>
      <c r="H929" s="44"/>
      <c r="I929" s="93"/>
      <c r="J929" s="44"/>
      <c r="K929" s="44"/>
      <c r="L929" s="93"/>
      <c r="M929" s="124"/>
      <c r="N929" s="44"/>
      <c r="O929" s="92"/>
      <c r="P929" s="110"/>
      <c r="Q929" s="44"/>
      <c r="R929" s="92"/>
      <c r="S929" s="125"/>
      <c r="T929" s="44"/>
      <c r="U929" s="92"/>
      <c r="V929" s="44"/>
      <c r="W929" s="44"/>
      <c r="X929" s="92"/>
      <c r="Y929" s="96"/>
      <c r="Z929" s="44"/>
      <c r="AA929" s="91"/>
    </row>
    <row r="930" spans="1:27" x14ac:dyDescent="0.2">
      <c r="A930" s="96"/>
      <c r="B930" s="44"/>
      <c r="C930" s="91"/>
      <c r="D930" s="139"/>
      <c r="E930" s="44"/>
      <c r="F930" s="122"/>
      <c r="G930" s="123"/>
      <c r="H930" s="44"/>
      <c r="I930" s="93"/>
      <c r="J930" s="44"/>
      <c r="K930" s="44"/>
      <c r="L930" s="93"/>
      <c r="M930" s="124"/>
      <c r="N930" s="44"/>
      <c r="O930" s="92"/>
      <c r="P930" s="110"/>
      <c r="Q930" s="44"/>
      <c r="R930" s="92"/>
      <c r="S930" s="125"/>
      <c r="T930" s="44"/>
      <c r="U930" s="92"/>
      <c r="V930" s="44"/>
      <c r="W930" s="44"/>
      <c r="X930" s="92"/>
      <c r="Y930" s="96"/>
      <c r="Z930" s="44"/>
      <c r="AA930" s="91"/>
    </row>
    <row r="931" spans="1:27" x14ac:dyDescent="0.2">
      <c r="A931" s="97"/>
      <c r="B931" s="41"/>
      <c r="C931" s="94"/>
      <c r="D931" s="140"/>
      <c r="E931" s="41"/>
      <c r="F931" s="126"/>
      <c r="G931" s="127"/>
      <c r="H931" s="41"/>
      <c r="I931" s="95"/>
      <c r="J931" s="41"/>
      <c r="K931" s="41"/>
      <c r="L931" s="95"/>
      <c r="M931" s="128"/>
      <c r="N931" s="41"/>
      <c r="O931" s="42"/>
      <c r="P931" s="52"/>
      <c r="Q931" s="41"/>
      <c r="R931" s="42"/>
      <c r="S931" s="129"/>
      <c r="T931" s="41"/>
      <c r="U931" s="42"/>
      <c r="V931" s="41"/>
      <c r="W931" s="41"/>
      <c r="X931" s="42"/>
      <c r="Y931" s="97"/>
      <c r="Z931" s="41"/>
      <c r="AA931" s="94"/>
    </row>
    <row r="932" spans="1:27" x14ac:dyDescent="0.2">
      <c r="A932" s="87"/>
      <c r="B932" s="87"/>
      <c r="C932" s="88"/>
      <c r="D932" s="138"/>
      <c r="E932" s="87"/>
      <c r="F932" s="118"/>
      <c r="G932" s="119"/>
      <c r="H932" s="87"/>
      <c r="I932" s="90"/>
      <c r="J932" s="87"/>
      <c r="K932" s="87"/>
      <c r="L932" s="90"/>
      <c r="M932" s="120"/>
      <c r="N932" s="87"/>
      <c r="O932" s="89"/>
      <c r="P932" s="130"/>
      <c r="Q932" s="87"/>
      <c r="R932" s="89"/>
      <c r="S932" s="121"/>
      <c r="T932" s="87"/>
      <c r="U932" s="89"/>
      <c r="V932" s="87"/>
      <c r="W932" s="87"/>
      <c r="X932" s="89"/>
      <c r="Y932" s="87"/>
      <c r="Z932" s="87"/>
      <c r="AA932" s="88"/>
    </row>
    <row r="933" spans="1:27" x14ac:dyDescent="0.2">
      <c r="A933" s="44"/>
      <c r="B933" s="44"/>
      <c r="C933" s="91"/>
      <c r="D933" s="139"/>
      <c r="E933" s="44"/>
      <c r="F933" s="122"/>
      <c r="G933" s="123"/>
      <c r="H933" s="44"/>
      <c r="I933" s="93"/>
      <c r="J933" s="44"/>
      <c r="K933" s="44"/>
      <c r="L933" s="93"/>
      <c r="M933" s="124"/>
      <c r="N933" s="44"/>
      <c r="O933" s="92"/>
      <c r="P933" s="110"/>
      <c r="Q933" s="44"/>
      <c r="R933" s="92"/>
      <c r="S933" s="125"/>
      <c r="T933" s="44"/>
      <c r="U933" s="92"/>
      <c r="V933" s="44"/>
      <c r="W933" s="44"/>
      <c r="X933" s="92"/>
      <c r="Y933" s="44"/>
      <c r="Z933" s="44"/>
      <c r="AA933" s="91"/>
    </row>
    <row r="934" spans="1:27" x14ac:dyDescent="0.2">
      <c r="A934" s="41"/>
      <c r="B934" s="41"/>
      <c r="C934" s="94"/>
      <c r="D934" s="140"/>
      <c r="E934" s="41"/>
      <c r="F934" s="126"/>
      <c r="G934" s="127"/>
      <c r="H934" s="41"/>
      <c r="I934" s="95"/>
      <c r="J934" s="41"/>
      <c r="K934" s="41"/>
      <c r="L934" s="95"/>
      <c r="M934" s="128"/>
      <c r="N934" s="41"/>
      <c r="O934" s="42"/>
      <c r="P934" s="52"/>
      <c r="Q934" s="41"/>
      <c r="R934" s="42"/>
      <c r="S934" s="129"/>
      <c r="T934" s="41"/>
      <c r="U934" s="42"/>
      <c r="V934" s="41"/>
      <c r="W934" s="41"/>
      <c r="X934" s="42"/>
      <c r="Y934" s="41"/>
      <c r="Z934" s="41"/>
      <c r="AA934" s="94"/>
    </row>
    <row r="935" spans="1:27" x14ac:dyDescent="0.2">
      <c r="A935" s="44"/>
      <c r="B935" s="44"/>
      <c r="C935" s="91"/>
      <c r="D935" s="139"/>
      <c r="E935" s="44"/>
      <c r="F935" s="122"/>
      <c r="G935" s="123"/>
      <c r="H935" s="44"/>
      <c r="I935" s="93"/>
      <c r="J935" s="44"/>
      <c r="K935" s="44"/>
      <c r="L935" s="93"/>
      <c r="M935" s="124"/>
      <c r="N935" s="44"/>
      <c r="O935" s="92"/>
      <c r="P935" s="110"/>
      <c r="Q935" s="44"/>
      <c r="R935" s="92"/>
      <c r="S935" s="125"/>
      <c r="T935" s="44"/>
      <c r="U935" s="92"/>
      <c r="V935" s="44"/>
      <c r="W935" s="44"/>
      <c r="X935" s="92"/>
      <c r="Y935" s="44"/>
      <c r="Z935" s="44"/>
      <c r="AA935" s="91"/>
    </row>
    <row r="936" spans="1:27" x14ac:dyDescent="0.2">
      <c r="A936" s="87"/>
      <c r="B936" s="87"/>
      <c r="C936" s="88"/>
      <c r="D936" s="138"/>
      <c r="E936" s="87"/>
      <c r="F936" s="118"/>
      <c r="G936" s="119"/>
      <c r="H936" s="87"/>
      <c r="I936" s="90"/>
      <c r="J936" s="87"/>
      <c r="K936" s="87"/>
      <c r="L936" s="90"/>
      <c r="M936" s="120"/>
      <c r="N936" s="87"/>
      <c r="O936" s="89"/>
      <c r="P936" s="87"/>
      <c r="Q936" s="87"/>
      <c r="R936" s="89"/>
      <c r="S936" s="121"/>
      <c r="T936" s="87"/>
      <c r="U936" s="89"/>
      <c r="V936" s="87"/>
      <c r="W936" s="87"/>
      <c r="X936" s="89"/>
      <c r="Y936" s="87"/>
      <c r="Z936" s="87"/>
      <c r="AA936" s="88"/>
    </row>
    <row r="937" spans="1:27" x14ac:dyDescent="0.2">
      <c r="A937" s="44"/>
      <c r="B937" s="44"/>
      <c r="C937" s="91"/>
      <c r="D937" s="139"/>
      <c r="E937" s="44"/>
      <c r="F937" s="122"/>
      <c r="G937" s="123"/>
      <c r="H937" s="44"/>
      <c r="I937" s="93"/>
      <c r="J937" s="44"/>
      <c r="K937" s="44"/>
      <c r="L937" s="93"/>
      <c r="M937" s="124"/>
      <c r="N937" s="44"/>
      <c r="O937" s="92"/>
      <c r="P937" s="110"/>
      <c r="Q937" s="44"/>
      <c r="R937" s="92"/>
      <c r="S937" s="125"/>
      <c r="T937" s="44"/>
      <c r="U937" s="92"/>
      <c r="V937" s="44"/>
      <c r="W937" s="44"/>
      <c r="X937" s="92"/>
      <c r="Y937" s="44"/>
      <c r="Z937" s="44"/>
      <c r="AA937" s="91"/>
    </row>
    <row r="938" spans="1:27" x14ac:dyDescent="0.2">
      <c r="A938" s="41"/>
      <c r="B938" s="41"/>
      <c r="C938" s="94"/>
      <c r="D938" s="140"/>
      <c r="E938" s="41"/>
      <c r="F938" s="126"/>
      <c r="G938" s="127"/>
      <c r="H938" s="41"/>
      <c r="I938" s="95"/>
      <c r="J938" s="41"/>
      <c r="K938" s="41"/>
      <c r="L938" s="95"/>
      <c r="M938" s="128"/>
      <c r="N938" s="41"/>
      <c r="O938" s="42"/>
      <c r="P938" s="52"/>
      <c r="Q938" s="41"/>
      <c r="R938" s="42"/>
      <c r="S938" s="129"/>
      <c r="T938" s="41"/>
      <c r="U938" s="42"/>
      <c r="V938" s="41"/>
      <c r="W938" s="41"/>
      <c r="X938" s="42"/>
      <c r="Y938" s="41"/>
      <c r="Z938" s="41"/>
      <c r="AA938" s="94"/>
    </row>
    <row r="939" spans="1:27" x14ac:dyDescent="0.2">
      <c r="A939" s="44"/>
      <c r="B939" s="44"/>
      <c r="C939" s="91"/>
      <c r="D939" s="139"/>
      <c r="E939" s="44"/>
      <c r="F939" s="122"/>
      <c r="G939" s="123"/>
      <c r="H939" s="44"/>
      <c r="I939" s="93"/>
      <c r="J939" s="44"/>
      <c r="K939" s="44"/>
      <c r="L939" s="93"/>
      <c r="M939" s="124"/>
      <c r="N939" s="44"/>
      <c r="O939" s="92"/>
      <c r="P939" s="110"/>
      <c r="Q939" s="44"/>
      <c r="R939" s="92"/>
      <c r="S939" s="125"/>
      <c r="T939" s="44"/>
      <c r="U939" s="92"/>
      <c r="V939" s="44"/>
      <c r="W939" s="44"/>
      <c r="X939" s="92"/>
      <c r="Y939" s="44"/>
      <c r="Z939" s="44"/>
      <c r="AA939" s="91"/>
    </row>
    <row r="940" spans="1:27" x14ac:dyDescent="0.2">
      <c r="A940" s="41"/>
      <c r="B940" s="41"/>
      <c r="C940" s="94"/>
      <c r="D940" s="140"/>
      <c r="E940" s="41"/>
      <c r="F940" s="126"/>
      <c r="G940" s="127"/>
      <c r="H940" s="41"/>
      <c r="I940" s="95"/>
      <c r="J940" s="41"/>
      <c r="K940" s="41"/>
      <c r="L940" s="95"/>
      <c r="M940" s="128"/>
      <c r="N940" s="41"/>
      <c r="O940" s="42"/>
      <c r="P940" s="52"/>
      <c r="Q940" s="41"/>
      <c r="R940" s="42"/>
      <c r="S940" s="129"/>
      <c r="T940" s="41"/>
      <c r="U940" s="42"/>
      <c r="V940" s="41"/>
      <c r="W940" s="41"/>
      <c r="X940" s="42"/>
      <c r="Y940" s="41"/>
      <c r="Z940" s="41"/>
      <c r="AA940" s="94"/>
    </row>
    <row r="941" spans="1:27" x14ac:dyDescent="0.2">
      <c r="A941" s="44"/>
      <c r="B941" s="44"/>
      <c r="C941" s="91"/>
      <c r="D941" s="139"/>
      <c r="E941" s="44"/>
      <c r="F941" s="122"/>
      <c r="G941" s="123"/>
      <c r="H941" s="44"/>
      <c r="I941" s="93"/>
      <c r="J941" s="44"/>
      <c r="K941" s="44"/>
      <c r="L941" s="93"/>
      <c r="M941" s="124"/>
      <c r="N941" s="44"/>
      <c r="O941" s="92"/>
      <c r="P941" s="110"/>
      <c r="Q941" s="44"/>
      <c r="R941" s="92"/>
      <c r="S941" s="125"/>
      <c r="T941" s="44"/>
      <c r="U941" s="92"/>
      <c r="V941" s="44"/>
      <c r="W941" s="44"/>
      <c r="X941" s="92"/>
      <c r="Y941" s="44"/>
      <c r="Z941" s="44"/>
      <c r="AA941" s="91"/>
    </row>
    <row r="942" spans="1:27" x14ac:dyDescent="0.2">
      <c r="A942" s="41"/>
      <c r="B942" s="41"/>
      <c r="C942" s="94"/>
      <c r="D942" s="140"/>
      <c r="E942" s="41"/>
      <c r="F942" s="126"/>
      <c r="G942" s="127"/>
      <c r="H942" s="41"/>
      <c r="I942" s="95"/>
      <c r="J942" s="41"/>
      <c r="K942" s="41"/>
      <c r="L942" s="95"/>
      <c r="M942" s="128"/>
      <c r="N942" s="41"/>
      <c r="O942" s="42"/>
      <c r="P942" s="52"/>
      <c r="Q942" s="41"/>
      <c r="R942" s="42"/>
      <c r="S942" s="129"/>
      <c r="T942" s="41"/>
      <c r="U942" s="42"/>
      <c r="V942" s="41"/>
      <c r="W942" s="41"/>
      <c r="X942" s="42"/>
      <c r="Y942" s="41"/>
      <c r="Z942" s="41"/>
      <c r="AA942" s="94"/>
    </row>
    <row r="943" spans="1:27" x14ac:dyDescent="0.2">
      <c r="A943" s="44"/>
      <c r="B943" s="44"/>
      <c r="C943" s="91"/>
      <c r="D943" s="139"/>
      <c r="E943" s="44"/>
      <c r="F943" s="122"/>
      <c r="G943" s="123"/>
      <c r="H943" s="44"/>
      <c r="I943" s="93"/>
      <c r="J943" s="44"/>
      <c r="K943" s="44"/>
      <c r="L943" s="93"/>
      <c r="M943" s="124"/>
      <c r="N943" s="44"/>
      <c r="O943" s="92"/>
      <c r="P943" s="110"/>
      <c r="Q943" s="44"/>
      <c r="R943" s="92"/>
      <c r="S943" s="125"/>
      <c r="T943" s="44"/>
      <c r="U943" s="92"/>
      <c r="V943" s="44"/>
      <c r="W943" s="44"/>
      <c r="X943" s="92"/>
      <c r="Y943" s="44"/>
      <c r="Z943" s="44"/>
      <c r="AA943" s="91"/>
    </row>
    <row r="944" spans="1:27" x14ac:dyDescent="0.2">
      <c r="A944" s="41"/>
      <c r="B944" s="41"/>
      <c r="C944" s="94"/>
      <c r="D944" s="140"/>
      <c r="E944" s="41"/>
      <c r="F944" s="126"/>
      <c r="G944" s="127"/>
      <c r="H944" s="41"/>
      <c r="I944" s="95"/>
      <c r="J944" s="41"/>
      <c r="K944" s="41"/>
      <c r="L944" s="95"/>
      <c r="M944" s="128"/>
      <c r="N944" s="41"/>
      <c r="O944" s="42"/>
      <c r="P944" s="52"/>
      <c r="Q944" s="41"/>
      <c r="R944" s="42"/>
      <c r="S944" s="129"/>
      <c r="T944" s="41"/>
      <c r="U944" s="42"/>
      <c r="V944" s="41"/>
      <c r="W944" s="41"/>
      <c r="X944" s="42"/>
      <c r="Y944" s="41"/>
      <c r="Z944" s="41"/>
      <c r="AA944" s="94"/>
    </row>
    <row r="945" spans="1:27" x14ac:dyDescent="0.2">
      <c r="A945" s="44"/>
      <c r="B945" s="44"/>
      <c r="C945" s="91"/>
      <c r="D945" s="139"/>
      <c r="E945" s="44"/>
      <c r="F945" s="122"/>
      <c r="G945" s="123"/>
      <c r="H945" s="44"/>
      <c r="I945" s="93"/>
      <c r="J945" s="44"/>
      <c r="K945" s="44"/>
      <c r="L945" s="93"/>
      <c r="M945" s="124"/>
      <c r="N945" s="44"/>
      <c r="O945" s="92"/>
      <c r="P945" s="110"/>
      <c r="Q945" s="44"/>
      <c r="R945" s="92"/>
      <c r="S945" s="125"/>
      <c r="T945" s="44"/>
      <c r="U945" s="92"/>
      <c r="V945" s="44"/>
      <c r="W945" s="44"/>
      <c r="X945" s="92"/>
      <c r="Y945" s="44"/>
      <c r="Z945" s="44"/>
      <c r="AA945" s="91"/>
    </row>
    <row r="946" spans="1:27" x14ac:dyDescent="0.2">
      <c r="A946" s="41"/>
      <c r="B946" s="41"/>
      <c r="C946" s="94"/>
      <c r="D946" s="140"/>
      <c r="E946" s="41"/>
      <c r="F946" s="126"/>
      <c r="G946" s="127"/>
      <c r="H946" s="41"/>
      <c r="I946" s="95"/>
      <c r="J946" s="41"/>
      <c r="K946" s="41"/>
      <c r="L946" s="95"/>
      <c r="M946" s="128"/>
      <c r="N946" s="41"/>
      <c r="O946" s="42"/>
      <c r="P946" s="52"/>
      <c r="Q946" s="41"/>
      <c r="R946" s="42"/>
      <c r="S946" s="129"/>
      <c r="T946" s="41"/>
      <c r="U946" s="42"/>
      <c r="V946" s="41"/>
      <c r="W946" s="41"/>
      <c r="X946" s="42"/>
      <c r="Y946" s="41"/>
      <c r="Z946" s="41"/>
      <c r="AA946" s="94"/>
    </row>
    <row r="947" spans="1:27" x14ac:dyDescent="0.2">
      <c r="A947" s="44"/>
      <c r="B947" s="44"/>
      <c r="C947" s="91"/>
      <c r="D947" s="139"/>
      <c r="E947" s="44"/>
      <c r="F947" s="122"/>
      <c r="G947" s="123"/>
      <c r="H947" s="44"/>
      <c r="I947" s="93"/>
      <c r="J947" s="44"/>
      <c r="K947" s="44"/>
      <c r="L947" s="93"/>
      <c r="M947" s="124"/>
      <c r="N947" s="44"/>
      <c r="O947" s="92"/>
      <c r="P947" s="110"/>
      <c r="Q947" s="44"/>
      <c r="R947" s="92"/>
      <c r="S947" s="125"/>
      <c r="T947" s="44"/>
      <c r="U947" s="92"/>
      <c r="V947" s="44"/>
      <c r="W947" s="44"/>
      <c r="X947" s="92"/>
      <c r="Y947" s="44"/>
      <c r="Z947" s="44"/>
      <c r="AA947" s="91"/>
    </row>
    <row r="948" spans="1:27" x14ac:dyDescent="0.2">
      <c r="A948" s="41"/>
      <c r="B948" s="41"/>
      <c r="C948" s="94"/>
      <c r="D948" s="140"/>
      <c r="E948" s="41"/>
      <c r="F948" s="126"/>
      <c r="G948" s="127"/>
      <c r="H948" s="41"/>
      <c r="I948" s="95"/>
      <c r="J948" s="41"/>
      <c r="K948" s="41"/>
      <c r="L948" s="95"/>
      <c r="M948" s="128"/>
      <c r="N948" s="41"/>
      <c r="O948" s="42"/>
      <c r="P948" s="52"/>
      <c r="Q948" s="41"/>
      <c r="R948" s="42"/>
      <c r="S948" s="129"/>
      <c r="T948" s="41"/>
      <c r="U948" s="42"/>
      <c r="V948" s="41"/>
      <c r="W948" s="41"/>
      <c r="X948" s="42"/>
      <c r="Y948" s="41"/>
      <c r="Z948" s="41"/>
      <c r="AA948" s="94"/>
    </row>
    <row r="949" spans="1:27" x14ac:dyDescent="0.2">
      <c r="A949" s="44"/>
      <c r="B949" s="44"/>
      <c r="C949" s="91"/>
      <c r="D949" s="139"/>
      <c r="E949" s="44"/>
      <c r="F949" s="122"/>
      <c r="G949" s="123"/>
      <c r="H949" s="44"/>
      <c r="I949" s="93"/>
      <c r="J949" s="44"/>
      <c r="K949" s="44"/>
      <c r="L949" s="93"/>
      <c r="M949" s="124"/>
      <c r="N949" s="44"/>
      <c r="O949" s="92"/>
      <c r="P949" s="110"/>
      <c r="Q949" s="44"/>
      <c r="R949" s="92"/>
      <c r="S949" s="125"/>
      <c r="T949" s="44"/>
      <c r="U949" s="92"/>
      <c r="V949" s="44"/>
      <c r="W949" s="44"/>
      <c r="X949" s="92"/>
      <c r="Y949" s="44"/>
      <c r="Z949" s="44"/>
      <c r="AA949" s="91"/>
    </row>
    <row r="950" spans="1:27" x14ac:dyDescent="0.2">
      <c r="A950" s="41"/>
      <c r="B950" s="41"/>
      <c r="C950" s="94"/>
      <c r="D950" s="140"/>
      <c r="E950" s="41"/>
      <c r="F950" s="126"/>
      <c r="G950" s="127"/>
      <c r="H950" s="41"/>
      <c r="I950" s="95"/>
      <c r="J950" s="41"/>
      <c r="K950" s="41"/>
      <c r="L950" s="95"/>
      <c r="M950" s="128"/>
      <c r="N950" s="41"/>
      <c r="O950" s="42"/>
      <c r="P950" s="52"/>
      <c r="Q950" s="41"/>
      <c r="R950" s="42"/>
      <c r="S950" s="129"/>
      <c r="T950" s="41"/>
      <c r="U950" s="42"/>
      <c r="V950" s="41"/>
      <c r="W950" s="41"/>
      <c r="X950" s="42"/>
      <c r="Y950" s="41"/>
      <c r="Z950" s="41"/>
      <c r="AA950" s="94"/>
    </row>
    <row r="951" spans="1:27" x14ac:dyDescent="0.2">
      <c r="A951" s="44"/>
      <c r="B951" s="44"/>
      <c r="C951" s="91"/>
      <c r="D951" s="139"/>
      <c r="E951" s="44"/>
      <c r="F951" s="122"/>
      <c r="G951" s="123"/>
      <c r="H951" s="44"/>
      <c r="I951" s="93"/>
      <c r="J951" s="44"/>
      <c r="K951" s="44"/>
      <c r="L951" s="93"/>
      <c r="M951" s="124"/>
      <c r="N951" s="44"/>
      <c r="O951" s="92"/>
      <c r="P951" s="110"/>
      <c r="Q951" s="44"/>
      <c r="R951" s="92"/>
      <c r="S951" s="125"/>
      <c r="T951" s="44"/>
      <c r="U951" s="92"/>
      <c r="V951" s="44"/>
      <c r="W951" s="44"/>
      <c r="X951" s="92"/>
      <c r="Y951" s="44"/>
      <c r="Z951" s="44"/>
      <c r="AA951" s="91"/>
    </row>
    <row r="952" spans="1:27" x14ac:dyDescent="0.2">
      <c r="A952" s="41"/>
      <c r="B952" s="41"/>
      <c r="C952" s="94"/>
      <c r="D952" s="140"/>
      <c r="E952" s="41"/>
      <c r="F952" s="126"/>
      <c r="G952" s="127"/>
      <c r="H952" s="41"/>
      <c r="I952" s="95"/>
      <c r="J952" s="41"/>
      <c r="K952" s="41"/>
      <c r="L952" s="95"/>
      <c r="M952" s="128"/>
      <c r="N952" s="41"/>
      <c r="O952" s="42"/>
      <c r="P952" s="52"/>
      <c r="Q952" s="41"/>
      <c r="R952" s="42"/>
      <c r="S952" s="129"/>
      <c r="T952" s="41"/>
      <c r="U952" s="42"/>
      <c r="V952" s="41"/>
      <c r="W952" s="41"/>
      <c r="X952" s="42"/>
      <c r="Y952" s="41"/>
      <c r="Z952" s="41"/>
      <c r="AA952" s="94"/>
    </row>
    <row r="953" spans="1:27" x14ac:dyDescent="0.2">
      <c r="A953" s="44"/>
      <c r="B953" s="44"/>
      <c r="C953" s="91"/>
      <c r="D953" s="139"/>
      <c r="E953" s="44"/>
      <c r="F953" s="122"/>
      <c r="G953" s="123"/>
      <c r="H953" s="44"/>
      <c r="I953" s="93"/>
      <c r="J953" s="44"/>
      <c r="K953" s="44"/>
      <c r="L953" s="93"/>
      <c r="M953" s="124"/>
      <c r="N953" s="44"/>
      <c r="O953" s="92"/>
      <c r="P953" s="110"/>
      <c r="Q953" s="44"/>
      <c r="R953" s="92"/>
      <c r="S953" s="125"/>
      <c r="T953" s="44"/>
      <c r="U953" s="92"/>
      <c r="V953" s="44"/>
      <c r="W953" s="44"/>
      <c r="X953" s="92"/>
      <c r="Y953" s="44"/>
      <c r="Z953" s="44"/>
      <c r="AA953" s="91"/>
    </row>
    <row r="954" spans="1:27" x14ac:dyDescent="0.2">
      <c r="A954" s="41"/>
      <c r="B954" s="41"/>
      <c r="C954" s="94"/>
      <c r="D954" s="140"/>
      <c r="E954" s="41"/>
      <c r="F954" s="127"/>
      <c r="G954" s="127"/>
      <c r="H954" s="41"/>
      <c r="I954" s="95"/>
      <c r="J954" s="41"/>
      <c r="K954" s="41"/>
      <c r="L954" s="95"/>
      <c r="M954" s="128"/>
      <c r="N954" s="41"/>
      <c r="O954" s="42"/>
      <c r="P954" s="52"/>
      <c r="Q954" s="41"/>
      <c r="R954" s="42"/>
      <c r="S954" s="129"/>
      <c r="T954" s="41"/>
      <c r="U954" s="42"/>
      <c r="V954" s="41"/>
      <c r="W954" s="41"/>
      <c r="X954" s="42"/>
      <c r="Y954" s="41"/>
      <c r="Z954" s="41"/>
      <c r="AA954" s="94"/>
    </row>
    <row r="955" spans="1:27" x14ac:dyDescent="0.2">
      <c r="A955" s="44"/>
      <c r="B955" s="44"/>
      <c r="C955" s="91"/>
      <c r="D955" s="139"/>
      <c r="E955" s="44"/>
      <c r="F955" s="122"/>
      <c r="G955" s="123"/>
      <c r="H955" s="44"/>
      <c r="I955" s="93"/>
      <c r="J955" s="44"/>
      <c r="K955" s="44"/>
      <c r="L955" s="93"/>
      <c r="M955" s="124"/>
      <c r="N955" s="44"/>
      <c r="O955" s="92"/>
      <c r="P955" s="110"/>
      <c r="Q955" s="44"/>
      <c r="R955" s="92"/>
      <c r="S955" s="125"/>
      <c r="T955" s="44"/>
      <c r="U955" s="92"/>
      <c r="V955" s="44"/>
      <c r="W955" s="44"/>
      <c r="X955" s="92"/>
      <c r="Y955" s="44"/>
      <c r="Z955" s="44"/>
      <c r="AA955" s="91"/>
    </row>
    <row r="956" spans="1:27" x14ac:dyDescent="0.2">
      <c r="A956" s="41"/>
      <c r="B956" s="41"/>
      <c r="C956" s="94"/>
      <c r="D956" s="140"/>
      <c r="E956" s="41"/>
      <c r="F956" s="126"/>
      <c r="G956" s="127"/>
      <c r="H956" s="41"/>
      <c r="I956" s="95"/>
      <c r="J956" s="41"/>
      <c r="K956" s="41"/>
      <c r="L956" s="95"/>
      <c r="M956" s="128"/>
      <c r="N956" s="41"/>
      <c r="O956" s="42"/>
      <c r="P956" s="52"/>
      <c r="Q956" s="41"/>
      <c r="R956" s="42"/>
      <c r="S956" s="129"/>
      <c r="T956" s="41"/>
      <c r="U956" s="42"/>
      <c r="V956" s="41"/>
      <c r="W956" s="41"/>
      <c r="X956" s="42"/>
      <c r="Y956" s="41"/>
      <c r="Z956" s="41"/>
      <c r="AA956" s="94"/>
    </row>
    <row r="957" spans="1:27" x14ac:dyDescent="0.2">
      <c r="A957" s="44"/>
      <c r="B957" s="44"/>
      <c r="C957" s="91"/>
      <c r="D957" s="139"/>
      <c r="E957" s="44"/>
      <c r="F957" s="122"/>
      <c r="G957" s="123"/>
      <c r="H957" s="44"/>
      <c r="I957" s="93"/>
      <c r="J957" s="44"/>
      <c r="K957" s="44"/>
      <c r="L957" s="93"/>
      <c r="M957" s="124"/>
      <c r="N957" s="44"/>
      <c r="O957" s="92"/>
      <c r="P957" s="110"/>
      <c r="Q957" s="44"/>
      <c r="R957" s="92"/>
      <c r="S957" s="125"/>
      <c r="T957" s="44"/>
      <c r="U957" s="92"/>
      <c r="V957" s="44"/>
      <c r="W957" s="44"/>
      <c r="X957" s="92"/>
      <c r="Y957" s="44"/>
      <c r="Z957" s="44"/>
      <c r="AA957" s="91"/>
    </row>
    <row r="958" spans="1:27" x14ac:dyDescent="0.2">
      <c r="A958" s="41"/>
      <c r="B958" s="41"/>
      <c r="C958" s="94"/>
      <c r="D958" s="140"/>
      <c r="E958" s="41"/>
      <c r="F958" s="126"/>
      <c r="G958" s="127"/>
      <c r="H958" s="41"/>
      <c r="I958" s="95"/>
      <c r="J958" s="41"/>
      <c r="K958" s="41"/>
      <c r="L958" s="95"/>
      <c r="M958" s="128"/>
      <c r="N958" s="41"/>
      <c r="O958" s="42"/>
      <c r="P958" s="52"/>
      <c r="Q958" s="41"/>
      <c r="R958" s="42"/>
      <c r="S958" s="129"/>
      <c r="T958" s="41"/>
      <c r="U958" s="42"/>
      <c r="V958" s="41"/>
      <c r="W958" s="41"/>
      <c r="X958" s="42"/>
      <c r="Y958" s="41"/>
      <c r="Z958" s="41"/>
      <c r="AA958" s="94"/>
    </row>
    <row r="959" spans="1:27" x14ac:dyDescent="0.2">
      <c r="A959" s="44"/>
      <c r="B959" s="44"/>
      <c r="C959" s="91"/>
      <c r="D959" s="139"/>
      <c r="E959" s="44"/>
      <c r="F959" s="122"/>
      <c r="G959" s="123"/>
      <c r="H959" s="44"/>
      <c r="I959" s="93"/>
      <c r="J959" s="44"/>
      <c r="K959" s="44"/>
      <c r="L959" s="93"/>
      <c r="M959" s="124"/>
      <c r="N959" s="44"/>
      <c r="O959" s="92"/>
      <c r="P959" s="110"/>
      <c r="Q959" s="44"/>
      <c r="R959" s="92"/>
      <c r="S959" s="125"/>
      <c r="T959" s="44"/>
      <c r="U959" s="92"/>
      <c r="V959" s="44"/>
      <c r="W959" s="44"/>
      <c r="X959" s="92"/>
      <c r="Y959" s="44"/>
      <c r="Z959" s="44"/>
      <c r="AA959" s="91"/>
    </row>
    <row r="960" spans="1:27" x14ac:dyDescent="0.2">
      <c r="A960" s="41"/>
      <c r="B960" s="41"/>
      <c r="C960" s="94"/>
      <c r="D960" s="140"/>
      <c r="E960" s="41"/>
      <c r="F960" s="126"/>
      <c r="G960" s="127"/>
      <c r="H960" s="41"/>
      <c r="I960" s="95"/>
      <c r="J960" s="41"/>
      <c r="K960" s="41"/>
      <c r="L960" s="95"/>
      <c r="M960" s="128"/>
      <c r="N960" s="41"/>
      <c r="O960" s="42"/>
      <c r="P960" s="52"/>
      <c r="Q960" s="41"/>
      <c r="R960" s="42"/>
      <c r="S960" s="129"/>
      <c r="T960" s="41"/>
      <c r="U960" s="42"/>
      <c r="V960" s="41"/>
      <c r="W960" s="41"/>
      <c r="X960" s="42"/>
      <c r="Y960" s="41"/>
      <c r="Z960" s="41"/>
      <c r="AA960" s="94"/>
    </row>
    <row r="961" spans="1:27" x14ac:dyDescent="0.2">
      <c r="A961" s="44"/>
      <c r="B961" s="44"/>
      <c r="C961" s="91"/>
      <c r="D961" s="139"/>
      <c r="E961" s="44"/>
      <c r="F961" s="122"/>
      <c r="G961" s="123"/>
      <c r="H961" s="44"/>
      <c r="I961" s="93"/>
      <c r="J961" s="44"/>
      <c r="K961" s="44"/>
      <c r="L961" s="93"/>
      <c r="M961" s="124"/>
      <c r="N961" s="44"/>
      <c r="O961" s="92"/>
      <c r="P961" s="110"/>
      <c r="Q961" s="44"/>
      <c r="R961" s="92"/>
      <c r="S961" s="125"/>
      <c r="T961" s="44"/>
      <c r="U961" s="92"/>
      <c r="V961" s="44"/>
      <c r="W961" s="44"/>
      <c r="X961" s="92"/>
      <c r="Y961" s="44"/>
      <c r="Z961" s="44"/>
      <c r="AA961" s="91"/>
    </row>
    <row r="962" spans="1:27" x14ac:dyDescent="0.2">
      <c r="A962" s="96"/>
      <c r="B962" s="44"/>
      <c r="C962" s="91"/>
      <c r="D962" s="139"/>
      <c r="E962" s="44"/>
      <c r="F962" s="122"/>
      <c r="G962" s="123"/>
      <c r="H962" s="44"/>
      <c r="I962" s="93"/>
      <c r="J962" s="44"/>
      <c r="K962" s="44"/>
      <c r="L962" s="93"/>
      <c r="M962" s="124"/>
      <c r="N962" s="44"/>
      <c r="O962" s="92"/>
      <c r="P962" s="110"/>
      <c r="Q962" s="44"/>
      <c r="R962" s="92"/>
      <c r="S962" s="125"/>
      <c r="T962" s="44"/>
      <c r="U962" s="92"/>
      <c r="V962" s="44"/>
      <c r="W962" s="44"/>
      <c r="X962" s="92"/>
      <c r="Y962" s="96"/>
      <c r="Z962" s="44"/>
      <c r="AA962" s="91"/>
    </row>
    <row r="963" spans="1:27" x14ac:dyDescent="0.2">
      <c r="A963" s="97"/>
      <c r="B963" s="41"/>
      <c r="C963" s="94"/>
      <c r="D963" s="140"/>
      <c r="E963" s="41"/>
      <c r="F963" s="126"/>
      <c r="G963" s="127"/>
      <c r="H963" s="41"/>
      <c r="I963" s="95"/>
      <c r="J963" s="41"/>
      <c r="K963" s="41"/>
      <c r="L963" s="95"/>
      <c r="M963" s="128"/>
      <c r="N963" s="41"/>
      <c r="O963" s="42"/>
      <c r="P963" s="52"/>
      <c r="Q963" s="41"/>
      <c r="R963" s="42"/>
      <c r="S963" s="129"/>
      <c r="T963" s="41"/>
      <c r="U963" s="42"/>
      <c r="V963" s="41"/>
      <c r="W963" s="41"/>
      <c r="X963" s="42"/>
      <c r="Y963" s="97"/>
      <c r="Z963" s="41"/>
      <c r="AA963" s="94"/>
    </row>
    <row r="964" spans="1:27" x14ac:dyDescent="0.2">
      <c r="A964" s="96"/>
      <c r="B964" s="44"/>
      <c r="C964" s="91"/>
      <c r="D964" s="139"/>
      <c r="E964" s="44"/>
      <c r="F964" s="122"/>
      <c r="G964" s="123"/>
      <c r="H964" s="44"/>
      <c r="I964" s="93"/>
      <c r="J964" s="44"/>
      <c r="K964" s="44"/>
      <c r="L964" s="93"/>
      <c r="M964" s="124"/>
      <c r="N964" s="44"/>
      <c r="O964" s="92"/>
      <c r="P964" s="110"/>
      <c r="Q964" s="44"/>
      <c r="R964" s="92"/>
      <c r="S964" s="125"/>
      <c r="T964" s="44"/>
      <c r="U964" s="92"/>
      <c r="V964" s="44"/>
      <c r="W964" s="44"/>
      <c r="X964" s="92"/>
      <c r="Y964" s="96"/>
      <c r="Z964" s="44"/>
      <c r="AA964" s="91"/>
    </row>
    <row r="965" spans="1:27" x14ac:dyDescent="0.2">
      <c r="A965" s="97"/>
      <c r="B965" s="41"/>
      <c r="C965" s="94"/>
      <c r="D965" s="140"/>
      <c r="E965" s="41"/>
      <c r="F965" s="126"/>
      <c r="G965" s="127"/>
      <c r="H965" s="41"/>
      <c r="I965" s="95"/>
      <c r="J965" s="41"/>
      <c r="K965" s="41"/>
      <c r="L965" s="95"/>
      <c r="M965" s="128"/>
      <c r="N965" s="41"/>
      <c r="O965" s="42"/>
      <c r="P965" s="52"/>
      <c r="Q965" s="41"/>
      <c r="R965" s="42"/>
      <c r="S965" s="129"/>
      <c r="T965" s="41"/>
      <c r="U965" s="42"/>
      <c r="V965" s="41"/>
      <c r="W965" s="41"/>
      <c r="X965" s="42"/>
      <c r="Y965" s="97"/>
      <c r="Z965" s="41"/>
      <c r="AA965" s="94"/>
    </row>
    <row r="966" spans="1:27" x14ac:dyDescent="0.2">
      <c r="A966" s="97"/>
      <c r="B966" s="41"/>
      <c r="C966" s="94"/>
      <c r="D966" s="140"/>
      <c r="E966" s="41"/>
      <c r="F966" s="126"/>
      <c r="G966" s="127"/>
      <c r="H966" s="41"/>
      <c r="I966" s="95"/>
      <c r="J966" s="41"/>
      <c r="K966" s="41"/>
      <c r="L966" s="95"/>
      <c r="M966" s="128"/>
      <c r="N966" s="41"/>
      <c r="O966" s="42"/>
      <c r="P966" s="52"/>
      <c r="Q966" s="41"/>
      <c r="R966" s="42"/>
      <c r="S966" s="129"/>
      <c r="T966" s="41"/>
      <c r="U966" s="42"/>
      <c r="V966" s="41"/>
      <c r="W966" s="41"/>
      <c r="X966" s="42"/>
      <c r="Y966" s="97"/>
      <c r="Z966" s="41"/>
      <c r="AA966" s="94"/>
    </row>
    <row r="967" spans="1:27" x14ac:dyDescent="0.2">
      <c r="A967" s="97"/>
      <c r="B967" s="41"/>
      <c r="C967" s="94"/>
      <c r="D967" s="140"/>
      <c r="E967" s="41"/>
      <c r="F967" s="126"/>
      <c r="G967" s="127"/>
      <c r="H967" s="41"/>
      <c r="I967" s="95"/>
      <c r="J967" s="41"/>
      <c r="K967" s="41"/>
      <c r="L967" s="95"/>
      <c r="M967" s="128"/>
      <c r="N967" s="41"/>
      <c r="O967" s="42"/>
      <c r="P967" s="52"/>
      <c r="Q967" s="41"/>
      <c r="R967" s="42"/>
      <c r="S967" s="129"/>
      <c r="T967" s="41"/>
      <c r="U967" s="42"/>
      <c r="V967" s="41"/>
      <c r="W967" s="41"/>
      <c r="X967" s="42"/>
      <c r="Y967" s="97"/>
      <c r="Z967" s="41"/>
      <c r="AA967" s="94"/>
    </row>
    <row r="968" spans="1:27" x14ac:dyDescent="0.2">
      <c r="A968" s="97"/>
      <c r="B968" s="41"/>
      <c r="C968" s="94"/>
      <c r="D968" s="140"/>
      <c r="E968" s="41"/>
      <c r="F968" s="126"/>
      <c r="G968" s="127"/>
      <c r="H968" s="41"/>
      <c r="I968" s="95"/>
      <c r="J968" s="41"/>
      <c r="K968" s="41"/>
      <c r="L968" s="95"/>
      <c r="M968" s="128"/>
      <c r="N968" s="41"/>
      <c r="O968" s="42"/>
      <c r="P968" s="52"/>
      <c r="Q968" s="41"/>
      <c r="R968" s="42"/>
      <c r="S968" s="129"/>
      <c r="T968" s="41"/>
      <c r="U968" s="42"/>
      <c r="V968" s="41"/>
      <c r="W968" s="41"/>
      <c r="X968" s="42"/>
      <c r="Y968" s="97"/>
      <c r="Z968" s="41"/>
      <c r="AA968" s="94"/>
    </row>
    <row r="969" spans="1:27" x14ac:dyDescent="0.2">
      <c r="A969" s="96"/>
      <c r="B969" s="44"/>
      <c r="C969" s="91"/>
      <c r="D969" s="139"/>
      <c r="E969" s="44"/>
      <c r="F969" s="122"/>
      <c r="G969" s="123"/>
      <c r="H969" s="44"/>
      <c r="I969" s="93"/>
      <c r="J969" s="44"/>
      <c r="K969" s="44"/>
      <c r="L969" s="93"/>
      <c r="M969" s="124"/>
      <c r="N969" s="44"/>
      <c r="O969" s="92"/>
      <c r="P969" s="110"/>
      <c r="Q969" s="44"/>
      <c r="R969" s="92"/>
      <c r="S969" s="125"/>
      <c r="T969" s="44"/>
      <c r="U969" s="92"/>
      <c r="V969" s="44"/>
      <c r="W969" s="44"/>
      <c r="X969" s="92"/>
      <c r="Y969" s="96"/>
      <c r="Z969" s="44"/>
      <c r="AA969" s="91"/>
    </row>
    <row r="970" spans="1:27" x14ac:dyDescent="0.2">
      <c r="A970" s="96"/>
      <c r="B970" s="44"/>
      <c r="C970" s="91"/>
      <c r="D970" s="139"/>
      <c r="E970" s="44"/>
      <c r="F970" s="122"/>
      <c r="G970" s="123"/>
      <c r="H970" s="44"/>
      <c r="I970" s="93"/>
      <c r="J970" s="44"/>
      <c r="K970" s="44"/>
      <c r="L970" s="93"/>
      <c r="M970" s="124"/>
      <c r="N970" s="44"/>
      <c r="O970" s="92"/>
      <c r="P970" s="110"/>
      <c r="Q970" s="44"/>
      <c r="R970" s="92"/>
      <c r="S970" s="125"/>
      <c r="T970" s="44"/>
      <c r="U970" s="92"/>
      <c r="V970" s="44"/>
      <c r="W970" s="44"/>
      <c r="X970" s="92"/>
      <c r="Y970" s="96"/>
      <c r="Z970" s="44"/>
      <c r="AA970" s="91"/>
    </row>
    <row r="971" spans="1:27" x14ac:dyDescent="0.2">
      <c r="A971" s="96"/>
      <c r="B971" s="44"/>
      <c r="C971" s="91"/>
      <c r="D971" s="139"/>
      <c r="E971" s="44"/>
      <c r="F971" s="122"/>
      <c r="G971" s="123"/>
      <c r="H971" s="44"/>
      <c r="I971" s="93"/>
      <c r="J971" s="44"/>
      <c r="K971" s="44"/>
      <c r="L971" s="93"/>
      <c r="M971" s="124"/>
      <c r="N971" s="44"/>
      <c r="O971" s="92"/>
      <c r="P971" s="110"/>
      <c r="Q971" s="44"/>
      <c r="R971" s="92"/>
      <c r="S971" s="125"/>
      <c r="T971" s="44"/>
      <c r="U971" s="92"/>
      <c r="V971" s="44"/>
      <c r="W971" s="44"/>
      <c r="X971" s="92"/>
      <c r="Y971" s="96"/>
      <c r="Z971" s="44"/>
      <c r="AA971" s="91"/>
    </row>
    <row r="972" spans="1:27" x14ac:dyDescent="0.2">
      <c r="A972" s="96"/>
      <c r="B972" s="44"/>
      <c r="C972" s="91"/>
      <c r="D972" s="139"/>
      <c r="E972" s="44"/>
      <c r="F972" s="122"/>
      <c r="G972" s="123"/>
      <c r="H972" s="44"/>
      <c r="I972" s="93"/>
      <c r="J972" s="44"/>
      <c r="K972" s="44"/>
      <c r="L972" s="93"/>
      <c r="M972" s="124"/>
      <c r="N972" s="44"/>
      <c r="O972" s="92"/>
      <c r="P972" s="110"/>
      <c r="Q972" s="44"/>
      <c r="R972" s="92"/>
      <c r="S972" s="125"/>
      <c r="T972" s="44"/>
      <c r="U972" s="92"/>
      <c r="V972" s="44"/>
      <c r="W972" s="44"/>
      <c r="X972" s="92"/>
      <c r="Y972" s="96"/>
      <c r="Z972" s="44"/>
      <c r="AA972" s="91"/>
    </row>
    <row r="973" spans="1:27" x14ac:dyDescent="0.2">
      <c r="A973" s="96"/>
      <c r="B973" s="44"/>
      <c r="C973" s="91"/>
      <c r="D973" s="139"/>
      <c r="E973" s="44"/>
      <c r="F973" s="122"/>
      <c r="G973" s="123"/>
      <c r="H973" s="44"/>
      <c r="I973" s="93"/>
      <c r="J973" s="44"/>
      <c r="K973" s="44"/>
      <c r="L973" s="93"/>
      <c r="M973" s="124"/>
      <c r="N973" s="44"/>
      <c r="O973" s="92"/>
      <c r="P973" s="110"/>
      <c r="Q973" s="44"/>
      <c r="R973" s="92"/>
      <c r="S973" s="125"/>
      <c r="T973" s="44"/>
      <c r="U973" s="92"/>
      <c r="V973" s="44"/>
      <c r="W973" s="44"/>
      <c r="X973" s="92"/>
      <c r="Y973" s="96"/>
      <c r="Z973" s="44"/>
      <c r="AA973" s="91"/>
    </row>
    <row r="974" spans="1:27" x14ac:dyDescent="0.2">
      <c r="A974" s="97"/>
      <c r="B974" s="41"/>
      <c r="C974" s="94"/>
      <c r="D974" s="140"/>
      <c r="E974" s="41"/>
      <c r="F974" s="126"/>
      <c r="G974" s="127"/>
      <c r="H974" s="41"/>
      <c r="I974" s="95"/>
      <c r="J974" s="41"/>
      <c r="K974" s="41"/>
      <c r="L974" s="95"/>
      <c r="M974" s="128"/>
      <c r="N974" s="41"/>
      <c r="O974" s="42"/>
      <c r="P974" s="52"/>
      <c r="Q974" s="41"/>
      <c r="R974" s="42"/>
      <c r="S974" s="129"/>
      <c r="T974" s="41"/>
      <c r="U974" s="42"/>
      <c r="V974" s="41"/>
      <c r="W974" s="41"/>
      <c r="X974" s="42"/>
      <c r="Y974" s="97"/>
      <c r="Z974" s="41"/>
      <c r="AA974" s="94"/>
    </row>
    <row r="975" spans="1:27" x14ac:dyDescent="0.2">
      <c r="A975" s="96"/>
      <c r="B975" s="44"/>
      <c r="C975" s="91"/>
      <c r="D975" s="139"/>
      <c r="E975" s="44"/>
      <c r="F975" s="122"/>
      <c r="G975" s="123"/>
      <c r="H975" s="44"/>
      <c r="I975" s="93"/>
      <c r="J975" s="44"/>
      <c r="K975" s="44"/>
      <c r="L975" s="93"/>
      <c r="M975" s="124"/>
      <c r="N975" s="44"/>
      <c r="O975" s="92"/>
      <c r="P975" s="110"/>
      <c r="Q975" s="44"/>
      <c r="R975" s="92"/>
      <c r="S975" s="125"/>
      <c r="T975" s="44"/>
      <c r="U975" s="92"/>
      <c r="V975" s="44"/>
      <c r="W975" s="44"/>
      <c r="X975" s="92"/>
      <c r="Y975" s="96"/>
      <c r="Z975" s="44"/>
      <c r="AA975" s="91"/>
    </row>
    <row r="976" spans="1:27" x14ac:dyDescent="0.2">
      <c r="A976" s="97"/>
      <c r="B976" s="41"/>
      <c r="C976" s="94"/>
      <c r="D976" s="140"/>
      <c r="E976" s="41"/>
      <c r="F976" s="126"/>
      <c r="G976" s="127"/>
      <c r="H976" s="41"/>
      <c r="I976" s="95"/>
      <c r="J976" s="41"/>
      <c r="K976" s="41"/>
      <c r="L976" s="95"/>
      <c r="M976" s="128"/>
      <c r="N976" s="41"/>
      <c r="O976" s="42"/>
      <c r="P976" s="52"/>
      <c r="Q976" s="41"/>
      <c r="R976" s="42"/>
      <c r="S976" s="129"/>
      <c r="T976" s="41"/>
      <c r="U976" s="42"/>
      <c r="V976" s="41"/>
      <c r="W976" s="41"/>
      <c r="X976" s="42"/>
      <c r="Y976" s="97"/>
      <c r="Z976" s="41"/>
      <c r="AA976" s="94"/>
    </row>
    <row r="977" spans="1:27" x14ac:dyDescent="0.2">
      <c r="A977" s="96"/>
      <c r="B977" s="44"/>
      <c r="C977" s="91"/>
      <c r="D977" s="139"/>
      <c r="E977" s="44"/>
      <c r="F977" s="122"/>
      <c r="G977" s="123"/>
      <c r="H977" s="44"/>
      <c r="I977" s="93"/>
      <c r="J977" s="44"/>
      <c r="K977" s="44"/>
      <c r="L977" s="93"/>
      <c r="M977" s="124"/>
      <c r="N977" s="44"/>
      <c r="O977" s="92"/>
      <c r="P977" s="110"/>
      <c r="Q977" s="44"/>
      <c r="R977" s="92"/>
      <c r="S977" s="125"/>
      <c r="T977" s="44"/>
      <c r="U977" s="92"/>
      <c r="V977" s="44"/>
      <c r="W977" s="44"/>
      <c r="X977" s="92"/>
      <c r="Y977" s="96"/>
      <c r="Z977" s="44"/>
      <c r="AA977" s="91"/>
    </row>
    <row r="978" spans="1:27" x14ac:dyDescent="0.2">
      <c r="A978" s="96"/>
      <c r="B978" s="44"/>
      <c r="C978" s="91"/>
      <c r="D978" s="139"/>
      <c r="E978" s="44"/>
      <c r="F978" s="122"/>
      <c r="G978" s="123"/>
      <c r="H978" s="44"/>
      <c r="I978" s="93"/>
      <c r="J978" s="44"/>
      <c r="K978" s="44"/>
      <c r="L978" s="93"/>
      <c r="M978" s="124"/>
      <c r="N978" s="44"/>
      <c r="O978" s="92"/>
      <c r="P978" s="110"/>
      <c r="Q978" s="44"/>
      <c r="R978" s="92"/>
      <c r="S978" s="125"/>
      <c r="T978" s="44"/>
      <c r="U978" s="92"/>
      <c r="V978" s="44"/>
      <c r="W978" s="44"/>
      <c r="X978" s="92"/>
      <c r="Y978" s="96"/>
      <c r="Z978" s="44"/>
      <c r="AA978" s="91"/>
    </row>
    <row r="979" spans="1:27" x14ac:dyDescent="0.2">
      <c r="A979" s="97"/>
      <c r="B979" s="41"/>
      <c r="C979" s="94"/>
      <c r="D979" s="140"/>
      <c r="E979" s="41"/>
      <c r="F979" s="126"/>
      <c r="G979" s="127"/>
      <c r="H979" s="41"/>
      <c r="I979" s="95"/>
      <c r="J979" s="41"/>
      <c r="K979" s="41"/>
      <c r="L979" s="95"/>
      <c r="M979" s="128"/>
      <c r="N979" s="41"/>
      <c r="O979" s="42"/>
      <c r="P979" s="52"/>
      <c r="Q979" s="41"/>
      <c r="R979" s="42"/>
      <c r="S979" s="129"/>
      <c r="T979" s="41"/>
      <c r="U979" s="42"/>
      <c r="V979" s="41"/>
      <c r="W979" s="41"/>
      <c r="X979" s="42"/>
      <c r="Y979" s="97"/>
      <c r="Z979" s="41"/>
      <c r="AA979" s="94"/>
    </row>
    <row r="980" spans="1:27" x14ac:dyDescent="0.2">
      <c r="A980" s="96"/>
      <c r="B980" s="44"/>
      <c r="C980" s="91"/>
      <c r="D980" s="139"/>
      <c r="E980" s="44"/>
      <c r="F980" s="122"/>
      <c r="G980" s="123"/>
      <c r="H980" s="44"/>
      <c r="I980" s="93"/>
      <c r="J980" s="44"/>
      <c r="K980" s="44"/>
      <c r="L980" s="93"/>
      <c r="M980" s="124"/>
      <c r="N980" s="44"/>
      <c r="O980" s="92"/>
      <c r="P980" s="110"/>
      <c r="Q980" s="44"/>
      <c r="R980" s="92"/>
      <c r="S980" s="125"/>
      <c r="T980" s="44"/>
      <c r="U980" s="92"/>
      <c r="V980" s="44"/>
      <c r="W980" s="44"/>
      <c r="X980" s="92"/>
      <c r="Y980" s="96"/>
      <c r="Z980" s="44"/>
      <c r="AA980" s="91"/>
    </row>
    <row r="981" spans="1:27" x14ac:dyDescent="0.2">
      <c r="A981" s="96"/>
      <c r="B981" s="44"/>
      <c r="C981" s="91"/>
      <c r="D981" s="139"/>
      <c r="E981" s="44"/>
      <c r="F981" s="122"/>
      <c r="G981" s="123"/>
      <c r="H981" s="44"/>
      <c r="I981" s="93"/>
      <c r="J981" s="44"/>
      <c r="K981" s="44"/>
      <c r="L981" s="93"/>
      <c r="M981" s="124"/>
      <c r="N981" s="44"/>
      <c r="O981" s="92"/>
      <c r="P981" s="110"/>
      <c r="Q981" s="44"/>
      <c r="R981" s="92"/>
      <c r="S981" s="125"/>
      <c r="T981" s="44"/>
      <c r="U981" s="92"/>
      <c r="V981" s="44"/>
      <c r="W981" s="44"/>
      <c r="X981" s="92"/>
      <c r="Y981" s="96"/>
      <c r="Z981" s="44"/>
      <c r="AA981" s="91"/>
    </row>
    <row r="982" spans="1:27" x14ac:dyDescent="0.2">
      <c r="A982" s="97"/>
      <c r="B982" s="41"/>
      <c r="C982" s="94"/>
      <c r="D982" s="140"/>
      <c r="E982" s="41"/>
      <c r="F982" s="126"/>
      <c r="G982" s="127"/>
      <c r="H982" s="41"/>
      <c r="I982" s="95"/>
      <c r="J982" s="41"/>
      <c r="K982" s="41"/>
      <c r="L982" s="95"/>
      <c r="M982" s="128"/>
      <c r="N982" s="41"/>
      <c r="O982" s="42"/>
      <c r="P982" s="52"/>
      <c r="Q982" s="41"/>
      <c r="R982" s="42"/>
      <c r="S982" s="129"/>
      <c r="T982" s="41"/>
      <c r="U982" s="42"/>
      <c r="V982" s="41"/>
      <c r="W982" s="41"/>
      <c r="X982" s="42"/>
      <c r="Y982" s="97"/>
      <c r="Z982" s="41"/>
      <c r="AA982" s="94"/>
    </row>
    <row r="983" spans="1:27" x14ac:dyDescent="0.2">
      <c r="A983" s="97"/>
      <c r="B983" s="41"/>
      <c r="C983" s="94"/>
      <c r="D983" s="140"/>
      <c r="E983" s="41"/>
      <c r="F983" s="126"/>
      <c r="G983" s="127"/>
      <c r="H983" s="41"/>
      <c r="I983" s="95"/>
      <c r="J983" s="41"/>
      <c r="K983" s="41"/>
      <c r="L983" s="95"/>
      <c r="M983" s="128"/>
      <c r="N983" s="41"/>
      <c r="O983" s="42"/>
      <c r="P983" s="52"/>
      <c r="Q983" s="41"/>
      <c r="R983" s="42"/>
      <c r="S983" s="129"/>
      <c r="T983" s="41"/>
      <c r="U983" s="42"/>
      <c r="V983" s="41"/>
      <c r="W983" s="41"/>
      <c r="X983" s="42"/>
      <c r="Y983" s="97"/>
      <c r="Z983" s="41"/>
      <c r="AA983" s="94"/>
    </row>
    <row r="984" spans="1:27" x14ac:dyDescent="0.2">
      <c r="A984" s="96"/>
      <c r="B984" s="44"/>
      <c r="C984" s="91"/>
      <c r="D984" s="139"/>
      <c r="E984" s="44"/>
      <c r="F984" s="122"/>
      <c r="G984" s="123"/>
      <c r="H984" s="44"/>
      <c r="I984" s="93"/>
      <c r="J984" s="44"/>
      <c r="K984" s="44"/>
      <c r="L984" s="93"/>
      <c r="M984" s="124"/>
      <c r="N984" s="44"/>
      <c r="O984" s="92"/>
      <c r="P984" s="110"/>
      <c r="Q984" s="44"/>
      <c r="R984" s="92"/>
      <c r="S984" s="125"/>
      <c r="T984" s="44"/>
      <c r="U984" s="92"/>
      <c r="V984" s="44"/>
      <c r="W984" s="44"/>
      <c r="X984" s="92"/>
      <c r="Y984" s="96"/>
      <c r="Z984" s="44"/>
      <c r="AA984" s="91"/>
    </row>
    <row r="985" spans="1:27" x14ac:dyDescent="0.2">
      <c r="A985" s="96"/>
      <c r="B985" s="44"/>
      <c r="C985" s="91"/>
      <c r="D985" s="139"/>
      <c r="E985" s="44"/>
      <c r="F985" s="122"/>
      <c r="G985" s="123"/>
      <c r="H985" s="44"/>
      <c r="I985" s="93"/>
      <c r="J985" s="44"/>
      <c r="K985" s="44"/>
      <c r="L985" s="93"/>
      <c r="M985" s="124"/>
      <c r="N985" s="44"/>
      <c r="O985" s="92"/>
      <c r="P985" s="110"/>
      <c r="Q985" s="44"/>
      <c r="R985" s="92"/>
      <c r="S985" s="125"/>
      <c r="T985" s="44"/>
      <c r="U985" s="92"/>
      <c r="V985" s="44"/>
      <c r="W985" s="44"/>
      <c r="X985" s="92"/>
      <c r="Y985" s="96"/>
      <c r="Z985" s="44"/>
      <c r="AA985" s="91"/>
    </row>
    <row r="986" spans="1:27" x14ac:dyDescent="0.2">
      <c r="A986" s="97"/>
      <c r="B986" s="41"/>
      <c r="C986" s="94"/>
      <c r="D986" s="140"/>
      <c r="E986" s="41"/>
      <c r="F986" s="126"/>
      <c r="G986" s="127"/>
      <c r="H986" s="41"/>
      <c r="I986" s="95"/>
      <c r="J986" s="41"/>
      <c r="K986" s="41"/>
      <c r="L986" s="95"/>
      <c r="M986" s="128"/>
      <c r="N986" s="41"/>
      <c r="O986" s="42"/>
      <c r="P986" s="52"/>
      <c r="Q986" s="41"/>
      <c r="R986" s="42"/>
      <c r="S986" s="129"/>
      <c r="T986" s="41"/>
      <c r="U986" s="42"/>
      <c r="V986" s="41"/>
      <c r="W986" s="41"/>
      <c r="X986" s="42"/>
      <c r="Y986" s="97"/>
      <c r="Z986" s="41"/>
      <c r="AA986" s="94"/>
    </row>
    <row r="987" spans="1:27" x14ac:dyDescent="0.2">
      <c r="A987" s="87"/>
      <c r="B987" s="87"/>
      <c r="C987" s="88"/>
      <c r="D987" s="138"/>
      <c r="E987" s="87"/>
      <c r="F987" s="118"/>
      <c r="G987" s="119"/>
      <c r="H987" s="87"/>
      <c r="I987" s="90"/>
      <c r="J987" s="87"/>
      <c r="K987" s="87"/>
      <c r="L987" s="90"/>
      <c r="M987" s="120"/>
      <c r="N987" s="87"/>
      <c r="O987" s="89"/>
      <c r="P987" s="130"/>
      <c r="Q987" s="87"/>
      <c r="R987" s="89"/>
      <c r="S987" s="121"/>
      <c r="T987" s="87"/>
      <c r="U987" s="89"/>
      <c r="V987" s="87"/>
      <c r="W987" s="87"/>
      <c r="X987" s="89"/>
      <c r="Y987" s="87"/>
      <c r="Z987" s="87"/>
      <c r="AA987" s="88"/>
    </row>
    <row r="988" spans="1:27" x14ac:dyDescent="0.2">
      <c r="A988" s="44"/>
      <c r="B988" s="44"/>
      <c r="C988" s="91"/>
      <c r="D988" s="139"/>
      <c r="E988" s="44"/>
      <c r="F988" s="122"/>
      <c r="G988" s="123"/>
      <c r="H988" s="44"/>
      <c r="I988" s="93"/>
      <c r="J988" s="44"/>
      <c r="K988" s="44"/>
      <c r="L988" s="93"/>
      <c r="M988" s="124"/>
      <c r="N988" s="44"/>
      <c r="O988" s="92"/>
      <c r="P988" s="110"/>
      <c r="Q988" s="44"/>
      <c r="R988" s="92"/>
      <c r="S988" s="125"/>
      <c r="T988" s="44"/>
      <c r="U988" s="92"/>
      <c r="V988" s="44"/>
      <c r="W988" s="44"/>
      <c r="X988" s="92"/>
      <c r="Y988" s="44"/>
      <c r="Z988" s="44"/>
      <c r="AA988" s="91"/>
    </row>
    <row r="989" spans="1:27" x14ac:dyDescent="0.2">
      <c r="A989" s="41"/>
      <c r="B989" s="41"/>
      <c r="C989" s="94"/>
      <c r="D989" s="140"/>
      <c r="E989" s="41"/>
      <c r="F989" s="126"/>
      <c r="G989" s="127"/>
      <c r="H989" s="41"/>
      <c r="I989" s="95"/>
      <c r="J989" s="41"/>
      <c r="K989" s="41"/>
      <c r="L989" s="95"/>
      <c r="M989" s="128"/>
      <c r="N989" s="41"/>
      <c r="O989" s="42"/>
      <c r="P989" s="52"/>
      <c r="Q989" s="41"/>
      <c r="R989" s="42"/>
      <c r="S989" s="129"/>
      <c r="T989" s="41"/>
      <c r="U989" s="42"/>
      <c r="V989" s="41"/>
      <c r="W989" s="41"/>
      <c r="X989" s="42"/>
      <c r="Y989" s="41"/>
      <c r="Z989" s="41"/>
      <c r="AA989" s="94"/>
    </row>
    <row r="990" spans="1:27" x14ac:dyDescent="0.2">
      <c r="A990" s="44"/>
      <c r="B990" s="44"/>
      <c r="C990" s="91"/>
      <c r="D990" s="139"/>
      <c r="E990" s="44"/>
      <c r="F990" s="122"/>
      <c r="G990" s="123"/>
      <c r="H990" s="44"/>
      <c r="I990" s="93"/>
      <c r="J990" s="44"/>
      <c r="K990" s="44"/>
      <c r="L990" s="93"/>
      <c r="M990" s="124"/>
      <c r="N990" s="44"/>
      <c r="O990" s="92"/>
      <c r="P990" s="110"/>
      <c r="Q990" s="44"/>
      <c r="R990" s="92"/>
      <c r="S990" s="125"/>
      <c r="T990" s="44"/>
      <c r="U990" s="92"/>
      <c r="V990" s="44"/>
      <c r="W990" s="44"/>
      <c r="X990" s="92"/>
      <c r="Y990" s="44"/>
      <c r="Z990" s="44"/>
      <c r="AA990" s="91"/>
    </row>
    <row r="991" spans="1:27" x14ac:dyDescent="0.2">
      <c r="A991" s="87"/>
      <c r="B991" s="87"/>
      <c r="C991" s="88"/>
      <c r="D991" s="138"/>
      <c r="E991" s="87"/>
      <c r="F991" s="118"/>
      <c r="G991" s="119"/>
      <c r="H991" s="87"/>
      <c r="I991" s="90"/>
      <c r="J991" s="87"/>
      <c r="K991" s="87"/>
      <c r="L991" s="90"/>
      <c r="M991" s="120"/>
      <c r="N991" s="87"/>
      <c r="O991" s="89"/>
      <c r="P991" s="87"/>
      <c r="Q991" s="87"/>
      <c r="R991" s="89"/>
      <c r="S991" s="121"/>
      <c r="T991" s="87"/>
      <c r="U991" s="89"/>
      <c r="V991" s="87"/>
      <c r="W991" s="87"/>
      <c r="X991" s="89"/>
      <c r="Y991" s="87"/>
      <c r="Z991" s="87"/>
      <c r="AA991" s="88"/>
    </row>
    <row r="992" spans="1:27" x14ac:dyDescent="0.2">
      <c r="A992" s="44"/>
      <c r="B992" s="44"/>
      <c r="C992" s="91"/>
      <c r="D992" s="139"/>
      <c r="E992" s="44"/>
      <c r="F992" s="122"/>
      <c r="G992" s="123"/>
      <c r="H992" s="44"/>
      <c r="I992" s="93"/>
      <c r="J992" s="44"/>
      <c r="K992" s="44"/>
      <c r="L992" s="93"/>
      <c r="M992" s="124"/>
      <c r="N992" s="44"/>
      <c r="O992" s="92"/>
      <c r="P992" s="110"/>
      <c r="Q992" s="44"/>
      <c r="R992" s="92"/>
      <c r="S992" s="125"/>
      <c r="T992" s="44"/>
      <c r="U992" s="92"/>
      <c r="V992" s="44"/>
      <c r="W992" s="44"/>
      <c r="X992" s="92"/>
      <c r="Y992" s="44"/>
      <c r="Z992" s="44"/>
      <c r="AA992" s="91"/>
    </row>
    <row r="993" spans="1:27" x14ac:dyDescent="0.2">
      <c r="A993" s="41"/>
      <c r="B993" s="41"/>
      <c r="C993" s="94"/>
      <c r="D993" s="140"/>
      <c r="E993" s="41"/>
      <c r="F993" s="126"/>
      <c r="G993" s="127"/>
      <c r="H993" s="41"/>
      <c r="I993" s="95"/>
      <c r="J993" s="41"/>
      <c r="K993" s="41"/>
      <c r="L993" s="95"/>
      <c r="M993" s="128"/>
      <c r="N993" s="41"/>
      <c r="O993" s="42"/>
      <c r="P993" s="52"/>
      <c r="Q993" s="41"/>
      <c r="R993" s="42"/>
      <c r="S993" s="129"/>
      <c r="T993" s="41"/>
      <c r="U993" s="42"/>
      <c r="V993" s="41"/>
      <c r="W993" s="41"/>
      <c r="X993" s="42"/>
      <c r="Y993" s="41"/>
      <c r="Z993" s="41"/>
      <c r="AA993" s="94"/>
    </row>
    <row r="994" spans="1:27" x14ac:dyDescent="0.2">
      <c r="A994" s="44"/>
      <c r="B994" s="44"/>
      <c r="C994" s="91"/>
      <c r="D994" s="139"/>
      <c r="E994" s="44"/>
      <c r="F994" s="122"/>
      <c r="G994" s="123"/>
      <c r="H994" s="44"/>
      <c r="I994" s="93"/>
      <c r="J994" s="44"/>
      <c r="K994" s="44"/>
      <c r="L994" s="93"/>
      <c r="M994" s="124"/>
      <c r="N994" s="44"/>
      <c r="O994" s="92"/>
      <c r="P994" s="110"/>
      <c r="Q994" s="44"/>
      <c r="R994" s="92"/>
      <c r="S994" s="125"/>
      <c r="T994" s="44"/>
      <c r="U994" s="92"/>
      <c r="V994" s="44"/>
      <c r="W994" s="44"/>
      <c r="X994" s="92"/>
      <c r="Y994" s="44"/>
      <c r="Z994" s="44"/>
      <c r="AA994" s="91"/>
    </row>
    <row r="995" spans="1:27" x14ac:dyDescent="0.2">
      <c r="A995" s="41"/>
      <c r="B995" s="41"/>
      <c r="C995" s="94"/>
      <c r="D995" s="140"/>
      <c r="E995" s="41"/>
      <c r="F995" s="126"/>
      <c r="G995" s="127"/>
      <c r="H995" s="41"/>
      <c r="I995" s="95"/>
      <c r="J995" s="41"/>
      <c r="K995" s="41"/>
      <c r="L995" s="95"/>
      <c r="M995" s="128"/>
      <c r="N995" s="41"/>
      <c r="O995" s="42"/>
      <c r="P995" s="52"/>
      <c r="Q995" s="41"/>
      <c r="R995" s="42"/>
      <c r="S995" s="129"/>
      <c r="T995" s="41"/>
      <c r="U995" s="42"/>
      <c r="V995" s="41"/>
      <c r="W995" s="41"/>
      <c r="X995" s="42"/>
      <c r="Y995" s="41"/>
      <c r="Z995" s="41"/>
      <c r="AA995" s="94"/>
    </row>
    <row r="996" spans="1:27" x14ac:dyDescent="0.2">
      <c r="A996" s="44"/>
      <c r="B996" s="44"/>
      <c r="C996" s="91"/>
      <c r="D996" s="139"/>
      <c r="E996" s="44"/>
      <c r="F996" s="122"/>
      <c r="G996" s="123"/>
      <c r="H996" s="44"/>
      <c r="I996" s="93"/>
      <c r="J996" s="44"/>
      <c r="K996" s="44"/>
      <c r="L996" s="93"/>
      <c r="M996" s="124"/>
      <c r="N996" s="44"/>
      <c r="O996" s="92"/>
      <c r="P996" s="110"/>
      <c r="Q996" s="44"/>
      <c r="R996" s="92"/>
      <c r="S996" s="125"/>
      <c r="T996" s="44"/>
      <c r="U996" s="92"/>
      <c r="V996" s="44"/>
      <c r="W996" s="44"/>
      <c r="X996" s="92"/>
      <c r="Y996" s="44"/>
      <c r="Z996" s="44"/>
      <c r="AA996" s="91"/>
    </row>
    <row r="997" spans="1:27" x14ac:dyDescent="0.2">
      <c r="A997" s="41"/>
      <c r="B997" s="41"/>
      <c r="C997" s="94"/>
      <c r="D997" s="140"/>
      <c r="E997" s="41"/>
      <c r="F997" s="126"/>
      <c r="G997" s="127"/>
      <c r="H997" s="41"/>
      <c r="I997" s="95"/>
      <c r="J997" s="41"/>
      <c r="K997" s="41"/>
      <c r="L997" s="95"/>
      <c r="M997" s="128"/>
      <c r="N997" s="41"/>
      <c r="O997" s="42"/>
      <c r="P997" s="52"/>
      <c r="Q997" s="41"/>
      <c r="R997" s="42"/>
      <c r="S997" s="129"/>
      <c r="T997" s="41"/>
      <c r="U997" s="42"/>
      <c r="V997" s="41"/>
      <c r="W997" s="41"/>
      <c r="X997" s="42"/>
      <c r="Y997" s="41"/>
      <c r="Z997" s="41"/>
      <c r="AA997" s="94"/>
    </row>
    <row r="998" spans="1:27" x14ac:dyDescent="0.2">
      <c r="A998" s="44"/>
      <c r="B998" s="44"/>
      <c r="C998" s="91"/>
      <c r="D998" s="139"/>
      <c r="E998" s="44"/>
      <c r="F998" s="122"/>
      <c r="G998" s="123"/>
      <c r="H998" s="44"/>
      <c r="I998" s="93"/>
      <c r="J998" s="44"/>
      <c r="K998" s="44"/>
      <c r="L998" s="93"/>
      <c r="M998" s="124"/>
      <c r="N998" s="44"/>
      <c r="O998" s="92"/>
      <c r="P998" s="110"/>
      <c r="Q998" s="44"/>
      <c r="R998" s="92"/>
      <c r="S998" s="125"/>
      <c r="T998" s="44"/>
      <c r="U998" s="92"/>
      <c r="V998" s="44"/>
      <c r="W998" s="44"/>
      <c r="X998" s="92"/>
      <c r="Y998" s="44"/>
      <c r="Z998" s="44"/>
      <c r="AA998" s="91"/>
    </row>
    <row r="999" spans="1:27" x14ac:dyDescent="0.2">
      <c r="A999" s="41"/>
      <c r="B999" s="41"/>
      <c r="C999" s="94"/>
      <c r="D999" s="140"/>
      <c r="E999" s="41"/>
      <c r="F999" s="126"/>
      <c r="G999" s="127"/>
      <c r="H999" s="41"/>
      <c r="I999" s="95"/>
      <c r="J999" s="41"/>
      <c r="K999" s="41"/>
      <c r="L999" s="95"/>
      <c r="M999" s="128"/>
      <c r="N999" s="41"/>
      <c r="O999" s="42"/>
      <c r="P999" s="52"/>
      <c r="Q999" s="41"/>
      <c r="R999" s="42"/>
      <c r="S999" s="129"/>
      <c r="T999" s="41"/>
      <c r="U999" s="42"/>
      <c r="V999" s="41"/>
      <c r="W999" s="41"/>
      <c r="X999" s="42"/>
      <c r="Y999" s="41"/>
      <c r="Z999" s="41"/>
      <c r="AA999" s="94"/>
    </row>
    <row r="1000" spans="1:27" x14ac:dyDescent="0.2">
      <c r="A1000" s="44"/>
      <c r="B1000" s="44"/>
      <c r="C1000" s="91"/>
      <c r="D1000" s="139"/>
      <c r="E1000" s="44"/>
      <c r="F1000" s="122"/>
      <c r="G1000" s="123"/>
      <c r="H1000" s="44"/>
      <c r="I1000" s="93"/>
      <c r="J1000" s="44"/>
      <c r="K1000" s="44"/>
      <c r="L1000" s="93"/>
      <c r="M1000" s="124"/>
      <c r="N1000" s="44"/>
      <c r="O1000" s="92"/>
      <c r="P1000" s="110"/>
      <c r="Q1000" s="44"/>
      <c r="R1000" s="92"/>
      <c r="S1000" s="125"/>
      <c r="T1000" s="44"/>
      <c r="U1000" s="92"/>
      <c r="V1000" s="44"/>
      <c r="W1000" s="44"/>
      <c r="X1000" s="92"/>
      <c r="Y1000" s="44"/>
      <c r="Z1000" s="44"/>
      <c r="AA1000" s="91"/>
    </row>
  </sheetData>
  <autoFilter ref="A1:AA51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20"/>
  <sheetViews>
    <sheetView workbookViewId="0">
      <selection sqref="A1:C1"/>
    </sheetView>
  </sheetViews>
  <sheetFormatPr baseColWidth="10" defaultRowHeight="14.25" x14ac:dyDescent="0.2"/>
  <cols>
    <col min="1" max="1" width="12.125" bestFit="1" customWidth="1"/>
    <col min="2" max="2" width="11" style="143"/>
    <col min="4" max="4" width="11" style="49"/>
    <col min="7" max="7" width="12.125" bestFit="1" customWidth="1"/>
  </cols>
  <sheetData>
    <row r="1" spans="1:10" ht="15" thickTop="1" x14ac:dyDescent="0.2">
      <c r="A1" s="167" t="s">
        <v>93</v>
      </c>
      <c r="B1" s="167"/>
      <c r="C1" s="168"/>
      <c r="D1" s="162"/>
      <c r="G1" s="167" t="s">
        <v>94</v>
      </c>
      <c r="H1" s="167"/>
      <c r="I1" s="168"/>
      <c r="J1" s="162"/>
    </row>
    <row r="2" spans="1:10" x14ac:dyDescent="0.2">
      <c r="A2" s="38" t="s">
        <v>91</v>
      </c>
      <c r="B2" s="141" t="s">
        <v>89</v>
      </c>
      <c r="C2" s="39" t="s">
        <v>92</v>
      </c>
      <c r="D2" s="40" t="s">
        <v>8</v>
      </c>
      <c r="G2" s="38" t="s">
        <v>91</v>
      </c>
      <c r="H2" s="141" t="s">
        <v>89</v>
      </c>
      <c r="I2" s="39" t="s">
        <v>92</v>
      </c>
      <c r="J2" s="40" t="s">
        <v>8</v>
      </c>
    </row>
    <row r="3" spans="1:10" x14ac:dyDescent="0.2">
      <c r="A3" s="41" t="s">
        <v>97</v>
      </c>
      <c r="B3" s="142">
        <v>20083992386</v>
      </c>
      <c r="C3" s="42">
        <v>0.99907161106010145</v>
      </c>
      <c r="D3" s="43">
        <v>1</v>
      </c>
      <c r="G3" s="41"/>
      <c r="H3" s="142"/>
      <c r="I3" s="42"/>
      <c r="J3" s="43"/>
    </row>
    <row r="4" spans="1:10" x14ac:dyDescent="0.2">
      <c r="A4" s="41" t="s">
        <v>98</v>
      </c>
      <c r="B4" s="142">
        <v>18663083</v>
      </c>
      <c r="C4" s="42">
        <v>9.2838893989801786E-4</v>
      </c>
      <c r="D4" s="43">
        <v>0</v>
      </c>
      <c r="G4" s="41"/>
      <c r="H4" s="142"/>
      <c r="I4" s="42"/>
      <c r="J4" s="43"/>
    </row>
    <row r="5" spans="1:10" x14ac:dyDescent="0.2">
      <c r="A5" s="41"/>
      <c r="B5" s="142"/>
      <c r="C5" s="42"/>
      <c r="D5" s="43"/>
      <c r="G5" s="41"/>
      <c r="H5" s="142"/>
      <c r="I5" s="42"/>
      <c r="J5" s="43"/>
    </row>
    <row r="6" spans="1:10" x14ac:dyDescent="0.2">
      <c r="A6" s="41"/>
      <c r="B6" s="142"/>
      <c r="C6" s="42"/>
      <c r="D6" s="43"/>
      <c r="G6" s="41"/>
      <c r="H6" s="142"/>
      <c r="I6" s="42"/>
      <c r="J6" s="43"/>
    </row>
    <row r="7" spans="1:10" x14ac:dyDescent="0.2">
      <c r="A7" s="41"/>
      <c r="B7" s="142"/>
      <c r="C7" s="42"/>
      <c r="D7" s="43"/>
      <c r="G7" s="41"/>
      <c r="H7" s="142"/>
      <c r="I7" s="42"/>
      <c r="J7" s="43"/>
    </row>
    <row r="8" spans="1:10" x14ac:dyDescent="0.2">
      <c r="A8" s="41"/>
      <c r="B8" s="142"/>
      <c r="C8" s="42"/>
      <c r="D8" s="43"/>
      <c r="G8" s="41"/>
      <c r="H8" s="142"/>
      <c r="I8" s="42"/>
      <c r="J8" s="43"/>
    </row>
    <row r="9" spans="1:10" x14ac:dyDescent="0.2">
      <c r="A9" s="41"/>
      <c r="B9" s="142"/>
      <c r="C9" s="42"/>
      <c r="D9" s="43"/>
      <c r="G9" s="41"/>
      <c r="H9" s="142"/>
      <c r="I9" s="42"/>
      <c r="J9" s="43"/>
    </row>
    <row r="10" spans="1:10" x14ac:dyDescent="0.2">
      <c r="A10" s="41"/>
      <c r="B10" s="142"/>
      <c r="C10" s="42"/>
      <c r="D10" s="43"/>
      <c r="G10" s="41"/>
      <c r="H10" s="142"/>
      <c r="I10" s="42"/>
      <c r="J10" s="43"/>
    </row>
    <row r="11" spans="1:10" x14ac:dyDescent="0.2">
      <c r="A11" s="41"/>
      <c r="B11" s="142"/>
      <c r="C11" s="42"/>
      <c r="D11" s="43"/>
      <c r="G11" s="41"/>
      <c r="H11" s="142"/>
      <c r="I11" s="42"/>
      <c r="J11" s="43"/>
    </row>
    <row r="12" spans="1:10" x14ac:dyDescent="0.2">
      <c r="A12" s="41"/>
      <c r="B12" s="142"/>
      <c r="C12" s="42"/>
      <c r="D12" s="43"/>
      <c r="G12" s="41"/>
      <c r="H12" s="142"/>
      <c r="I12" s="42"/>
      <c r="J12" s="43"/>
    </row>
    <row r="13" spans="1:10" x14ac:dyDescent="0.2">
      <c r="A13" s="41"/>
      <c r="B13" s="142"/>
      <c r="C13" s="42"/>
      <c r="D13" s="43"/>
      <c r="G13" s="41"/>
      <c r="H13" s="142"/>
      <c r="I13" s="42"/>
      <c r="J13" s="43"/>
    </row>
    <row r="14" spans="1:10" x14ac:dyDescent="0.2">
      <c r="A14" s="41"/>
      <c r="B14" s="142"/>
      <c r="C14" s="42"/>
      <c r="D14" s="43"/>
      <c r="G14" s="41"/>
      <c r="H14" s="142"/>
      <c r="I14" s="42"/>
      <c r="J14" s="43"/>
    </row>
    <row r="15" spans="1:10" x14ac:dyDescent="0.2">
      <c r="A15" s="41"/>
      <c r="B15" s="142"/>
      <c r="C15" s="42"/>
      <c r="D15" s="43"/>
      <c r="G15" s="41"/>
      <c r="H15" s="142"/>
      <c r="I15" s="42"/>
      <c r="J15" s="43"/>
    </row>
    <row r="16" spans="1:10" x14ac:dyDescent="0.2">
      <c r="A16" s="41"/>
      <c r="B16" s="142"/>
      <c r="C16" s="42"/>
      <c r="D16" s="43"/>
      <c r="G16" s="41"/>
      <c r="H16" s="142"/>
      <c r="I16" s="42"/>
      <c r="J16" s="43"/>
    </row>
    <row r="17" spans="1:10" x14ac:dyDescent="0.2">
      <c r="A17" s="41"/>
      <c r="B17" s="142"/>
      <c r="C17" s="42"/>
      <c r="D17" s="43"/>
      <c r="G17" s="41"/>
      <c r="H17" s="142"/>
      <c r="I17" s="42"/>
      <c r="J17" s="43"/>
    </row>
    <row r="18" spans="1:10" x14ac:dyDescent="0.2">
      <c r="A18" s="41"/>
      <c r="B18" s="142"/>
      <c r="C18" s="42"/>
      <c r="D18" s="43"/>
      <c r="G18" s="41"/>
      <c r="H18" s="142"/>
      <c r="I18" s="42"/>
      <c r="J18" s="43"/>
    </row>
    <row r="19" spans="1:10" x14ac:dyDescent="0.2">
      <c r="A19" s="41"/>
      <c r="B19" s="142"/>
      <c r="C19" s="42"/>
      <c r="D19" s="43"/>
      <c r="G19" s="41"/>
      <c r="H19" s="142"/>
      <c r="I19" s="42"/>
      <c r="J19" s="43"/>
    </row>
    <row r="20" spans="1:10" x14ac:dyDescent="0.2">
      <c r="A20" s="41"/>
      <c r="B20" s="142"/>
      <c r="C20" s="42"/>
      <c r="D20" s="43"/>
      <c r="G20" s="41"/>
      <c r="H20" s="142"/>
      <c r="I20" s="42"/>
      <c r="J20" s="43"/>
    </row>
  </sheetData>
  <mergeCells count="2">
    <mergeCell ref="A1:C1"/>
    <mergeCell ref="G1:I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IR133"/>
  <sheetViews>
    <sheetView zoomScale="70" zoomScaleNormal="70" workbookViewId="0"/>
  </sheetViews>
  <sheetFormatPr baseColWidth="10" defaultRowHeight="14.25" x14ac:dyDescent="0.2"/>
  <cols>
    <col min="1" max="1" width="34.75" customWidth="1"/>
    <col min="3" max="3" width="17" customWidth="1"/>
    <col min="6" max="6" width="16.625" style="151" customWidth="1"/>
    <col min="7" max="7" width="11" style="143"/>
    <col min="9" max="9" width="17" customWidth="1"/>
    <col min="13" max="13" width="14" customWidth="1"/>
    <col min="14" max="14" width="17" customWidth="1"/>
    <col min="15" max="15" width="11" style="151"/>
    <col min="16" max="16" width="11" style="143"/>
    <col min="20" max="20" width="22.75" customWidth="1"/>
    <col min="21" max="21" width="16.5" customWidth="1"/>
    <col min="22" max="22" width="11.875" customWidth="1"/>
    <col min="23" max="24" width="11" style="151"/>
    <col min="25" max="25" width="32.75" customWidth="1"/>
    <col min="26" max="26" width="32.625" style="49" customWidth="1"/>
    <col min="32" max="33" width="11" style="151"/>
    <col min="34" max="34" width="11" style="143"/>
    <col min="35" max="35" width="11" style="49"/>
    <col min="51" max="51" width="32.75" customWidth="1"/>
    <col min="55" max="55" width="14" customWidth="1"/>
    <col min="77" max="77" width="32.75" customWidth="1"/>
    <col min="79" max="79" width="27.75" customWidth="1"/>
    <col min="81" max="81" width="14" customWidth="1"/>
  </cols>
  <sheetData>
    <row r="2" spans="1:252" x14ac:dyDescent="0.2">
      <c r="A2" s="98" t="s">
        <v>142</v>
      </c>
      <c r="B2" s="98"/>
      <c r="C2" s="98"/>
      <c r="D2" s="98"/>
      <c r="E2" s="98"/>
      <c r="F2" s="148"/>
      <c r="G2" s="152"/>
      <c r="H2" s="98"/>
      <c r="I2" s="98"/>
      <c r="J2" s="98" t="s">
        <v>423</v>
      </c>
      <c r="K2" s="98"/>
      <c r="L2" s="98"/>
      <c r="M2" s="98"/>
      <c r="N2" s="98"/>
      <c r="O2" s="148"/>
      <c r="P2" s="152"/>
      <c r="Q2" s="98"/>
      <c r="R2" s="98"/>
      <c r="S2" s="98" t="s">
        <v>165</v>
      </c>
      <c r="T2" s="98"/>
      <c r="U2" s="98"/>
      <c r="V2" s="98"/>
      <c r="W2" s="148"/>
      <c r="X2" s="148"/>
      <c r="Y2" s="98"/>
      <c r="Z2" s="155"/>
      <c r="AA2" s="98"/>
      <c r="AB2" s="98" t="s">
        <v>388</v>
      </c>
      <c r="AC2" s="98"/>
      <c r="AD2" s="98"/>
      <c r="AE2" s="98"/>
      <c r="AF2" s="148"/>
      <c r="AG2" s="148"/>
      <c r="AH2" s="152"/>
      <c r="AI2" s="155"/>
      <c r="AJ2" s="98"/>
      <c r="AK2" s="98"/>
      <c r="AL2" s="98"/>
      <c r="AM2" s="98"/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</row>
    <row r="3" spans="1:252" x14ac:dyDescent="0.2">
      <c r="A3" s="99" t="s">
        <v>111</v>
      </c>
      <c r="B3" s="100" t="s">
        <v>125</v>
      </c>
      <c r="C3" s="100" t="s">
        <v>107</v>
      </c>
      <c r="D3" s="101" t="s">
        <v>18</v>
      </c>
      <c r="E3" s="101" t="s">
        <v>19</v>
      </c>
      <c r="F3" s="149" t="s">
        <v>106</v>
      </c>
      <c r="G3" s="153" t="s">
        <v>89</v>
      </c>
      <c r="H3" s="103" t="s">
        <v>117</v>
      </c>
      <c r="I3" s="99"/>
      <c r="J3" s="100" t="s">
        <v>111</v>
      </c>
      <c r="K3" s="100" t="s">
        <v>125</v>
      </c>
      <c r="L3" s="101" t="s">
        <v>107</v>
      </c>
      <c r="M3" s="101" t="s">
        <v>18</v>
      </c>
      <c r="N3" s="102" t="s">
        <v>19</v>
      </c>
      <c r="O3" s="149" t="s">
        <v>106</v>
      </c>
      <c r="P3" s="153" t="s">
        <v>89</v>
      </c>
      <c r="Q3" s="99" t="s">
        <v>117</v>
      </c>
      <c r="R3" s="100"/>
      <c r="S3" s="100" t="s">
        <v>111</v>
      </c>
      <c r="T3" s="101" t="s">
        <v>125</v>
      </c>
      <c r="U3" s="101" t="s">
        <v>107</v>
      </c>
      <c r="V3" s="102" t="s">
        <v>18</v>
      </c>
      <c r="W3" s="149" t="s">
        <v>19</v>
      </c>
      <c r="X3" s="149" t="s">
        <v>106</v>
      </c>
      <c r="Y3" s="99" t="s">
        <v>89</v>
      </c>
      <c r="Z3" s="156" t="s">
        <v>117</v>
      </c>
      <c r="AA3" s="100"/>
      <c r="AB3" s="101" t="s">
        <v>111</v>
      </c>
      <c r="AC3" s="101" t="s">
        <v>125</v>
      </c>
      <c r="AD3" s="102" t="s">
        <v>107</v>
      </c>
      <c r="AE3" s="103" t="s">
        <v>18</v>
      </c>
      <c r="AF3" s="149" t="s">
        <v>19</v>
      </c>
      <c r="AG3" s="158" t="s">
        <v>106</v>
      </c>
      <c r="AH3" s="153" t="s">
        <v>89</v>
      </c>
      <c r="AI3" s="156" t="s">
        <v>117</v>
      </c>
      <c r="AJ3" s="101"/>
      <c r="AK3" s="101"/>
      <c r="AL3" s="102"/>
      <c r="AM3" s="103"/>
      <c r="AN3" s="103"/>
      <c r="AO3" s="99"/>
      <c r="AP3" s="100"/>
      <c r="AQ3" s="100"/>
      <c r="AR3" s="101"/>
      <c r="AS3" s="101"/>
      <c r="AT3" s="102"/>
      <c r="AU3" s="103"/>
      <c r="AV3" s="103"/>
      <c r="AW3" s="99"/>
      <c r="AX3" s="100"/>
      <c r="AY3" s="100"/>
      <c r="AZ3" s="101"/>
      <c r="BA3" s="101"/>
      <c r="BB3" s="102"/>
      <c r="BC3" s="103"/>
      <c r="BD3" s="103"/>
      <c r="BE3" s="99"/>
      <c r="BF3" s="100"/>
      <c r="BG3" s="100"/>
      <c r="BH3" s="101"/>
      <c r="BI3" s="101"/>
      <c r="BJ3" s="102"/>
      <c r="BK3" s="103"/>
      <c r="BL3" s="103"/>
      <c r="BM3" s="99"/>
      <c r="BN3" s="100"/>
      <c r="BO3" s="100"/>
      <c r="BP3" s="101"/>
      <c r="BQ3" s="101"/>
      <c r="BR3" s="102"/>
      <c r="BS3" s="103"/>
      <c r="BT3" s="103"/>
      <c r="BU3" s="99"/>
      <c r="BV3" s="100"/>
      <c r="BW3" s="100"/>
      <c r="BX3" s="101"/>
      <c r="BY3" s="101"/>
      <c r="BZ3" s="102"/>
      <c r="CA3" s="103"/>
      <c r="CC3" s="12"/>
      <c r="CD3" s="12"/>
      <c r="CF3" s="12"/>
      <c r="CG3" s="12"/>
      <c r="CJ3" s="12"/>
      <c r="CM3" s="12"/>
      <c r="CO3" s="12"/>
      <c r="CR3" s="12"/>
      <c r="CY3" s="12"/>
      <c r="CZ3" s="12"/>
      <c r="DB3" s="12"/>
      <c r="DC3" s="12"/>
      <c r="DD3" s="12"/>
      <c r="DF3" s="12"/>
      <c r="DG3" s="12"/>
      <c r="DI3" s="12"/>
      <c r="DM3" s="12"/>
      <c r="DN3" s="12"/>
      <c r="DR3" s="12"/>
      <c r="DX3" s="12"/>
      <c r="DY3" s="12"/>
      <c r="EA3" s="12"/>
      <c r="EB3" s="12"/>
      <c r="EC3" s="12"/>
      <c r="ED3" s="12"/>
      <c r="EF3" s="12"/>
      <c r="EG3" s="12"/>
      <c r="EH3" s="12"/>
      <c r="EM3" s="12"/>
      <c r="ER3" s="12"/>
      <c r="EW3" s="12"/>
      <c r="EX3" s="12"/>
      <c r="EZ3" s="12"/>
      <c r="FA3" s="12"/>
      <c r="FC3" s="12"/>
      <c r="FD3" s="12"/>
      <c r="FF3" s="12"/>
      <c r="FG3" s="12"/>
      <c r="FL3" s="12"/>
      <c r="FM3" s="12"/>
      <c r="FR3" s="12"/>
      <c r="FV3" s="12"/>
      <c r="FW3" s="12"/>
      <c r="FY3" s="12"/>
      <c r="FZ3" s="12"/>
      <c r="GC3" s="12"/>
      <c r="GD3" s="12"/>
      <c r="GF3" s="12"/>
      <c r="GG3" s="12"/>
      <c r="GK3" s="12"/>
      <c r="GM3" s="12"/>
      <c r="GR3" s="12"/>
      <c r="HC3" s="12"/>
      <c r="HD3" s="12"/>
      <c r="HF3" s="12"/>
      <c r="HG3" s="12"/>
      <c r="HM3" s="12"/>
      <c r="HR3" s="12"/>
      <c r="IC3" s="12"/>
      <c r="ID3" s="12"/>
      <c r="IF3" s="12"/>
      <c r="IG3" s="12"/>
      <c r="IM3" s="12"/>
      <c r="IR3" s="12"/>
    </row>
    <row r="4" spans="1:252" x14ac:dyDescent="0.2">
      <c r="A4" s="104" t="s">
        <v>132</v>
      </c>
      <c r="B4" s="105" t="s">
        <v>142</v>
      </c>
      <c r="C4" s="106" t="s">
        <v>128</v>
      </c>
      <c r="D4" s="107" t="s">
        <v>99</v>
      </c>
      <c r="E4" s="107">
        <v>1.22</v>
      </c>
      <c r="F4" s="181">
        <v>2.2000000000000002</v>
      </c>
      <c r="G4" s="154">
        <v>14951448</v>
      </c>
      <c r="H4" s="109">
        <v>7.4375491615533455E-4</v>
      </c>
      <c r="I4" s="104"/>
      <c r="J4" s="105" t="s">
        <v>364</v>
      </c>
      <c r="K4" s="106" t="s">
        <v>423</v>
      </c>
      <c r="L4" s="107" t="s">
        <v>382</v>
      </c>
      <c r="M4" s="107" t="s">
        <v>99</v>
      </c>
      <c r="N4" s="108">
        <v>0.22</v>
      </c>
      <c r="O4" s="181">
        <v>3.85</v>
      </c>
      <c r="P4" s="154">
        <v>201691.94</v>
      </c>
      <c r="Q4" s="104">
        <v>1.0033099833300222E-5</v>
      </c>
      <c r="R4" s="105"/>
      <c r="S4" s="106" t="s">
        <v>159</v>
      </c>
      <c r="T4" s="107" t="s">
        <v>165</v>
      </c>
      <c r="U4" s="107" t="s">
        <v>156</v>
      </c>
      <c r="V4" s="108" t="s">
        <v>99</v>
      </c>
      <c r="W4" s="181">
        <v>6.58</v>
      </c>
      <c r="X4" s="181">
        <v>2.34</v>
      </c>
      <c r="Y4" s="182">
        <v>119629565</v>
      </c>
      <c r="Z4" s="157">
        <v>5.9509337882373767E-3</v>
      </c>
      <c r="AA4" s="106"/>
      <c r="AB4" s="107" t="s">
        <v>184</v>
      </c>
      <c r="AC4" s="107" t="s">
        <v>388</v>
      </c>
      <c r="AD4" s="108" t="s">
        <v>382</v>
      </c>
      <c r="AE4" s="109" t="s">
        <v>100</v>
      </c>
      <c r="AF4" s="181">
        <v>0.01</v>
      </c>
      <c r="AG4" s="183">
        <v>3.72</v>
      </c>
      <c r="AH4" s="160">
        <v>231552.87</v>
      </c>
      <c r="AI4" s="161">
        <v>1.1518522219880043E-5</v>
      </c>
      <c r="AJ4" s="107"/>
      <c r="AK4" s="107"/>
      <c r="AL4" s="108"/>
      <c r="AM4" s="109"/>
      <c r="AN4" s="109"/>
      <c r="AO4" s="104"/>
      <c r="AP4" s="105"/>
      <c r="AQ4" s="106"/>
      <c r="AR4" s="107"/>
      <c r="AS4" s="107"/>
      <c r="AT4" s="108"/>
      <c r="AU4" s="109"/>
      <c r="AV4" s="109"/>
      <c r="AW4" s="104"/>
      <c r="AX4" s="105"/>
      <c r="AY4" s="106"/>
      <c r="AZ4" s="107"/>
      <c r="BA4" s="107"/>
      <c r="BB4" s="108"/>
      <c r="BC4" s="109"/>
      <c r="BD4" s="109"/>
      <c r="BE4" s="104"/>
      <c r="BF4" s="105"/>
      <c r="BG4" s="106"/>
      <c r="BH4" s="107"/>
      <c r="BI4" s="107"/>
      <c r="BJ4" s="108"/>
      <c r="BK4" s="109"/>
      <c r="BL4" s="109"/>
      <c r="BM4" s="104"/>
      <c r="BN4" s="105"/>
      <c r="BO4" s="106"/>
      <c r="BP4" s="107"/>
      <c r="BQ4" s="107"/>
      <c r="BR4" s="108"/>
      <c r="BS4" s="109"/>
      <c r="BT4" s="109"/>
      <c r="BU4" s="104"/>
      <c r="BV4" s="105"/>
      <c r="BW4" s="106"/>
      <c r="BX4" s="107"/>
      <c r="BY4" s="107"/>
      <c r="BZ4" s="108"/>
      <c r="CA4" s="109"/>
      <c r="CC4" s="12"/>
      <c r="CD4" s="12"/>
      <c r="CF4" s="12"/>
      <c r="CG4" s="12"/>
      <c r="CJ4" s="12"/>
      <c r="CM4" s="12"/>
      <c r="CO4" s="12"/>
      <c r="CR4" s="12"/>
      <c r="CY4" s="12"/>
      <c r="CZ4" s="12"/>
      <c r="DB4" s="12"/>
      <c r="DC4" s="12"/>
      <c r="DD4" s="12"/>
      <c r="DF4" s="12"/>
      <c r="DG4" s="12"/>
      <c r="DI4" s="12"/>
      <c r="DM4" s="12"/>
      <c r="DN4" s="12"/>
      <c r="DR4" s="12"/>
      <c r="DX4" s="12"/>
      <c r="DY4" s="12"/>
      <c r="EA4" s="12"/>
      <c r="EB4" s="12"/>
      <c r="EC4" s="12"/>
      <c r="ED4" s="12"/>
      <c r="EF4" s="12"/>
      <c r="EG4" s="12"/>
      <c r="EH4" s="12"/>
      <c r="EM4" s="12"/>
      <c r="ER4" s="12"/>
      <c r="EW4" s="12"/>
      <c r="EX4" s="12"/>
      <c r="EZ4" s="12"/>
      <c r="FA4" s="12"/>
      <c r="FC4" s="12"/>
      <c r="FD4" s="12"/>
      <c r="FF4" s="12"/>
      <c r="FG4" s="12"/>
      <c r="FL4" s="12"/>
      <c r="FM4" s="12"/>
      <c r="FR4" s="12"/>
      <c r="FV4" s="12"/>
      <c r="FW4" s="12"/>
      <c r="FY4" s="12"/>
      <c r="FZ4" s="12"/>
      <c r="GC4" s="12"/>
      <c r="GD4" s="12"/>
      <c r="GF4" s="12"/>
      <c r="GG4" s="12"/>
      <c r="GK4" s="12"/>
      <c r="GM4" s="12"/>
      <c r="GR4" s="12"/>
      <c r="HC4" s="12"/>
      <c r="HD4" s="12"/>
      <c r="HF4" s="12"/>
      <c r="HG4" s="12"/>
      <c r="HM4" s="12"/>
      <c r="HR4" s="12"/>
      <c r="IC4" s="12"/>
      <c r="ID4" s="12"/>
      <c r="IF4" s="12"/>
      <c r="IG4" s="12"/>
      <c r="IM4" s="12"/>
      <c r="IR4" s="12"/>
    </row>
    <row r="5" spans="1:252" x14ac:dyDescent="0.2">
      <c r="A5" s="104" t="s">
        <v>148</v>
      </c>
      <c r="B5" s="105" t="s">
        <v>142</v>
      </c>
      <c r="C5" s="106" t="s">
        <v>145</v>
      </c>
      <c r="D5" s="107" t="s">
        <v>99</v>
      </c>
      <c r="E5" s="107">
        <v>1.81</v>
      </c>
      <c r="F5" s="181">
        <v>1.98</v>
      </c>
      <c r="G5" s="154">
        <v>27407993</v>
      </c>
      <c r="H5" s="109">
        <v>1.363401694317567E-3</v>
      </c>
      <c r="I5" s="104"/>
      <c r="J5" s="105" t="s">
        <v>364</v>
      </c>
      <c r="K5" s="106" t="s">
        <v>423</v>
      </c>
      <c r="L5" s="107" t="s">
        <v>382</v>
      </c>
      <c r="M5" s="107" t="s">
        <v>99</v>
      </c>
      <c r="N5" s="108">
        <v>0.7</v>
      </c>
      <c r="O5" s="181">
        <v>1.45</v>
      </c>
      <c r="P5" s="154">
        <v>10059.4</v>
      </c>
      <c r="Q5" s="104">
        <v>5.0040166463852394E-7</v>
      </c>
      <c r="R5" s="105"/>
      <c r="S5" s="106" t="s">
        <v>171</v>
      </c>
      <c r="T5" s="107" t="s">
        <v>165</v>
      </c>
      <c r="U5" s="107" t="s">
        <v>156</v>
      </c>
      <c r="V5" s="108" t="s">
        <v>99</v>
      </c>
      <c r="W5" s="181">
        <v>8.24</v>
      </c>
      <c r="X5" s="181">
        <v>2.5</v>
      </c>
      <c r="Y5" s="182">
        <v>62644397</v>
      </c>
      <c r="Z5" s="157">
        <v>3.1162251467775222E-3</v>
      </c>
      <c r="AA5" s="106"/>
      <c r="AB5" s="107" t="s">
        <v>184</v>
      </c>
      <c r="AC5" s="107" t="s">
        <v>388</v>
      </c>
      <c r="AD5" s="108" t="s">
        <v>382</v>
      </c>
      <c r="AE5" s="109" t="s">
        <v>100</v>
      </c>
      <c r="AF5" s="181">
        <v>0.01</v>
      </c>
      <c r="AG5" s="183">
        <v>3.78</v>
      </c>
      <c r="AH5" s="160">
        <v>46508.4</v>
      </c>
      <c r="AI5" s="161">
        <v>2.3135453653072617E-6</v>
      </c>
      <c r="AJ5" s="107"/>
      <c r="AK5" s="107"/>
      <c r="AL5" s="108"/>
      <c r="AM5" s="109"/>
      <c r="AN5" s="109"/>
      <c r="AO5" s="104"/>
      <c r="AP5" s="105"/>
      <c r="AQ5" s="106"/>
      <c r="AR5" s="107"/>
      <c r="AS5" s="107"/>
      <c r="AT5" s="108"/>
      <c r="AU5" s="109"/>
      <c r="AV5" s="109"/>
      <c r="AW5" s="104"/>
      <c r="AX5" s="105"/>
      <c r="AY5" s="106"/>
      <c r="AZ5" s="107"/>
      <c r="BA5" s="107"/>
      <c r="BB5" s="108"/>
      <c r="BC5" s="109"/>
      <c r="BD5" s="109"/>
      <c r="BE5" s="104"/>
      <c r="BF5" s="105"/>
      <c r="BG5" s="106"/>
      <c r="BH5" s="107"/>
      <c r="BI5" s="107"/>
      <c r="BJ5" s="108"/>
      <c r="BK5" s="109"/>
      <c r="BL5" s="109"/>
      <c r="BM5" s="104"/>
      <c r="BN5" s="105"/>
      <c r="BO5" s="106"/>
      <c r="BP5" s="107"/>
      <c r="BQ5" s="107"/>
      <c r="BR5" s="108"/>
      <c r="BS5" s="109"/>
      <c r="BT5" s="109"/>
      <c r="BU5" s="104"/>
      <c r="BV5" s="105"/>
      <c r="BW5" s="106"/>
      <c r="BX5" s="107"/>
      <c r="BY5" s="107"/>
      <c r="BZ5" s="108"/>
      <c r="CA5" s="109"/>
      <c r="CC5" s="12"/>
      <c r="CD5" s="12"/>
      <c r="CF5" s="12"/>
      <c r="CG5" s="12"/>
      <c r="CJ5" s="12"/>
      <c r="CM5" s="12"/>
      <c r="CO5" s="12"/>
      <c r="CR5" s="12"/>
      <c r="CW5" s="12"/>
      <c r="CY5" s="12"/>
      <c r="CZ5" s="12"/>
      <c r="DB5" s="12"/>
      <c r="DC5" s="12"/>
      <c r="DD5" s="12"/>
      <c r="DF5" s="12"/>
      <c r="DG5" s="12"/>
      <c r="DI5" s="12"/>
      <c r="DM5" s="12"/>
      <c r="DN5" s="12"/>
      <c r="DR5" s="12"/>
      <c r="DV5" s="12"/>
      <c r="DX5" s="12"/>
      <c r="DY5" s="12"/>
      <c r="EA5" s="12"/>
      <c r="EB5" s="12"/>
      <c r="EC5" s="12"/>
      <c r="ED5" s="12"/>
      <c r="EF5" s="12"/>
      <c r="EG5" s="12"/>
      <c r="EH5" s="12"/>
      <c r="EM5" s="12"/>
      <c r="ER5" s="12"/>
      <c r="EW5" s="12"/>
      <c r="EX5" s="12"/>
      <c r="EZ5" s="12"/>
      <c r="FA5" s="12"/>
      <c r="FC5" s="12"/>
      <c r="FD5" s="12"/>
      <c r="FF5" s="12"/>
      <c r="FG5" s="12"/>
      <c r="FL5" s="12"/>
      <c r="FM5" s="12"/>
      <c r="FR5" s="12"/>
      <c r="FV5" s="12"/>
      <c r="FW5" s="12"/>
      <c r="FY5" s="12"/>
      <c r="FZ5" s="12"/>
      <c r="GC5" s="12"/>
      <c r="GD5" s="12"/>
      <c r="GF5" s="12"/>
      <c r="GG5" s="12"/>
      <c r="GK5" s="12"/>
      <c r="GM5" s="12"/>
      <c r="GR5" s="12"/>
      <c r="HC5" s="12"/>
      <c r="HD5" s="12"/>
      <c r="HF5" s="12"/>
      <c r="HG5" s="12"/>
      <c r="HM5" s="12"/>
      <c r="HR5" s="12"/>
      <c r="IC5" s="12"/>
      <c r="ID5" s="12"/>
      <c r="IF5" s="12"/>
      <c r="IG5" s="12"/>
      <c r="IM5" s="12"/>
      <c r="IR5" s="12"/>
    </row>
    <row r="6" spans="1:252" x14ac:dyDescent="0.2">
      <c r="A6" s="104" t="s">
        <v>153</v>
      </c>
      <c r="B6" s="105" t="s">
        <v>142</v>
      </c>
      <c r="C6" s="106" t="s">
        <v>128</v>
      </c>
      <c r="D6" s="107" t="s">
        <v>99</v>
      </c>
      <c r="E6" s="107">
        <v>4.3899999999999997</v>
      </c>
      <c r="F6" s="181">
        <v>2.12</v>
      </c>
      <c r="G6" s="154">
        <v>298660875</v>
      </c>
      <c r="H6" s="109">
        <v>1.4856788054541865E-2</v>
      </c>
      <c r="I6" s="104"/>
      <c r="J6" s="105"/>
      <c r="K6" s="106"/>
      <c r="L6" s="107"/>
      <c r="M6" s="107"/>
      <c r="N6" s="108"/>
      <c r="O6" s="150"/>
      <c r="P6" s="154"/>
      <c r="Q6" s="104"/>
      <c r="R6" s="105"/>
      <c r="S6" s="106" t="s">
        <v>184</v>
      </c>
      <c r="T6" s="107" t="s">
        <v>165</v>
      </c>
      <c r="U6" s="107" t="s">
        <v>145</v>
      </c>
      <c r="V6" s="108" t="s">
        <v>99</v>
      </c>
      <c r="W6" s="181">
        <v>6.39</v>
      </c>
      <c r="X6" s="181">
        <v>2.15</v>
      </c>
      <c r="Y6" s="182">
        <v>70292914</v>
      </c>
      <c r="Z6" s="157">
        <v>3.4966981364202413E-3</v>
      </c>
      <c r="AA6" s="106"/>
      <c r="AB6" s="107" t="s">
        <v>184</v>
      </c>
      <c r="AC6" s="107" t="s">
        <v>388</v>
      </c>
      <c r="AD6" s="108" t="s">
        <v>382</v>
      </c>
      <c r="AE6" s="109" t="s">
        <v>100</v>
      </c>
      <c r="AF6" s="181">
        <v>0.02</v>
      </c>
      <c r="AG6" s="183">
        <v>3.72</v>
      </c>
      <c r="AH6" s="160">
        <v>57855.56</v>
      </c>
      <c r="AI6" s="161">
        <v>2.8780058739984018E-6</v>
      </c>
      <c r="AJ6" s="107"/>
      <c r="AK6" s="107"/>
      <c r="AL6" s="108"/>
      <c r="AM6" s="109"/>
      <c r="AN6" s="109"/>
      <c r="AO6" s="104"/>
      <c r="AP6" s="105"/>
      <c r="AQ6" s="106"/>
      <c r="AR6" s="107"/>
      <c r="AS6" s="107"/>
      <c r="AT6" s="108"/>
      <c r="AU6" s="109"/>
      <c r="AV6" s="109"/>
      <c r="AW6" s="104"/>
      <c r="AX6" s="105"/>
      <c r="AY6" s="106"/>
      <c r="AZ6" s="107"/>
      <c r="BA6" s="107"/>
      <c r="BB6" s="108"/>
      <c r="BC6" s="109"/>
      <c r="BD6" s="109"/>
      <c r="BE6" s="104"/>
      <c r="BF6" s="105"/>
      <c r="BG6" s="106"/>
      <c r="BH6" s="107"/>
      <c r="BI6" s="107"/>
      <c r="BJ6" s="108"/>
      <c r="BK6" s="109"/>
      <c r="BL6" s="109"/>
      <c r="BM6" s="104"/>
      <c r="BN6" s="105"/>
      <c r="BO6" s="106"/>
      <c r="BP6" s="107"/>
      <c r="BQ6" s="107"/>
      <c r="BR6" s="108"/>
      <c r="BS6" s="109"/>
      <c r="BT6" s="109"/>
      <c r="BU6" s="104"/>
      <c r="BV6" s="105"/>
      <c r="BW6" s="106"/>
      <c r="BX6" s="107"/>
      <c r="BY6" s="107"/>
      <c r="BZ6" s="108"/>
      <c r="CA6" s="109"/>
      <c r="CC6" s="12"/>
      <c r="CD6" s="12"/>
      <c r="CF6" s="12"/>
      <c r="CG6" s="12"/>
      <c r="CJ6" s="12"/>
      <c r="CM6" s="12"/>
      <c r="CO6" s="12"/>
      <c r="CR6" s="12"/>
      <c r="CW6" s="12"/>
      <c r="CY6" s="12"/>
      <c r="CZ6" s="12"/>
      <c r="DB6" s="12"/>
      <c r="DC6" s="12"/>
      <c r="DD6" s="12"/>
      <c r="DF6" s="12"/>
      <c r="DG6" s="12"/>
      <c r="DI6" s="12"/>
      <c r="DM6" s="12"/>
      <c r="DN6" s="12"/>
      <c r="DR6" s="12"/>
      <c r="DV6" s="12"/>
      <c r="DX6" s="12"/>
      <c r="DY6" s="12"/>
      <c r="EA6" s="12"/>
      <c r="EB6" s="12"/>
      <c r="EC6" s="12"/>
      <c r="ED6" s="12"/>
      <c r="EF6" s="12"/>
      <c r="EG6" s="12"/>
      <c r="EH6" s="12"/>
      <c r="EM6" s="12"/>
      <c r="ER6" s="12"/>
      <c r="EW6" s="12"/>
      <c r="EX6" s="12"/>
      <c r="EZ6" s="12"/>
      <c r="FA6" s="12"/>
      <c r="FC6" s="12"/>
      <c r="FD6" s="12"/>
      <c r="FF6" s="12"/>
      <c r="FG6" s="12"/>
      <c r="FL6" s="12"/>
      <c r="FM6" s="12"/>
      <c r="FR6" s="12"/>
      <c r="FV6" s="12"/>
      <c r="FW6" s="12"/>
      <c r="FY6" s="12"/>
      <c r="FZ6" s="12"/>
      <c r="GC6" s="12"/>
      <c r="GD6" s="12"/>
      <c r="GF6" s="12"/>
      <c r="GG6" s="12"/>
      <c r="GK6" s="12"/>
      <c r="GM6" s="12"/>
      <c r="GR6" s="12"/>
      <c r="HC6" s="12"/>
      <c r="HD6" s="12"/>
      <c r="HF6" s="12"/>
      <c r="HG6" s="12"/>
      <c r="HM6" s="12"/>
      <c r="HR6" s="12"/>
      <c r="IC6" s="12"/>
      <c r="ID6" s="12"/>
      <c r="IF6" s="12"/>
      <c r="IG6" s="12"/>
      <c r="IM6" s="12"/>
      <c r="IR6" s="12"/>
    </row>
    <row r="7" spans="1:252" x14ac:dyDescent="0.2">
      <c r="A7" s="104" t="s">
        <v>159</v>
      </c>
      <c r="B7" s="105" t="s">
        <v>142</v>
      </c>
      <c r="C7" s="106" t="s">
        <v>156</v>
      </c>
      <c r="D7" s="107" t="s">
        <v>99</v>
      </c>
      <c r="E7" s="107">
        <v>2.41</v>
      </c>
      <c r="F7" s="181">
        <v>2.02</v>
      </c>
      <c r="G7" s="154">
        <v>67896211</v>
      </c>
      <c r="H7" s="109">
        <v>3.3774749254767769E-3</v>
      </c>
      <c r="I7" s="104"/>
      <c r="J7" s="105"/>
      <c r="K7" s="106"/>
      <c r="L7" s="107"/>
      <c r="M7" s="107"/>
      <c r="N7" s="108"/>
      <c r="O7" s="150"/>
      <c r="P7" s="154"/>
      <c r="Q7" s="104"/>
      <c r="R7" s="105"/>
      <c r="S7" s="106" t="s">
        <v>235</v>
      </c>
      <c r="T7" s="107" t="s">
        <v>165</v>
      </c>
      <c r="U7" s="107" t="s">
        <v>209</v>
      </c>
      <c r="V7" s="108" t="s">
        <v>99</v>
      </c>
      <c r="W7" s="181">
        <v>7.85</v>
      </c>
      <c r="X7" s="181">
        <v>2.17</v>
      </c>
      <c r="Y7" s="182">
        <v>147791754</v>
      </c>
      <c r="Z7" s="157">
        <v>7.3518527171896548E-3</v>
      </c>
      <c r="AA7" s="106"/>
      <c r="AB7" s="107" t="s">
        <v>184</v>
      </c>
      <c r="AC7" s="107" t="s">
        <v>388</v>
      </c>
      <c r="AD7" s="108" t="s">
        <v>382</v>
      </c>
      <c r="AE7" s="109" t="s">
        <v>100</v>
      </c>
      <c r="AF7" s="181">
        <v>0.04</v>
      </c>
      <c r="AG7" s="183">
        <v>3.84</v>
      </c>
      <c r="AH7" s="160">
        <v>231646.19</v>
      </c>
      <c r="AI7" s="161">
        <v>1.1523164164091934E-5</v>
      </c>
      <c r="AJ7" s="107"/>
      <c r="AK7" s="107"/>
      <c r="AL7" s="108"/>
      <c r="AM7" s="109"/>
      <c r="AN7" s="109"/>
      <c r="AO7" s="104"/>
      <c r="AP7" s="105"/>
      <c r="AQ7" s="106"/>
      <c r="AR7" s="107"/>
      <c r="AS7" s="107"/>
      <c r="AT7" s="108"/>
      <c r="AU7" s="109"/>
      <c r="AV7" s="109"/>
      <c r="AW7" s="104"/>
      <c r="AX7" s="105"/>
      <c r="AY7" s="106"/>
      <c r="AZ7" s="107"/>
      <c r="BA7" s="107"/>
      <c r="BB7" s="108"/>
      <c r="BC7" s="109"/>
      <c r="BD7" s="109"/>
      <c r="BE7" s="104"/>
      <c r="BF7" s="105"/>
      <c r="BG7" s="106"/>
      <c r="BH7" s="107"/>
      <c r="BI7" s="107"/>
      <c r="BJ7" s="108"/>
      <c r="BK7" s="109"/>
      <c r="BL7" s="109"/>
      <c r="BM7" s="104"/>
      <c r="BN7" s="105"/>
      <c r="BO7" s="106"/>
      <c r="BP7" s="107"/>
      <c r="BQ7" s="107"/>
      <c r="BR7" s="108"/>
      <c r="BS7" s="109"/>
      <c r="BT7" s="109"/>
      <c r="BU7" s="104"/>
      <c r="BV7" s="105"/>
      <c r="BW7" s="106"/>
      <c r="BX7" s="107"/>
      <c r="BY7" s="107"/>
      <c r="BZ7" s="108"/>
      <c r="CA7" s="109"/>
      <c r="CC7" s="12"/>
      <c r="CD7" s="12"/>
      <c r="CF7" s="12"/>
      <c r="CG7" s="12"/>
      <c r="CJ7" s="12"/>
      <c r="CM7" s="12"/>
      <c r="CO7" s="12"/>
      <c r="CR7" s="12"/>
      <c r="CY7" s="12"/>
      <c r="CZ7" s="12"/>
      <c r="DB7" s="12"/>
      <c r="DC7" s="12"/>
      <c r="DD7" s="12"/>
      <c r="DF7" s="12"/>
      <c r="DG7" s="12"/>
      <c r="DI7" s="12"/>
      <c r="DM7" s="12"/>
      <c r="DN7" s="12"/>
      <c r="DR7" s="12"/>
      <c r="DX7" s="12"/>
      <c r="DY7" s="12"/>
      <c r="EA7" s="12"/>
      <c r="EB7" s="12"/>
      <c r="EC7" s="12"/>
      <c r="ED7" s="12"/>
      <c r="EF7" s="12"/>
      <c r="EG7" s="12"/>
      <c r="EH7" s="12"/>
      <c r="EM7" s="12"/>
      <c r="ER7" s="12"/>
      <c r="EW7" s="12"/>
      <c r="EX7" s="12"/>
      <c r="EZ7" s="12"/>
      <c r="FA7" s="12"/>
      <c r="FC7" s="12"/>
      <c r="FD7" s="12"/>
      <c r="FF7" s="12"/>
      <c r="FG7" s="12"/>
      <c r="FL7" s="12"/>
      <c r="FM7" s="12"/>
      <c r="FR7" s="12"/>
      <c r="FV7" s="12"/>
      <c r="FW7" s="12"/>
      <c r="FY7" s="12"/>
      <c r="FZ7" s="12"/>
      <c r="GC7" s="12"/>
      <c r="GD7" s="12"/>
      <c r="GF7" s="12"/>
      <c r="GG7" s="12"/>
      <c r="GK7" s="12"/>
      <c r="GM7" s="12"/>
      <c r="GR7" s="12"/>
      <c r="HC7" s="12"/>
      <c r="HD7" s="12"/>
      <c r="HF7" s="12"/>
      <c r="HG7" s="12"/>
      <c r="HM7" s="12"/>
      <c r="HR7" s="12"/>
      <c r="IC7" s="12"/>
      <c r="ID7" s="12"/>
      <c r="IF7" s="12"/>
      <c r="IG7" s="12"/>
      <c r="IM7" s="12"/>
      <c r="IR7" s="12"/>
    </row>
    <row r="8" spans="1:252" x14ac:dyDescent="0.2">
      <c r="A8" s="104" t="s">
        <v>176</v>
      </c>
      <c r="B8" s="105" t="s">
        <v>142</v>
      </c>
      <c r="C8" s="106" t="s">
        <v>156</v>
      </c>
      <c r="D8" s="107" t="s">
        <v>100</v>
      </c>
      <c r="E8" s="107">
        <v>1.65</v>
      </c>
      <c r="F8" s="181">
        <v>4.6500000000000004</v>
      </c>
      <c r="G8" s="154">
        <v>193898527</v>
      </c>
      <c r="H8" s="109">
        <v>9.6454191387702302E-3</v>
      </c>
      <c r="I8" s="104"/>
      <c r="J8" s="105"/>
      <c r="K8" s="106"/>
      <c r="L8" s="107"/>
      <c r="M8" s="107"/>
      <c r="N8" s="108"/>
      <c r="O8" s="150"/>
      <c r="P8" s="154"/>
      <c r="Q8" s="104"/>
      <c r="R8" s="105"/>
      <c r="S8" s="106" t="s">
        <v>235</v>
      </c>
      <c r="T8" s="107" t="s">
        <v>165</v>
      </c>
      <c r="U8" s="107" t="s">
        <v>209</v>
      </c>
      <c r="V8" s="108" t="s">
        <v>99</v>
      </c>
      <c r="W8" s="181">
        <v>5.51</v>
      </c>
      <c r="X8" s="181">
        <v>2.08</v>
      </c>
      <c r="Y8" s="182">
        <v>57329648</v>
      </c>
      <c r="Z8" s="157">
        <v>2.851844686979806E-3</v>
      </c>
      <c r="AA8" s="106"/>
      <c r="AB8" s="107" t="s">
        <v>184</v>
      </c>
      <c r="AC8" s="107" t="s">
        <v>388</v>
      </c>
      <c r="AD8" s="108" t="s">
        <v>382</v>
      </c>
      <c r="AE8" s="109" t="s">
        <v>100</v>
      </c>
      <c r="AF8" s="181">
        <v>0.11</v>
      </c>
      <c r="AG8" s="183">
        <v>3.9</v>
      </c>
      <c r="AH8" s="160">
        <v>240212.54</v>
      </c>
      <c r="AI8" s="161">
        <v>1.1949294711391254E-5</v>
      </c>
      <c r="AJ8" s="107"/>
      <c r="AK8" s="107"/>
      <c r="AL8" s="108"/>
      <c r="AM8" s="109"/>
      <c r="AN8" s="109"/>
      <c r="AO8" s="104"/>
      <c r="AP8" s="105"/>
      <c r="AQ8" s="106"/>
      <c r="AR8" s="107"/>
      <c r="AS8" s="107"/>
      <c r="AT8" s="108"/>
      <c r="AU8" s="109"/>
      <c r="AV8" s="109"/>
      <c r="AW8" s="104"/>
      <c r="AX8" s="105"/>
      <c r="AY8" s="106"/>
      <c r="AZ8" s="107"/>
      <c r="BA8" s="107"/>
      <c r="BB8" s="108"/>
      <c r="BC8" s="109"/>
      <c r="BD8" s="109"/>
      <c r="BE8" s="104"/>
      <c r="BF8" s="105"/>
      <c r="BG8" s="106"/>
      <c r="BH8" s="107"/>
      <c r="BI8" s="107"/>
      <c r="BJ8" s="108"/>
      <c r="BK8" s="109"/>
      <c r="BL8" s="109"/>
      <c r="BM8" s="104"/>
      <c r="BN8" s="105"/>
      <c r="BO8" s="106"/>
      <c r="BP8" s="107"/>
      <c r="BQ8" s="107"/>
      <c r="BR8" s="108"/>
      <c r="BS8" s="109"/>
      <c r="BT8" s="109"/>
      <c r="BU8" s="104"/>
      <c r="BV8" s="105"/>
      <c r="BW8" s="106"/>
      <c r="BX8" s="107"/>
      <c r="BY8" s="107"/>
      <c r="BZ8" s="108"/>
      <c r="CA8" s="109"/>
      <c r="CC8" s="12"/>
      <c r="CD8" s="12"/>
      <c r="CF8" s="12"/>
      <c r="CG8" s="12"/>
      <c r="CJ8" s="12"/>
      <c r="CM8" s="12"/>
      <c r="CO8" s="12"/>
      <c r="CR8" s="12"/>
      <c r="CW8" s="12"/>
      <c r="CY8" s="12"/>
      <c r="CZ8" s="12"/>
      <c r="DB8" s="12"/>
      <c r="DC8" s="12"/>
      <c r="DD8" s="12"/>
      <c r="DF8" s="12"/>
      <c r="DG8" s="12"/>
      <c r="DI8" s="12"/>
      <c r="DM8" s="12"/>
      <c r="DN8" s="12"/>
      <c r="DR8" s="12"/>
      <c r="DV8" s="12"/>
      <c r="DX8" s="12"/>
      <c r="DY8" s="12"/>
      <c r="EA8" s="12"/>
      <c r="EB8" s="12"/>
      <c r="EC8" s="12"/>
      <c r="ED8" s="12"/>
      <c r="EF8" s="12"/>
      <c r="EG8" s="12"/>
      <c r="EH8" s="12"/>
      <c r="EM8" s="12"/>
      <c r="ER8" s="12"/>
      <c r="EW8" s="12"/>
      <c r="EX8" s="12"/>
      <c r="EZ8" s="12"/>
      <c r="FA8" s="12"/>
      <c r="FC8" s="12"/>
      <c r="FD8" s="12"/>
      <c r="FF8" s="12"/>
      <c r="FG8" s="12"/>
      <c r="FL8" s="12"/>
      <c r="FM8" s="12"/>
      <c r="FR8" s="12"/>
      <c r="FV8" s="12"/>
      <c r="FW8" s="12"/>
      <c r="FY8" s="12"/>
      <c r="FZ8" s="12"/>
      <c r="GC8" s="12"/>
      <c r="GD8" s="12"/>
      <c r="GF8" s="12"/>
      <c r="GG8" s="12"/>
      <c r="GK8" s="12"/>
      <c r="GM8" s="12"/>
      <c r="GR8" s="12"/>
      <c r="HC8" s="12"/>
      <c r="HD8" s="12"/>
      <c r="HF8" s="12"/>
      <c r="HG8" s="12"/>
      <c r="HM8" s="12"/>
      <c r="HR8" s="12"/>
      <c r="IC8" s="12"/>
      <c r="ID8" s="12"/>
      <c r="IF8" s="12"/>
      <c r="IG8" s="12"/>
      <c r="IM8" s="12"/>
      <c r="IR8" s="12"/>
    </row>
    <row r="9" spans="1:252" x14ac:dyDescent="0.2">
      <c r="A9" s="104" t="s">
        <v>184</v>
      </c>
      <c r="B9" s="105" t="s">
        <v>142</v>
      </c>
      <c r="C9" s="106" t="s">
        <v>145</v>
      </c>
      <c r="D9" s="107" t="s">
        <v>99</v>
      </c>
      <c r="E9" s="107">
        <v>0.27</v>
      </c>
      <c r="F9" s="181">
        <v>4</v>
      </c>
      <c r="G9" s="154">
        <v>238109182</v>
      </c>
      <c r="H9" s="109">
        <v>1.1844663787361953E-2</v>
      </c>
      <c r="I9" s="104"/>
      <c r="J9" s="105"/>
      <c r="K9" s="106"/>
      <c r="L9" s="107"/>
      <c r="M9" s="107"/>
      <c r="N9" s="108"/>
      <c r="O9" s="150"/>
      <c r="P9" s="154"/>
      <c r="Q9" s="104"/>
      <c r="R9" s="105"/>
      <c r="S9" s="106" t="s">
        <v>247</v>
      </c>
      <c r="T9" s="107" t="s">
        <v>165</v>
      </c>
      <c r="U9" s="107" t="s">
        <v>156</v>
      </c>
      <c r="V9" s="108" t="s">
        <v>99</v>
      </c>
      <c r="W9" s="181">
        <v>7.39</v>
      </c>
      <c r="X9" s="181">
        <v>2.44</v>
      </c>
      <c r="Y9" s="182">
        <v>50747732</v>
      </c>
      <c r="Z9" s="157">
        <v>2.5244294170526753E-3</v>
      </c>
      <c r="AA9" s="106"/>
      <c r="AB9" s="107" t="s">
        <v>184</v>
      </c>
      <c r="AC9" s="107" t="s">
        <v>388</v>
      </c>
      <c r="AD9" s="108" t="s">
        <v>382</v>
      </c>
      <c r="AE9" s="109" t="s">
        <v>100</v>
      </c>
      <c r="AF9" s="181">
        <v>0.13</v>
      </c>
      <c r="AG9" s="183">
        <v>3.96</v>
      </c>
      <c r="AH9" s="160">
        <v>57594.27</v>
      </c>
      <c r="AI9" s="161">
        <v>2.8650084262255305E-6</v>
      </c>
      <c r="AJ9" s="107"/>
      <c r="AK9" s="107"/>
      <c r="AL9" s="108"/>
      <c r="AM9" s="109"/>
      <c r="AN9" s="109"/>
      <c r="AO9" s="104"/>
      <c r="AP9" s="105"/>
      <c r="AQ9" s="106"/>
      <c r="AR9" s="107"/>
      <c r="AS9" s="107"/>
      <c r="AT9" s="108"/>
      <c r="AU9" s="109"/>
      <c r="AV9" s="109"/>
      <c r="AW9" s="104"/>
      <c r="AX9" s="105"/>
      <c r="AY9" s="106"/>
      <c r="AZ9" s="107"/>
      <c r="BA9" s="107"/>
      <c r="BB9" s="108"/>
      <c r="BC9" s="109"/>
      <c r="BD9" s="109"/>
      <c r="BE9" s="104"/>
      <c r="BF9" s="105"/>
      <c r="BG9" s="106"/>
      <c r="BH9" s="107"/>
      <c r="BI9" s="107"/>
      <c r="BJ9" s="108"/>
      <c r="BK9" s="109"/>
      <c r="BL9" s="109"/>
      <c r="BM9" s="104"/>
      <c r="BN9" s="105"/>
      <c r="BO9" s="106"/>
      <c r="BP9" s="107"/>
      <c r="BQ9" s="107"/>
      <c r="BR9" s="108"/>
      <c r="BS9" s="109"/>
      <c r="BT9" s="109"/>
      <c r="BU9" s="104"/>
      <c r="BV9" s="105"/>
      <c r="BW9" s="106"/>
      <c r="BX9" s="107"/>
      <c r="BY9" s="107"/>
      <c r="BZ9" s="108"/>
      <c r="CA9" s="109"/>
      <c r="CC9" s="12"/>
      <c r="CD9" s="12"/>
      <c r="CF9" s="12"/>
      <c r="CG9" s="12"/>
      <c r="CJ9" s="12"/>
      <c r="CM9" s="12"/>
      <c r="CO9" s="12"/>
      <c r="CR9" s="12"/>
      <c r="CW9" s="12"/>
      <c r="CY9" s="12"/>
      <c r="CZ9" s="12"/>
      <c r="DB9" s="12"/>
      <c r="DC9" s="12"/>
      <c r="DD9" s="12"/>
      <c r="DF9" s="12"/>
      <c r="DG9" s="12"/>
      <c r="DI9" s="12"/>
      <c r="DM9" s="12"/>
      <c r="DN9" s="12"/>
      <c r="DR9" s="12"/>
      <c r="DV9" s="12"/>
      <c r="DX9" s="12"/>
      <c r="DY9" s="12"/>
      <c r="EA9" s="12"/>
      <c r="EB9" s="12"/>
      <c r="EC9" s="12"/>
      <c r="ED9" s="12"/>
      <c r="EF9" s="12"/>
      <c r="EG9" s="12"/>
      <c r="EH9" s="12"/>
      <c r="EM9" s="12"/>
      <c r="ER9" s="12"/>
      <c r="EW9" s="12"/>
      <c r="EX9" s="12"/>
      <c r="EZ9" s="12"/>
      <c r="FA9" s="12"/>
      <c r="FC9" s="12"/>
      <c r="FD9" s="12"/>
      <c r="FF9" s="12"/>
      <c r="FG9" s="12"/>
      <c r="FL9" s="12"/>
      <c r="FM9" s="12"/>
      <c r="FR9" s="12"/>
      <c r="FV9" s="12"/>
      <c r="FW9" s="12"/>
      <c r="FY9" s="12"/>
      <c r="FZ9" s="12"/>
      <c r="GC9" s="12"/>
      <c r="GD9" s="12"/>
      <c r="GF9" s="12"/>
      <c r="GG9" s="12"/>
      <c r="GK9" s="12"/>
      <c r="GM9" s="12"/>
      <c r="GR9" s="12"/>
      <c r="HC9" s="12"/>
      <c r="HD9" s="12"/>
      <c r="HF9" s="12"/>
      <c r="HG9" s="12"/>
      <c r="HM9" s="12"/>
      <c r="HR9" s="12"/>
      <c r="IC9" s="12"/>
      <c r="ID9" s="12"/>
      <c r="IF9" s="12"/>
      <c r="IG9" s="12"/>
      <c r="IM9" s="12"/>
    </row>
    <row r="10" spans="1:252" x14ac:dyDescent="0.2">
      <c r="A10" s="104" t="s">
        <v>184</v>
      </c>
      <c r="B10" s="105" t="s">
        <v>142</v>
      </c>
      <c r="C10" s="106" t="s">
        <v>145</v>
      </c>
      <c r="D10" s="107" t="s">
        <v>99</v>
      </c>
      <c r="E10" s="107">
        <v>1.23</v>
      </c>
      <c r="F10" s="181">
        <v>1.97</v>
      </c>
      <c r="G10" s="154">
        <v>712175381</v>
      </c>
      <c r="H10" s="109">
        <v>3.5426932614389485E-2</v>
      </c>
      <c r="I10" s="104"/>
      <c r="J10" s="105"/>
      <c r="K10" s="106"/>
      <c r="L10" s="107"/>
      <c r="M10" s="107"/>
      <c r="N10" s="108"/>
      <c r="O10" s="150"/>
      <c r="P10" s="154"/>
      <c r="Q10" s="104"/>
      <c r="R10" s="105"/>
      <c r="S10" s="106" t="s">
        <v>247</v>
      </c>
      <c r="T10" s="107" t="s">
        <v>165</v>
      </c>
      <c r="U10" s="107" t="s">
        <v>156</v>
      </c>
      <c r="V10" s="108" t="s">
        <v>99</v>
      </c>
      <c r="W10" s="181">
        <v>6.11</v>
      </c>
      <c r="X10" s="181">
        <v>2.4500000000000002</v>
      </c>
      <c r="Y10" s="182">
        <v>216991909</v>
      </c>
      <c r="Z10" s="157">
        <v>1.0794191912695077E-2</v>
      </c>
      <c r="AA10" s="106"/>
      <c r="AB10" s="107" t="s">
        <v>184</v>
      </c>
      <c r="AC10" s="107" t="s">
        <v>388</v>
      </c>
      <c r="AD10" s="108" t="s">
        <v>382</v>
      </c>
      <c r="AE10" s="109" t="s">
        <v>100</v>
      </c>
      <c r="AF10" s="181">
        <v>0.22</v>
      </c>
      <c r="AG10" s="183">
        <v>3.96</v>
      </c>
      <c r="AH10" s="160">
        <v>290546.88</v>
      </c>
      <c r="AI10" s="161">
        <v>1.4453159819232886E-5</v>
      </c>
      <c r="AJ10" s="107"/>
      <c r="AK10" s="107"/>
      <c r="AL10" s="108"/>
      <c r="AM10" s="109"/>
      <c r="AN10" s="109"/>
      <c r="AO10" s="104"/>
      <c r="AP10" s="105"/>
      <c r="AQ10" s="106"/>
      <c r="AR10" s="107"/>
      <c r="AS10" s="107"/>
      <c r="AT10" s="108"/>
      <c r="AU10" s="109"/>
      <c r="AV10" s="109"/>
      <c r="AW10" s="104"/>
      <c r="AX10" s="105"/>
      <c r="AY10" s="106"/>
      <c r="AZ10" s="107"/>
      <c r="BA10" s="107"/>
      <c r="BB10" s="108"/>
      <c r="BC10" s="109"/>
      <c r="BD10" s="109"/>
      <c r="BE10" s="104"/>
      <c r="BF10" s="105"/>
      <c r="BG10" s="106"/>
      <c r="BH10" s="107"/>
      <c r="BI10" s="107"/>
      <c r="BJ10" s="108"/>
      <c r="BK10" s="109"/>
      <c r="BL10" s="109"/>
      <c r="BM10" s="104"/>
      <c r="BN10" s="105"/>
      <c r="BO10" s="106"/>
      <c r="BP10" s="107"/>
      <c r="BQ10" s="107"/>
      <c r="BR10" s="108"/>
      <c r="BS10" s="109"/>
      <c r="BT10" s="109"/>
      <c r="BU10" s="104"/>
      <c r="BV10" s="105"/>
      <c r="BW10" s="106"/>
      <c r="BX10" s="107"/>
      <c r="BY10" s="107"/>
      <c r="BZ10" s="108"/>
      <c r="CA10" s="109"/>
      <c r="CC10" s="12"/>
      <c r="CD10" s="12"/>
      <c r="CF10" s="12"/>
      <c r="CG10" s="12"/>
      <c r="CJ10" s="12"/>
      <c r="CM10" s="12"/>
      <c r="CO10" s="12"/>
      <c r="CR10" s="12"/>
      <c r="CY10" s="12"/>
      <c r="CZ10" s="12"/>
      <c r="DB10" s="12"/>
      <c r="DC10" s="12"/>
      <c r="DD10" s="12"/>
      <c r="DF10" s="12"/>
      <c r="DG10" s="12"/>
      <c r="DI10" s="12"/>
      <c r="DM10" s="12"/>
      <c r="DN10" s="12"/>
      <c r="DR10" s="12"/>
      <c r="DX10" s="12"/>
      <c r="DY10" s="12"/>
      <c r="EA10" s="12"/>
      <c r="EB10" s="12"/>
      <c r="EC10" s="12"/>
      <c r="ED10" s="12"/>
      <c r="EF10" s="12"/>
      <c r="EG10" s="12"/>
      <c r="EH10" s="12"/>
      <c r="EM10" s="12"/>
      <c r="ER10" s="12"/>
      <c r="EW10" s="12"/>
      <c r="EX10" s="12"/>
      <c r="EZ10" s="12"/>
      <c r="FA10" s="12"/>
      <c r="FC10" s="12"/>
      <c r="FD10" s="12"/>
      <c r="FF10" s="12"/>
      <c r="FG10" s="12"/>
      <c r="FL10" s="12"/>
      <c r="FM10" s="12"/>
      <c r="FR10" s="12"/>
      <c r="FV10" s="12"/>
      <c r="FW10" s="12"/>
      <c r="FY10" s="12"/>
      <c r="FZ10" s="12"/>
      <c r="GC10" s="12"/>
      <c r="GD10" s="12"/>
      <c r="GF10" s="12"/>
      <c r="GG10" s="12"/>
      <c r="GK10" s="12"/>
      <c r="GM10" s="12"/>
      <c r="GR10" s="12"/>
      <c r="HC10" s="12"/>
      <c r="HD10" s="12"/>
      <c r="HF10" s="12"/>
      <c r="HG10" s="12"/>
      <c r="HM10" s="12"/>
    </row>
    <row r="11" spans="1:252" x14ac:dyDescent="0.2">
      <c r="A11" s="104" t="s">
        <v>184</v>
      </c>
      <c r="B11" s="105" t="s">
        <v>142</v>
      </c>
      <c r="C11" s="106" t="s">
        <v>145</v>
      </c>
      <c r="D11" s="107" t="s">
        <v>99</v>
      </c>
      <c r="E11" s="107">
        <v>2.2599999999999998</v>
      </c>
      <c r="F11" s="181">
        <v>1.94</v>
      </c>
      <c r="G11" s="154">
        <v>54212965</v>
      </c>
      <c r="H11" s="109">
        <v>2.6968063051891087E-3</v>
      </c>
      <c r="I11" s="104"/>
      <c r="J11" s="105"/>
      <c r="K11" s="106"/>
      <c r="L11" s="107"/>
      <c r="M11" s="107"/>
      <c r="N11" s="108"/>
      <c r="O11" s="150"/>
      <c r="P11" s="154"/>
      <c r="Q11" s="104"/>
      <c r="R11" s="105"/>
      <c r="S11" s="106" t="s">
        <v>247</v>
      </c>
      <c r="T11" s="107" t="s">
        <v>165</v>
      </c>
      <c r="U11" s="107" t="s">
        <v>156</v>
      </c>
      <c r="V11" s="108" t="s">
        <v>99</v>
      </c>
      <c r="W11" s="181">
        <v>9.18</v>
      </c>
      <c r="X11" s="181">
        <v>2.7</v>
      </c>
      <c r="Y11" s="182">
        <v>170552305</v>
      </c>
      <c r="Z11" s="157">
        <v>8.4840689213094306E-3</v>
      </c>
      <c r="AA11" s="106"/>
      <c r="AB11" s="107" t="s">
        <v>184</v>
      </c>
      <c r="AC11" s="107" t="s">
        <v>388</v>
      </c>
      <c r="AD11" s="108" t="s">
        <v>382</v>
      </c>
      <c r="AE11" s="109" t="s">
        <v>100</v>
      </c>
      <c r="AF11" s="181">
        <v>0.26</v>
      </c>
      <c r="AG11" s="183">
        <v>3.96</v>
      </c>
      <c r="AH11" s="160">
        <v>38203.33</v>
      </c>
      <c r="AI11" s="161">
        <v>1.9004122657808129E-6</v>
      </c>
      <c r="AJ11" s="107"/>
      <c r="AK11" s="107"/>
      <c r="AL11" s="108"/>
      <c r="AM11" s="109"/>
      <c r="AN11" s="109"/>
      <c r="AO11" s="104"/>
      <c r="AP11" s="105"/>
      <c r="AQ11" s="106"/>
      <c r="AR11" s="107"/>
      <c r="AS11" s="107"/>
      <c r="AT11" s="108"/>
      <c r="AU11" s="109"/>
      <c r="AV11" s="109"/>
      <c r="AW11" s="104"/>
      <c r="AX11" s="105"/>
      <c r="AY11" s="106"/>
      <c r="AZ11" s="107"/>
      <c r="BA11" s="107"/>
      <c r="BB11" s="108"/>
      <c r="BC11" s="109"/>
      <c r="BD11" s="109"/>
      <c r="BE11" s="104"/>
      <c r="BF11" s="105"/>
      <c r="BG11" s="106"/>
      <c r="BH11" s="107"/>
      <c r="BI11" s="107"/>
      <c r="BJ11" s="108"/>
      <c r="BK11" s="109"/>
      <c r="BL11" s="109"/>
      <c r="BM11" s="104"/>
      <c r="BN11" s="105"/>
      <c r="BO11" s="106"/>
      <c r="BP11" s="107"/>
      <c r="BQ11" s="107"/>
      <c r="BR11" s="108"/>
      <c r="BS11" s="109"/>
      <c r="BT11" s="109"/>
      <c r="BU11" s="104"/>
      <c r="BV11" s="105"/>
      <c r="BW11" s="106"/>
      <c r="BX11" s="107"/>
      <c r="BY11" s="107"/>
      <c r="BZ11" s="108"/>
      <c r="CA11" s="109"/>
      <c r="CC11" s="12"/>
      <c r="CD11" s="12"/>
      <c r="CF11" s="12"/>
      <c r="CG11" s="12"/>
      <c r="CJ11" s="12"/>
      <c r="CM11" s="12"/>
      <c r="CO11" s="12"/>
      <c r="CR11" s="12"/>
      <c r="CY11" s="12"/>
      <c r="CZ11" s="12"/>
      <c r="DB11" s="12"/>
      <c r="DC11" s="12"/>
      <c r="DD11" s="12"/>
      <c r="DF11" s="12"/>
      <c r="DG11" s="12"/>
      <c r="DI11" s="12"/>
      <c r="DM11" s="12"/>
      <c r="DN11" s="12"/>
      <c r="DR11" s="12"/>
      <c r="DX11" s="12"/>
      <c r="DY11" s="12"/>
      <c r="EA11" s="12"/>
      <c r="EB11" s="12"/>
      <c r="EC11" s="12"/>
      <c r="ED11" s="12"/>
      <c r="EF11" s="12"/>
      <c r="EG11" s="12"/>
      <c r="EH11" s="12"/>
      <c r="EM11" s="12"/>
      <c r="ER11" s="12"/>
      <c r="EW11" s="12"/>
      <c r="EX11" s="12"/>
      <c r="EZ11" s="12"/>
      <c r="FA11" s="12"/>
      <c r="FC11" s="12"/>
      <c r="FD11" s="12"/>
      <c r="FF11" s="12"/>
      <c r="FG11" s="12"/>
      <c r="FL11" s="12"/>
      <c r="FM11" s="12"/>
      <c r="FR11" s="12"/>
      <c r="FV11" s="12"/>
      <c r="FW11" s="12"/>
      <c r="FY11" s="12"/>
      <c r="FZ11" s="12"/>
      <c r="GC11" s="12"/>
      <c r="GD11" s="12"/>
      <c r="GF11" s="12"/>
      <c r="GG11" s="12"/>
      <c r="GK11" s="12"/>
      <c r="GM11" s="12"/>
      <c r="GR11" s="12"/>
      <c r="HC11" s="12"/>
      <c r="HD11" s="12"/>
      <c r="HF11" s="12"/>
      <c r="HG11" s="12"/>
      <c r="HM11" s="12"/>
    </row>
    <row r="12" spans="1:252" x14ac:dyDescent="0.2">
      <c r="A12" s="104" t="s">
        <v>184</v>
      </c>
      <c r="B12" s="105" t="s">
        <v>142</v>
      </c>
      <c r="C12" s="106" t="s">
        <v>145</v>
      </c>
      <c r="D12" s="107" t="s">
        <v>99</v>
      </c>
      <c r="E12" s="107">
        <v>0.77</v>
      </c>
      <c r="F12" s="181">
        <v>2.02</v>
      </c>
      <c r="G12" s="154">
        <v>120236171</v>
      </c>
      <c r="H12" s="109">
        <v>5.9811092063419861E-3</v>
      </c>
      <c r="I12" s="104"/>
      <c r="J12" s="105"/>
      <c r="K12" s="106"/>
      <c r="L12" s="107"/>
      <c r="M12" s="107"/>
      <c r="N12" s="108"/>
      <c r="O12" s="150"/>
      <c r="P12" s="154"/>
      <c r="Q12" s="104"/>
      <c r="R12" s="105"/>
      <c r="S12" s="106" t="s">
        <v>275</v>
      </c>
      <c r="T12" s="107" t="s">
        <v>165</v>
      </c>
      <c r="U12" s="107" t="s">
        <v>156</v>
      </c>
      <c r="V12" s="108" t="s">
        <v>99</v>
      </c>
      <c r="W12" s="181">
        <v>7.69</v>
      </c>
      <c r="X12" s="181">
        <v>2.46</v>
      </c>
      <c r="Y12" s="182">
        <v>13742197</v>
      </c>
      <c r="Z12" s="157">
        <v>6.8360111860236484E-4</v>
      </c>
      <c r="AA12" s="106"/>
      <c r="AB12" s="107" t="s">
        <v>184</v>
      </c>
      <c r="AC12" s="107" t="s">
        <v>388</v>
      </c>
      <c r="AD12" s="108" t="s">
        <v>382</v>
      </c>
      <c r="AE12" s="109" t="s">
        <v>100</v>
      </c>
      <c r="AF12" s="181">
        <v>0.3</v>
      </c>
      <c r="AG12" s="183">
        <v>3.96</v>
      </c>
      <c r="AH12" s="160">
        <v>694658.61</v>
      </c>
      <c r="AI12" s="161">
        <v>3.4555566659640127E-5</v>
      </c>
      <c r="AJ12" s="107"/>
      <c r="AK12" s="107"/>
      <c r="AL12" s="108"/>
      <c r="AM12" s="109"/>
      <c r="AN12" s="109"/>
      <c r="AO12" s="104"/>
      <c r="AP12" s="105"/>
      <c r="AQ12" s="106"/>
      <c r="AR12" s="107"/>
      <c r="AS12" s="107"/>
      <c r="AT12" s="108"/>
      <c r="AU12" s="109"/>
      <c r="AV12" s="109"/>
      <c r="AW12" s="104"/>
      <c r="AX12" s="105"/>
      <c r="AY12" s="106"/>
      <c r="AZ12" s="107"/>
      <c r="BA12" s="107"/>
      <c r="BB12" s="108"/>
      <c r="BC12" s="109"/>
      <c r="BD12" s="109"/>
      <c r="BE12" s="104"/>
      <c r="BF12" s="105"/>
      <c r="BG12" s="106"/>
      <c r="BH12" s="107"/>
      <c r="BI12" s="107"/>
      <c r="BJ12" s="108"/>
      <c r="BK12" s="109"/>
      <c r="BL12" s="109"/>
      <c r="BM12" s="104"/>
      <c r="BN12" s="105"/>
      <c r="BO12" s="106"/>
      <c r="BP12" s="107"/>
      <c r="BQ12" s="107"/>
      <c r="BR12" s="108"/>
      <c r="BS12" s="109"/>
      <c r="BT12" s="109"/>
      <c r="BU12" s="104"/>
      <c r="BV12" s="105"/>
      <c r="BW12" s="106"/>
      <c r="BX12" s="107"/>
      <c r="BY12" s="107"/>
      <c r="BZ12" s="108"/>
      <c r="CA12" s="109"/>
      <c r="CC12" s="12"/>
      <c r="CD12" s="12"/>
      <c r="CF12" s="12"/>
      <c r="CG12" s="12"/>
      <c r="CJ12" s="12"/>
      <c r="CM12" s="12"/>
      <c r="CO12" s="12"/>
      <c r="CR12" s="12"/>
      <c r="CY12" s="12"/>
      <c r="CZ12" s="12"/>
      <c r="DB12" s="12"/>
      <c r="DC12" s="12"/>
      <c r="DD12" s="12"/>
      <c r="DF12" s="12"/>
      <c r="DG12" s="12"/>
      <c r="DI12" s="12"/>
      <c r="DM12" s="12"/>
      <c r="DN12" s="12"/>
      <c r="DR12" s="12"/>
      <c r="DX12" s="12"/>
      <c r="DY12" s="12"/>
      <c r="EA12" s="12"/>
      <c r="EB12" s="12"/>
      <c r="EC12" s="12"/>
      <c r="ED12" s="12"/>
      <c r="EF12" s="12"/>
      <c r="EG12" s="12"/>
      <c r="EH12" s="12"/>
      <c r="EM12" s="12"/>
      <c r="ER12" s="12"/>
      <c r="EW12" s="12"/>
      <c r="EX12" s="12"/>
      <c r="EZ12" s="12"/>
      <c r="FA12" s="12"/>
      <c r="FC12" s="12"/>
      <c r="FD12" s="12"/>
      <c r="FF12" s="12"/>
      <c r="FG12" s="12"/>
      <c r="FL12" s="12"/>
      <c r="FM12" s="12"/>
      <c r="FR12" s="12"/>
      <c r="FV12" s="12"/>
      <c r="FW12" s="12"/>
      <c r="FY12" s="12"/>
      <c r="FZ12" s="12"/>
      <c r="GC12" s="12"/>
      <c r="GD12" s="12"/>
      <c r="GF12" s="12"/>
      <c r="GG12" s="12"/>
      <c r="GK12" s="12"/>
      <c r="GM12" s="12"/>
      <c r="GR12" s="12"/>
    </row>
    <row r="13" spans="1:252" x14ac:dyDescent="0.2">
      <c r="A13" s="104" t="s">
        <v>184</v>
      </c>
      <c r="B13" s="105" t="s">
        <v>142</v>
      </c>
      <c r="C13" s="106" t="s">
        <v>145</v>
      </c>
      <c r="D13" s="107" t="s">
        <v>99</v>
      </c>
      <c r="E13" s="107">
        <v>1.25</v>
      </c>
      <c r="F13" s="181">
        <v>1.94</v>
      </c>
      <c r="G13" s="154">
        <v>40309567</v>
      </c>
      <c r="H13" s="109">
        <v>2.0051862952901178E-3</v>
      </c>
      <c r="I13" s="104"/>
      <c r="J13" s="105"/>
      <c r="K13" s="106"/>
      <c r="L13" s="107"/>
      <c r="M13" s="107"/>
      <c r="N13" s="108"/>
      <c r="O13" s="150"/>
      <c r="P13" s="154"/>
      <c r="Q13" s="104"/>
      <c r="R13" s="105"/>
      <c r="S13" s="106" t="s">
        <v>285</v>
      </c>
      <c r="T13" s="107" t="s">
        <v>165</v>
      </c>
      <c r="U13" s="107" t="s">
        <v>145</v>
      </c>
      <c r="V13" s="108" t="s">
        <v>99</v>
      </c>
      <c r="W13" s="181">
        <v>6.66</v>
      </c>
      <c r="X13" s="181">
        <v>2.25</v>
      </c>
      <c r="Y13" s="182">
        <v>30897795</v>
      </c>
      <c r="Z13" s="157">
        <v>1.5370007593652278E-3</v>
      </c>
      <c r="AA13" s="106"/>
      <c r="AB13" s="107" t="s">
        <v>244</v>
      </c>
      <c r="AC13" s="107" t="s">
        <v>388</v>
      </c>
      <c r="AD13" s="108" t="s">
        <v>382</v>
      </c>
      <c r="AE13" s="109" t="s">
        <v>100</v>
      </c>
      <c r="AF13" s="181">
        <v>0.03</v>
      </c>
      <c r="AG13" s="183">
        <v>3.72</v>
      </c>
      <c r="AH13" s="160">
        <v>115673.79</v>
      </c>
      <c r="AI13" s="161">
        <v>5.7541549683222596E-6</v>
      </c>
      <c r="AJ13" s="107"/>
      <c r="AK13" s="107"/>
      <c r="AL13" s="108"/>
      <c r="AM13" s="109"/>
      <c r="AN13" s="109"/>
      <c r="AO13" s="104"/>
      <c r="AP13" s="105"/>
      <c r="AQ13" s="106"/>
      <c r="AR13" s="107"/>
      <c r="AS13" s="107"/>
      <c r="AT13" s="108"/>
      <c r="AU13" s="109"/>
      <c r="AV13" s="109"/>
      <c r="AW13" s="104"/>
      <c r="AX13" s="105"/>
      <c r="AY13" s="106"/>
      <c r="AZ13" s="107"/>
      <c r="BA13" s="107"/>
      <c r="BB13" s="108"/>
      <c r="BC13" s="109"/>
      <c r="BD13" s="109"/>
      <c r="BE13" s="104"/>
      <c r="BF13" s="105"/>
      <c r="BG13" s="106"/>
      <c r="BH13" s="107"/>
      <c r="BI13" s="107"/>
      <c r="BJ13" s="108"/>
      <c r="BK13" s="109"/>
      <c r="BL13" s="109"/>
      <c r="BM13" s="104"/>
      <c r="BN13" s="105"/>
      <c r="BO13" s="106"/>
      <c r="BP13" s="107"/>
      <c r="BQ13" s="107"/>
      <c r="BR13" s="108"/>
      <c r="BS13" s="109"/>
      <c r="BT13" s="109"/>
      <c r="BU13" s="104"/>
      <c r="BV13" s="105"/>
      <c r="BW13" s="106"/>
      <c r="BX13" s="107"/>
      <c r="BY13" s="107"/>
      <c r="BZ13" s="108"/>
      <c r="CA13" s="109"/>
      <c r="CC13" s="12"/>
      <c r="CD13" s="12"/>
      <c r="CF13" s="12"/>
      <c r="CG13" s="12"/>
      <c r="CJ13" s="12"/>
      <c r="CM13" s="12"/>
      <c r="CO13" s="12"/>
      <c r="CR13" s="12"/>
      <c r="CY13" s="12"/>
      <c r="CZ13" s="12"/>
      <c r="DB13" s="12"/>
      <c r="DC13" s="12"/>
      <c r="DD13" s="12"/>
      <c r="DF13" s="12"/>
      <c r="DG13" s="12"/>
      <c r="DI13" s="12"/>
      <c r="DM13" s="12"/>
      <c r="DN13" s="12"/>
      <c r="DR13" s="12"/>
      <c r="DX13" s="12"/>
      <c r="DY13" s="12"/>
      <c r="EA13" s="12"/>
      <c r="EB13" s="12"/>
      <c r="EC13" s="12"/>
      <c r="ED13" s="12"/>
      <c r="EF13" s="12"/>
      <c r="EG13" s="12"/>
      <c r="EH13" s="12"/>
      <c r="EM13" s="12"/>
      <c r="ER13" s="12"/>
      <c r="EW13" s="12"/>
      <c r="EX13" s="12"/>
      <c r="EZ13" s="12"/>
      <c r="FA13" s="12"/>
      <c r="FC13" s="12"/>
      <c r="FD13" s="12"/>
      <c r="FF13" s="12"/>
      <c r="FG13" s="12"/>
      <c r="FL13" s="12"/>
      <c r="FM13" s="12"/>
      <c r="FR13" s="12"/>
      <c r="FV13" s="12"/>
      <c r="FW13" s="12"/>
      <c r="FY13" s="12"/>
      <c r="FZ13" s="12"/>
      <c r="GC13" s="12"/>
      <c r="GD13" s="12"/>
      <c r="GF13" s="12"/>
      <c r="GG13" s="12"/>
      <c r="GK13" s="12"/>
      <c r="GM13" s="12"/>
      <c r="GR13" s="12"/>
    </row>
    <row r="14" spans="1:252" x14ac:dyDescent="0.2">
      <c r="A14" s="104" t="s">
        <v>184</v>
      </c>
      <c r="B14" s="105" t="s">
        <v>142</v>
      </c>
      <c r="C14" s="106" t="s">
        <v>145</v>
      </c>
      <c r="D14" s="107" t="s">
        <v>99</v>
      </c>
      <c r="E14" s="107">
        <v>2.73</v>
      </c>
      <c r="F14" s="181">
        <v>1.95</v>
      </c>
      <c r="G14" s="154">
        <v>217825495</v>
      </c>
      <c r="H14" s="109">
        <v>1.083565837704945E-2</v>
      </c>
      <c r="I14" s="104"/>
      <c r="J14" s="105"/>
      <c r="K14" s="106"/>
      <c r="L14" s="107"/>
      <c r="M14" s="107"/>
      <c r="N14" s="108"/>
      <c r="O14" s="150"/>
      <c r="P14" s="154"/>
      <c r="Q14" s="104"/>
      <c r="R14" s="105"/>
      <c r="S14" s="106" t="s">
        <v>293</v>
      </c>
      <c r="T14" s="107" t="s">
        <v>165</v>
      </c>
      <c r="U14" s="107" t="s">
        <v>209</v>
      </c>
      <c r="V14" s="108" t="s">
        <v>99</v>
      </c>
      <c r="W14" s="181">
        <v>6.8</v>
      </c>
      <c r="X14" s="181">
        <v>1.98</v>
      </c>
      <c r="Y14" s="182">
        <v>14266600</v>
      </c>
      <c r="Z14" s="157">
        <v>7.0968737521755058E-4</v>
      </c>
      <c r="AA14" s="106"/>
      <c r="AB14" s="107" t="s">
        <v>244</v>
      </c>
      <c r="AC14" s="107" t="s">
        <v>388</v>
      </c>
      <c r="AD14" s="108" t="s">
        <v>382</v>
      </c>
      <c r="AE14" s="109" t="s">
        <v>100</v>
      </c>
      <c r="AF14" s="181">
        <v>7.0000000000000007E-2</v>
      </c>
      <c r="AG14" s="183">
        <v>3.84</v>
      </c>
      <c r="AH14" s="160">
        <v>77003.88</v>
      </c>
      <c r="AI14" s="161">
        <v>3.8305329814819881E-6</v>
      </c>
      <c r="AJ14" s="107"/>
      <c r="AK14" s="107"/>
      <c r="AL14" s="108"/>
      <c r="AM14" s="109"/>
      <c r="AN14" s="109"/>
      <c r="AO14" s="104"/>
      <c r="AP14" s="105"/>
      <c r="AQ14" s="106"/>
      <c r="AR14" s="107"/>
      <c r="AS14" s="107"/>
      <c r="AT14" s="108"/>
      <c r="AU14" s="109"/>
      <c r="AV14" s="109"/>
      <c r="AW14" s="104"/>
      <c r="AX14" s="105"/>
      <c r="AY14" s="106"/>
      <c r="AZ14" s="107"/>
      <c r="BA14" s="107"/>
      <c r="BB14" s="108"/>
      <c r="BC14" s="109"/>
      <c r="BD14" s="109"/>
      <c r="BE14" s="104"/>
      <c r="BF14" s="105"/>
      <c r="BG14" s="106"/>
      <c r="BH14" s="107"/>
      <c r="BI14" s="107"/>
      <c r="BJ14" s="108"/>
      <c r="BK14" s="109"/>
      <c r="BL14" s="109"/>
      <c r="BM14" s="104"/>
      <c r="BN14" s="105"/>
      <c r="BO14" s="106"/>
      <c r="BP14" s="107"/>
      <c r="BQ14" s="107"/>
      <c r="BR14" s="108"/>
      <c r="BS14" s="109"/>
      <c r="BT14" s="109"/>
      <c r="BU14" s="104"/>
      <c r="BV14" s="105"/>
      <c r="BW14" s="106"/>
      <c r="BX14" s="107"/>
      <c r="BY14" s="107"/>
      <c r="BZ14" s="108"/>
      <c r="CA14" s="109"/>
      <c r="CC14" s="12"/>
      <c r="CD14" s="12"/>
      <c r="CF14" s="12"/>
      <c r="CG14" s="12"/>
      <c r="CJ14" s="12"/>
      <c r="CM14" s="12"/>
      <c r="CO14" s="12"/>
      <c r="CR14" s="12"/>
      <c r="CY14" s="12"/>
      <c r="CZ14" s="12"/>
      <c r="DB14" s="12"/>
      <c r="DC14" s="12"/>
      <c r="DD14" s="12"/>
      <c r="DF14" s="12"/>
      <c r="DG14" s="12"/>
      <c r="DI14" s="12"/>
      <c r="DM14" s="12"/>
      <c r="DN14" s="12"/>
      <c r="DR14" s="12"/>
      <c r="DX14" s="12"/>
      <c r="DY14" s="12"/>
      <c r="EA14" s="12"/>
      <c r="EB14" s="12"/>
      <c r="EC14" s="12"/>
      <c r="ED14" s="12"/>
      <c r="EF14" s="12"/>
      <c r="EG14" s="12"/>
      <c r="EH14" s="12"/>
      <c r="EM14" s="12"/>
      <c r="ER14" s="12"/>
      <c r="EW14" s="12"/>
      <c r="EX14" s="12"/>
      <c r="EZ14" s="12"/>
      <c r="FA14" s="12"/>
      <c r="FC14" s="12"/>
      <c r="FD14" s="12"/>
      <c r="FF14" s="12"/>
      <c r="FG14" s="12"/>
      <c r="FL14" s="12"/>
      <c r="FM14" s="12"/>
      <c r="FR14" s="12"/>
      <c r="FV14" s="12"/>
      <c r="FW14" s="12"/>
      <c r="FY14" s="12"/>
      <c r="FZ14" s="12"/>
      <c r="GC14" s="12"/>
      <c r="GD14" s="12"/>
      <c r="GF14" s="12"/>
      <c r="GG14" s="12"/>
      <c r="GK14" s="12"/>
      <c r="GM14" s="12"/>
      <c r="GR14" s="12"/>
    </row>
    <row r="15" spans="1:252" x14ac:dyDescent="0.2">
      <c r="A15" s="104" t="s">
        <v>184</v>
      </c>
      <c r="B15" s="105" t="s">
        <v>142</v>
      </c>
      <c r="C15" s="106" t="s">
        <v>145</v>
      </c>
      <c r="D15" s="107" t="s">
        <v>99</v>
      </c>
      <c r="E15" s="107">
        <v>3.19</v>
      </c>
      <c r="F15" s="181">
        <v>1.92</v>
      </c>
      <c r="G15" s="154">
        <v>13690890</v>
      </c>
      <c r="H15" s="109">
        <v>6.810488685806156E-4</v>
      </c>
      <c r="I15" s="104"/>
      <c r="J15" s="105"/>
      <c r="K15" s="106"/>
      <c r="L15" s="107"/>
      <c r="M15" s="107"/>
      <c r="N15" s="108"/>
      <c r="O15" s="150"/>
      <c r="P15" s="154"/>
      <c r="Q15" s="104"/>
      <c r="R15" s="105"/>
      <c r="S15" s="106" t="s">
        <v>293</v>
      </c>
      <c r="T15" s="107" t="s">
        <v>165</v>
      </c>
      <c r="U15" s="107" t="s">
        <v>209</v>
      </c>
      <c r="V15" s="108" t="s">
        <v>99</v>
      </c>
      <c r="W15" s="181">
        <v>7.28</v>
      </c>
      <c r="X15" s="181">
        <v>2.16</v>
      </c>
      <c r="Y15" s="182">
        <v>14117780</v>
      </c>
      <c r="Z15" s="157">
        <v>7.0228437273764117E-4</v>
      </c>
      <c r="AA15" s="106"/>
      <c r="AB15" s="107" t="s">
        <v>244</v>
      </c>
      <c r="AC15" s="107" t="s">
        <v>388</v>
      </c>
      <c r="AD15" s="108" t="s">
        <v>382</v>
      </c>
      <c r="AE15" s="109" t="s">
        <v>100</v>
      </c>
      <c r="AF15" s="181">
        <v>0.08</v>
      </c>
      <c r="AG15" s="183">
        <v>3.96</v>
      </c>
      <c r="AH15" s="160">
        <v>38464.61</v>
      </c>
      <c r="AI15" s="161">
        <v>1.913409713553684E-6</v>
      </c>
      <c r="AJ15" s="107"/>
      <c r="AK15" s="107"/>
      <c r="AL15" s="108"/>
      <c r="AM15" s="109"/>
      <c r="AN15" s="109"/>
      <c r="AO15" s="104"/>
      <c r="AP15" s="105"/>
      <c r="AQ15" s="106"/>
      <c r="AR15" s="107"/>
      <c r="AS15" s="107"/>
      <c r="AT15" s="108"/>
      <c r="AU15" s="109"/>
      <c r="AV15" s="109"/>
      <c r="AW15" s="104"/>
      <c r="AX15" s="105"/>
      <c r="AY15" s="106"/>
      <c r="AZ15" s="107"/>
      <c r="BA15" s="107"/>
      <c r="BB15" s="108"/>
      <c r="BC15" s="109"/>
      <c r="BD15" s="109"/>
      <c r="BE15" s="104"/>
      <c r="BF15" s="105"/>
      <c r="BG15" s="106"/>
      <c r="BH15" s="107"/>
      <c r="BI15" s="107"/>
      <c r="BJ15" s="108"/>
      <c r="BK15" s="109"/>
      <c r="BL15" s="109"/>
      <c r="BM15" s="104"/>
      <c r="BN15" s="105"/>
      <c r="BO15" s="106"/>
      <c r="BP15" s="107"/>
      <c r="BQ15" s="107"/>
      <c r="BR15" s="108"/>
      <c r="BS15" s="109"/>
      <c r="BT15" s="109"/>
      <c r="BU15" s="104"/>
      <c r="BV15" s="105"/>
      <c r="BW15" s="106"/>
      <c r="BX15" s="107"/>
      <c r="BY15" s="107"/>
      <c r="BZ15" s="108"/>
      <c r="CA15" s="109"/>
      <c r="CC15" s="12"/>
      <c r="CD15" s="12"/>
      <c r="CF15" s="12"/>
      <c r="CG15" s="12"/>
      <c r="CJ15" s="12"/>
      <c r="CM15" s="12"/>
      <c r="CO15" s="12"/>
      <c r="CR15" s="12"/>
      <c r="CW15" s="12"/>
      <c r="CY15" s="12"/>
      <c r="CZ15" s="12"/>
      <c r="DB15" s="12"/>
      <c r="DC15" s="12"/>
      <c r="DD15" s="12"/>
      <c r="DF15" s="12"/>
      <c r="DG15" s="12"/>
      <c r="DI15" s="12"/>
      <c r="DM15" s="12"/>
      <c r="DN15" s="12"/>
      <c r="DR15" s="12"/>
      <c r="DV15" s="12"/>
      <c r="DX15" s="12"/>
      <c r="DY15" s="12"/>
      <c r="EA15" s="12"/>
      <c r="EB15" s="12"/>
      <c r="EC15" s="12"/>
      <c r="ED15" s="12"/>
      <c r="EF15" s="12"/>
      <c r="EG15" s="12"/>
      <c r="EH15" s="12"/>
      <c r="EM15" s="12"/>
      <c r="ER15" s="12"/>
      <c r="EW15" s="12"/>
      <c r="EX15" s="12"/>
      <c r="EZ15" s="12"/>
      <c r="FA15" s="12"/>
      <c r="FC15" s="12"/>
      <c r="FD15" s="12"/>
      <c r="FF15" s="12"/>
      <c r="FG15" s="12"/>
      <c r="FL15" s="12"/>
      <c r="FM15" s="12"/>
      <c r="FR15" s="12"/>
      <c r="FV15" s="12"/>
      <c r="FW15" s="12"/>
      <c r="FY15" s="12"/>
      <c r="FZ15" s="12"/>
      <c r="GC15" s="12"/>
      <c r="GD15" s="12"/>
      <c r="GF15" s="12"/>
      <c r="GG15" s="12"/>
      <c r="GK15" s="12"/>
      <c r="GM15" s="12"/>
      <c r="GR15" s="12"/>
    </row>
    <row r="16" spans="1:252" x14ac:dyDescent="0.2">
      <c r="A16" s="104" t="s">
        <v>184</v>
      </c>
      <c r="B16" s="105" t="s">
        <v>142</v>
      </c>
      <c r="C16" s="106" t="s">
        <v>145</v>
      </c>
      <c r="D16" s="107" t="s">
        <v>100</v>
      </c>
      <c r="E16" s="107">
        <v>1.87</v>
      </c>
      <c r="F16" s="181">
        <v>4.5999999999999996</v>
      </c>
      <c r="G16" s="154">
        <v>116081084</v>
      </c>
      <c r="H16" s="109">
        <v>5.7744157554265214E-3</v>
      </c>
      <c r="I16" s="104"/>
      <c r="J16" s="105"/>
      <c r="K16" s="106"/>
      <c r="L16" s="107"/>
      <c r="M16" s="107"/>
      <c r="N16" s="108"/>
      <c r="O16" s="150"/>
      <c r="P16" s="154"/>
      <c r="Q16" s="104"/>
      <c r="R16" s="105"/>
      <c r="S16" s="106" t="s">
        <v>300</v>
      </c>
      <c r="T16" s="107" t="s">
        <v>165</v>
      </c>
      <c r="U16" s="107" t="s">
        <v>145</v>
      </c>
      <c r="V16" s="108" t="s">
        <v>99</v>
      </c>
      <c r="W16" s="181">
        <v>6.62</v>
      </c>
      <c r="X16" s="181">
        <v>2.29</v>
      </c>
      <c r="Y16" s="182">
        <v>31642575</v>
      </c>
      <c r="Z16" s="157">
        <v>1.57404959814353E-3</v>
      </c>
      <c r="AA16" s="106"/>
      <c r="AB16" s="107" t="s">
        <v>244</v>
      </c>
      <c r="AC16" s="107" t="s">
        <v>388</v>
      </c>
      <c r="AD16" s="108" t="s">
        <v>382</v>
      </c>
      <c r="AE16" s="109" t="s">
        <v>100</v>
      </c>
      <c r="AF16" s="181">
        <v>0.09</v>
      </c>
      <c r="AG16" s="183">
        <v>3.96</v>
      </c>
      <c r="AH16" s="160">
        <v>76910.570000000007</v>
      </c>
      <c r="AI16" s="161">
        <v>3.8258910322956286E-6</v>
      </c>
      <c r="AJ16" s="107"/>
      <c r="AK16" s="107"/>
      <c r="AL16" s="108"/>
      <c r="AM16" s="109"/>
      <c r="AN16" s="109"/>
      <c r="AO16" s="104"/>
      <c r="AP16" s="105"/>
      <c r="AQ16" s="106"/>
      <c r="AR16" s="107"/>
      <c r="AS16" s="107"/>
      <c r="AT16" s="108"/>
      <c r="AU16" s="109"/>
      <c r="AV16" s="109"/>
      <c r="AW16" s="104"/>
      <c r="AX16" s="105"/>
      <c r="AY16" s="106"/>
      <c r="AZ16" s="107"/>
      <c r="BA16" s="107"/>
      <c r="BB16" s="108"/>
      <c r="BC16" s="109"/>
      <c r="BD16" s="109"/>
      <c r="BE16" s="104"/>
      <c r="BF16" s="105"/>
      <c r="BG16" s="106"/>
      <c r="BH16" s="107"/>
      <c r="BI16" s="107"/>
      <c r="BJ16" s="108"/>
      <c r="BK16" s="109"/>
      <c r="BL16" s="109"/>
      <c r="BM16" s="104"/>
      <c r="BN16" s="105"/>
      <c r="BO16" s="106"/>
      <c r="BP16" s="107"/>
      <c r="BQ16" s="107"/>
      <c r="BR16" s="108"/>
      <c r="BS16" s="109"/>
      <c r="BT16" s="109"/>
      <c r="BU16" s="104"/>
      <c r="BV16" s="105"/>
      <c r="BW16" s="106"/>
      <c r="BX16" s="107"/>
      <c r="BY16" s="107"/>
      <c r="BZ16" s="108"/>
      <c r="CA16" s="109"/>
      <c r="CC16" s="12"/>
      <c r="CD16" s="12"/>
      <c r="CF16" s="12"/>
      <c r="CG16" s="12"/>
      <c r="CJ16" s="12"/>
      <c r="CM16" s="12"/>
      <c r="CO16" s="12"/>
      <c r="CR16" s="12"/>
      <c r="CY16" s="12"/>
      <c r="CZ16" s="12"/>
      <c r="DB16" s="12"/>
      <c r="DC16" s="12"/>
      <c r="DD16" s="12"/>
      <c r="DF16" s="12"/>
      <c r="DG16" s="12"/>
      <c r="DI16" s="12"/>
      <c r="DM16" s="12"/>
      <c r="DN16" s="12"/>
      <c r="DR16" s="12"/>
      <c r="DX16" s="12"/>
      <c r="DY16" s="12"/>
      <c r="EA16" s="12"/>
      <c r="EB16" s="12"/>
      <c r="EC16" s="12"/>
      <c r="ED16" s="12"/>
      <c r="EF16" s="12"/>
      <c r="EG16" s="12"/>
      <c r="EH16" s="12"/>
      <c r="EM16" s="12"/>
      <c r="ER16" s="12"/>
      <c r="EW16" s="12"/>
      <c r="EX16" s="12"/>
      <c r="EZ16" s="12"/>
      <c r="FA16" s="12"/>
      <c r="FC16" s="12"/>
      <c r="FD16" s="12"/>
      <c r="FF16" s="12"/>
      <c r="FG16" s="12"/>
      <c r="FL16" s="12"/>
      <c r="FM16" s="12"/>
      <c r="FR16" s="12"/>
      <c r="FV16" s="12"/>
      <c r="FW16" s="12"/>
      <c r="FY16" s="12"/>
      <c r="FZ16" s="12"/>
      <c r="GC16" s="12"/>
      <c r="GD16" s="12"/>
      <c r="GF16" s="12"/>
      <c r="GG16" s="12"/>
      <c r="GK16" s="12"/>
      <c r="GM16" s="12"/>
      <c r="GR16" s="12"/>
    </row>
    <row r="17" spans="1:200" x14ac:dyDescent="0.2">
      <c r="A17" s="104" t="s">
        <v>196</v>
      </c>
      <c r="B17" s="105" t="s">
        <v>142</v>
      </c>
      <c r="C17" s="106" t="s">
        <v>128</v>
      </c>
      <c r="D17" s="107" t="s">
        <v>99</v>
      </c>
      <c r="E17" s="107">
        <v>1.5</v>
      </c>
      <c r="F17" s="181">
        <v>2.2400000000000002</v>
      </c>
      <c r="G17" s="154">
        <v>892024037</v>
      </c>
      <c r="H17" s="109">
        <v>4.4373445491532194E-2</v>
      </c>
      <c r="I17" s="104"/>
      <c r="J17" s="105"/>
      <c r="K17" s="106"/>
      <c r="L17" s="107"/>
      <c r="M17" s="107"/>
      <c r="N17" s="108"/>
      <c r="O17" s="150"/>
      <c r="P17" s="154"/>
      <c r="Q17" s="104"/>
      <c r="R17" s="105"/>
      <c r="S17" s="106" t="s">
        <v>254</v>
      </c>
      <c r="T17" s="107" t="s">
        <v>165</v>
      </c>
      <c r="U17" s="107" t="s">
        <v>145</v>
      </c>
      <c r="V17" s="108" t="s">
        <v>99</v>
      </c>
      <c r="W17" s="181">
        <v>8.09</v>
      </c>
      <c r="X17" s="181">
        <v>2.5</v>
      </c>
      <c r="Y17" s="182">
        <v>87401942</v>
      </c>
      <c r="Z17" s="157">
        <v>4.3477811676851247E-3</v>
      </c>
      <c r="AA17" s="106"/>
      <c r="AB17" s="107" t="s">
        <v>244</v>
      </c>
      <c r="AC17" s="107" t="s">
        <v>388</v>
      </c>
      <c r="AD17" s="108" t="s">
        <v>382</v>
      </c>
      <c r="AE17" s="109" t="s">
        <v>100</v>
      </c>
      <c r="AF17" s="181">
        <v>0.17</v>
      </c>
      <c r="AG17" s="183">
        <v>4.08</v>
      </c>
      <c r="AH17" s="160">
        <v>38315.31</v>
      </c>
      <c r="AI17" s="161">
        <v>1.9059825998299766E-6</v>
      </c>
      <c r="AJ17" s="107"/>
      <c r="AK17" s="107"/>
      <c r="AL17" s="108"/>
      <c r="AM17" s="109"/>
      <c r="AN17" s="109"/>
      <c r="AO17" s="104"/>
      <c r="AP17" s="105"/>
      <c r="AQ17" s="106"/>
      <c r="AR17" s="107"/>
      <c r="AS17" s="107"/>
      <c r="AT17" s="108"/>
      <c r="AU17" s="109"/>
      <c r="AV17" s="109"/>
      <c r="AW17" s="104"/>
      <c r="AX17" s="105"/>
      <c r="AY17" s="106"/>
      <c r="AZ17" s="107"/>
      <c r="BA17" s="107"/>
      <c r="BB17" s="108"/>
      <c r="BC17" s="109"/>
      <c r="BD17" s="109"/>
      <c r="BE17" s="104"/>
      <c r="BF17" s="105"/>
      <c r="BG17" s="106"/>
      <c r="BH17" s="107"/>
      <c r="BI17" s="107"/>
      <c r="BJ17" s="108"/>
      <c r="BK17" s="109"/>
      <c r="BL17" s="109"/>
      <c r="BM17" s="104"/>
      <c r="BN17" s="105"/>
      <c r="BO17" s="106"/>
      <c r="BP17" s="107"/>
      <c r="BQ17" s="107"/>
      <c r="BR17" s="108"/>
      <c r="BS17" s="109"/>
      <c r="BT17" s="109"/>
      <c r="BU17" s="104"/>
      <c r="BV17" s="105"/>
      <c r="BW17" s="106"/>
      <c r="BX17" s="107"/>
      <c r="BY17" s="107"/>
      <c r="BZ17" s="108"/>
      <c r="CA17" s="109"/>
      <c r="CC17" s="12"/>
      <c r="CD17" s="12"/>
      <c r="CF17" s="12"/>
      <c r="CG17" s="12"/>
      <c r="CJ17" s="12"/>
      <c r="CM17" s="12"/>
      <c r="CO17" s="12"/>
      <c r="CR17" s="12"/>
      <c r="CY17" s="12"/>
      <c r="CZ17" s="12"/>
      <c r="DB17" s="12"/>
      <c r="DC17" s="12"/>
      <c r="DD17" s="12"/>
      <c r="DF17" s="12"/>
      <c r="DG17" s="12"/>
      <c r="DI17" s="12"/>
      <c r="DM17" s="12"/>
      <c r="DN17" s="12"/>
      <c r="DR17" s="12"/>
      <c r="DX17" s="12"/>
      <c r="DY17" s="12"/>
      <c r="EA17" s="12"/>
      <c r="EB17" s="12"/>
      <c r="EC17" s="12"/>
      <c r="ED17" s="12"/>
      <c r="EF17" s="12"/>
      <c r="EG17" s="12"/>
      <c r="EH17" s="12"/>
      <c r="EM17" s="12"/>
      <c r="ER17" s="12"/>
      <c r="EW17" s="12"/>
      <c r="EX17" s="12"/>
      <c r="EZ17" s="12"/>
      <c r="FA17" s="12"/>
      <c r="FC17" s="12"/>
      <c r="FD17" s="12"/>
      <c r="FF17" s="12"/>
      <c r="FG17" s="12"/>
      <c r="FL17" s="12"/>
      <c r="FM17" s="12"/>
      <c r="FR17" s="12"/>
      <c r="FV17" s="12"/>
      <c r="FW17" s="12"/>
      <c r="FY17" s="12"/>
      <c r="FZ17" s="12"/>
      <c r="GC17" s="12"/>
      <c r="GD17" s="12"/>
      <c r="GF17" s="12"/>
      <c r="GG17" s="12"/>
      <c r="GK17" s="12"/>
      <c r="GM17" s="12"/>
      <c r="GR17" s="12"/>
    </row>
    <row r="18" spans="1:200" x14ac:dyDescent="0.2">
      <c r="A18" s="104" t="s">
        <v>196</v>
      </c>
      <c r="B18" s="105" t="s">
        <v>142</v>
      </c>
      <c r="C18" s="106" t="s">
        <v>128</v>
      </c>
      <c r="D18" s="107" t="s">
        <v>99</v>
      </c>
      <c r="E18" s="107">
        <v>2.68</v>
      </c>
      <c r="F18" s="181">
        <v>1.94</v>
      </c>
      <c r="G18" s="154">
        <v>663165555</v>
      </c>
      <c r="H18" s="109">
        <v>3.2988954765861535E-2</v>
      </c>
      <c r="I18" s="104"/>
      <c r="J18" s="105"/>
      <c r="K18" s="106"/>
      <c r="L18" s="107"/>
      <c r="M18" s="107"/>
      <c r="N18" s="108"/>
      <c r="O18" s="150"/>
      <c r="P18" s="154"/>
      <c r="Q18" s="104"/>
      <c r="R18" s="105"/>
      <c r="S18" s="106" t="s">
        <v>254</v>
      </c>
      <c r="T18" s="107" t="s">
        <v>165</v>
      </c>
      <c r="U18" s="107" t="s">
        <v>145</v>
      </c>
      <c r="V18" s="108" t="s">
        <v>99</v>
      </c>
      <c r="W18" s="181">
        <v>6.97</v>
      </c>
      <c r="X18" s="181">
        <v>2.42</v>
      </c>
      <c r="Y18" s="182">
        <v>57797543</v>
      </c>
      <c r="Z18" s="157">
        <v>2.8751199715204402E-3</v>
      </c>
      <c r="AA18" s="106"/>
      <c r="AB18" s="107" t="s">
        <v>244</v>
      </c>
      <c r="AC18" s="107" t="s">
        <v>388</v>
      </c>
      <c r="AD18" s="108" t="s">
        <v>382</v>
      </c>
      <c r="AE18" s="109" t="s">
        <v>100</v>
      </c>
      <c r="AF18" s="181">
        <v>0.18</v>
      </c>
      <c r="AG18" s="183">
        <v>3.96</v>
      </c>
      <c r="AH18" s="160">
        <v>153298.56</v>
      </c>
      <c r="AI18" s="161">
        <v>7.6257871789944495E-6</v>
      </c>
      <c r="AJ18" s="107"/>
      <c r="AK18" s="107"/>
      <c r="AL18" s="108"/>
      <c r="AM18" s="109"/>
      <c r="AN18" s="109"/>
      <c r="AO18" s="104"/>
      <c r="AP18" s="105"/>
      <c r="AQ18" s="106"/>
      <c r="AR18" s="107"/>
      <c r="AS18" s="107"/>
      <c r="AT18" s="108"/>
      <c r="AU18" s="109"/>
      <c r="AV18" s="109"/>
      <c r="AW18" s="104"/>
      <c r="AX18" s="105"/>
      <c r="AY18" s="106"/>
      <c r="AZ18" s="107"/>
      <c r="BA18" s="107"/>
      <c r="BB18" s="108"/>
      <c r="BC18" s="109"/>
      <c r="BD18" s="109"/>
      <c r="BE18" s="104"/>
      <c r="BF18" s="105"/>
      <c r="BG18" s="106"/>
      <c r="BH18" s="107"/>
      <c r="BI18" s="107"/>
      <c r="BJ18" s="108"/>
      <c r="BK18" s="109"/>
      <c r="BL18" s="109"/>
      <c r="BM18" s="104"/>
      <c r="BN18" s="105"/>
      <c r="BO18" s="106"/>
      <c r="BP18" s="107"/>
      <c r="BQ18" s="107"/>
      <c r="BR18" s="108"/>
      <c r="BS18" s="109"/>
      <c r="BT18" s="109"/>
      <c r="BU18" s="104"/>
      <c r="BV18" s="105"/>
      <c r="BW18" s="106"/>
      <c r="BX18" s="107"/>
      <c r="BY18" s="107"/>
      <c r="BZ18" s="108"/>
      <c r="CA18" s="109"/>
      <c r="CC18" s="12"/>
      <c r="CD18" s="12"/>
      <c r="CF18" s="12"/>
      <c r="CG18" s="12"/>
      <c r="CJ18" s="12"/>
      <c r="CM18" s="12"/>
      <c r="CO18" s="12"/>
      <c r="CR18" s="12"/>
      <c r="CY18" s="12"/>
      <c r="CZ18" s="12"/>
      <c r="DB18" s="12"/>
      <c r="DC18" s="12"/>
      <c r="DD18" s="12"/>
      <c r="DF18" s="12"/>
      <c r="DG18" s="12"/>
      <c r="DI18" s="12"/>
      <c r="DM18" s="12"/>
      <c r="DN18" s="12"/>
      <c r="DR18" s="12"/>
      <c r="DX18" s="12"/>
      <c r="DY18" s="12"/>
      <c r="EA18" s="12"/>
      <c r="EB18" s="12"/>
      <c r="EC18" s="12"/>
      <c r="ED18" s="12"/>
      <c r="EF18" s="12"/>
      <c r="EG18" s="12"/>
      <c r="EH18" s="12"/>
      <c r="EM18" s="12"/>
      <c r="ER18" s="12"/>
      <c r="EW18" s="12"/>
      <c r="EX18" s="12"/>
      <c r="EZ18" s="12"/>
      <c r="FA18" s="12"/>
      <c r="FC18" s="12"/>
      <c r="FD18" s="12"/>
      <c r="FF18" s="12"/>
      <c r="FG18" s="12"/>
      <c r="FL18" s="12"/>
      <c r="FM18" s="12"/>
      <c r="FR18" s="12"/>
      <c r="FV18" s="12"/>
      <c r="FW18" s="12"/>
      <c r="FY18" s="12"/>
      <c r="FZ18" s="12"/>
      <c r="GC18" s="12"/>
      <c r="GD18" s="12"/>
      <c r="GF18" s="12"/>
      <c r="GG18" s="12"/>
      <c r="GK18" s="12"/>
      <c r="GM18" s="12"/>
      <c r="GR18" s="12"/>
    </row>
    <row r="19" spans="1:200" x14ac:dyDescent="0.2">
      <c r="A19" s="104" t="s">
        <v>200</v>
      </c>
      <c r="B19" s="105" t="s">
        <v>142</v>
      </c>
      <c r="C19" s="106" t="s">
        <v>145</v>
      </c>
      <c r="D19" s="107" t="s">
        <v>100</v>
      </c>
      <c r="E19" s="107">
        <v>2.14</v>
      </c>
      <c r="F19" s="181">
        <v>5.91</v>
      </c>
      <c r="G19" s="154">
        <v>121430835</v>
      </c>
      <c r="H19" s="109">
        <v>6.0405373783259837E-3</v>
      </c>
      <c r="I19" s="104"/>
      <c r="J19" s="105"/>
      <c r="K19" s="106"/>
      <c r="L19" s="107"/>
      <c r="M19" s="107"/>
      <c r="N19" s="108"/>
      <c r="O19" s="150"/>
      <c r="P19" s="154"/>
      <c r="Q19" s="104"/>
      <c r="R19" s="105"/>
      <c r="S19" s="106" t="s">
        <v>322</v>
      </c>
      <c r="T19" s="107" t="s">
        <v>165</v>
      </c>
      <c r="U19" s="107" t="s">
        <v>128</v>
      </c>
      <c r="V19" s="108" t="s">
        <v>99</v>
      </c>
      <c r="W19" s="181">
        <v>6.23</v>
      </c>
      <c r="X19" s="181">
        <v>2.36</v>
      </c>
      <c r="Y19" s="182">
        <v>30889024</v>
      </c>
      <c r="Z19" s="157">
        <v>1.5365644488239613E-3</v>
      </c>
      <c r="AA19" s="106"/>
      <c r="AB19" s="107" t="s">
        <v>244</v>
      </c>
      <c r="AC19" s="107" t="s">
        <v>388</v>
      </c>
      <c r="AD19" s="108" t="s">
        <v>382</v>
      </c>
      <c r="AE19" s="109" t="s">
        <v>100</v>
      </c>
      <c r="AF19" s="181">
        <v>0.3</v>
      </c>
      <c r="AG19" s="183">
        <v>4.2</v>
      </c>
      <c r="AH19" s="160">
        <v>23478.16</v>
      </c>
      <c r="AI19" s="161">
        <v>1.1679133507519582E-6</v>
      </c>
      <c r="AJ19" s="107"/>
      <c r="AK19" s="107"/>
      <c r="AL19" s="108"/>
      <c r="AM19" s="109"/>
      <c r="AN19" s="109"/>
      <c r="AO19" s="104"/>
      <c r="AP19" s="105"/>
      <c r="AQ19" s="106"/>
      <c r="AR19" s="107"/>
      <c r="AS19" s="107"/>
      <c r="AT19" s="108"/>
      <c r="AU19" s="109"/>
      <c r="AV19" s="109"/>
      <c r="AW19" s="104"/>
      <c r="AX19" s="105"/>
      <c r="AY19" s="106"/>
      <c r="AZ19" s="107"/>
      <c r="BA19" s="107"/>
      <c r="BB19" s="108"/>
      <c r="BC19" s="109"/>
      <c r="BD19" s="109"/>
      <c r="BE19" s="104"/>
      <c r="BF19" s="105"/>
      <c r="BG19" s="106"/>
      <c r="BH19" s="107"/>
      <c r="BI19" s="107"/>
      <c r="BJ19" s="108"/>
      <c r="BK19" s="109"/>
      <c r="BL19" s="109"/>
      <c r="BM19" s="104"/>
      <c r="BN19" s="105"/>
      <c r="BO19" s="106"/>
      <c r="BP19" s="107"/>
      <c r="BQ19" s="107"/>
      <c r="BR19" s="108"/>
      <c r="BS19" s="109"/>
      <c r="BT19" s="109"/>
      <c r="BU19" s="104"/>
      <c r="BV19" s="105"/>
      <c r="BW19" s="106"/>
      <c r="BX19" s="107"/>
      <c r="BY19" s="107"/>
      <c r="BZ19" s="108"/>
      <c r="CA19" s="109"/>
      <c r="CC19" s="12"/>
      <c r="CD19" s="12"/>
      <c r="CF19" s="12"/>
      <c r="CG19" s="12"/>
      <c r="CJ19" s="12"/>
      <c r="CM19" s="12"/>
      <c r="CO19" s="12"/>
      <c r="CR19" s="12"/>
      <c r="CY19" s="12"/>
      <c r="CZ19" s="12"/>
      <c r="DB19" s="12"/>
      <c r="DC19" s="12"/>
      <c r="DD19" s="12"/>
      <c r="DF19" s="12"/>
      <c r="DG19" s="12"/>
      <c r="DI19" s="12"/>
      <c r="DM19" s="12"/>
      <c r="DN19" s="12"/>
      <c r="DR19" s="12"/>
      <c r="DX19" s="12"/>
      <c r="DY19" s="12"/>
      <c r="EA19" s="12"/>
      <c r="EB19" s="12"/>
      <c r="EC19" s="12"/>
      <c r="ED19" s="12"/>
      <c r="EF19" s="12"/>
      <c r="EG19" s="12"/>
      <c r="EH19" s="12"/>
      <c r="EM19" s="12"/>
      <c r="ER19" s="12"/>
      <c r="EW19" s="12"/>
      <c r="EX19" s="12"/>
      <c r="EZ19" s="12"/>
      <c r="FA19" s="12"/>
      <c r="FC19" s="12"/>
      <c r="FD19" s="12"/>
      <c r="FF19" s="12"/>
      <c r="FG19" s="12"/>
      <c r="FL19" s="12"/>
      <c r="FM19" s="12"/>
      <c r="FR19" s="12"/>
      <c r="FV19" s="12"/>
      <c r="FW19" s="12"/>
      <c r="FY19" s="12"/>
      <c r="FZ19" s="12"/>
      <c r="GC19" s="12"/>
      <c r="GD19" s="12"/>
      <c r="GF19" s="12"/>
      <c r="GG19" s="12"/>
      <c r="GK19" s="12"/>
      <c r="GM19" s="12"/>
      <c r="GR19" s="12"/>
    </row>
    <row r="20" spans="1:200" x14ac:dyDescent="0.2">
      <c r="A20" s="104" t="s">
        <v>204</v>
      </c>
      <c r="B20" s="105" t="s">
        <v>142</v>
      </c>
      <c r="C20" s="106" t="s">
        <v>145</v>
      </c>
      <c r="D20" s="107" t="s">
        <v>99</v>
      </c>
      <c r="E20" s="107">
        <v>3.16</v>
      </c>
      <c r="F20" s="181">
        <v>1.91</v>
      </c>
      <c r="G20" s="154">
        <v>27855284</v>
      </c>
      <c r="H20" s="109">
        <v>1.3856520395819209E-3</v>
      </c>
      <c r="I20" s="104"/>
      <c r="J20" s="105"/>
      <c r="K20" s="106"/>
      <c r="L20" s="107"/>
      <c r="M20" s="107"/>
      <c r="N20" s="108"/>
      <c r="O20" s="150"/>
      <c r="P20" s="154"/>
      <c r="Q20" s="104"/>
      <c r="R20" s="105"/>
      <c r="S20" s="106" t="s">
        <v>326</v>
      </c>
      <c r="T20" s="107" t="s">
        <v>165</v>
      </c>
      <c r="U20" s="107" t="s">
        <v>145</v>
      </c>
      <c r="V20" s="108" t="s">
        <v>99</v>
      </c>
      <c r="W20" s="181">
        <v>6.93</v>
      </c>
      <c r="X20" s="181">
        <v>2.35</v>
      </c>
      <c r="Y20" s="182">
        <v>290359083</v>
      </c>
      <c r="Z20" s="157">
        <v>1.4443818112573767E-2</v>
      </c>
      <c r="AA20" s="106"/>
      <c r="AB20" s="107" t="s">
        <v>235</v>
      </c>
      <c r="AC20" s="107" t="s">
        <v>388</v>
      </c>
      <c r="AD20" s="108" t="s">
        <v>382</v>
      </c>
      <c r="AE20" s="109" t="s">
        <v>100</v>
      </c>
      <c r="AF20" s="181">
        <v>0.01</v>
      </c>
      <c r="AG20" s="183">
        <v>3.72</v>
      </c>
      <c r="AH20" s="160">
        <v>48225.41</v>
      </c>
      <c r="AI20" s="161">
        <v>2.3989571557192605E-6</v>
      </c>
      <c r="AJ20" s="107"/>
      <c r="AK20" s="107"/>
      <c r="AL20" s="108"/>
      <c r="AM20" s="109"/>
      <c r="AN20" s="109"/>
      <c r="AO20" s="104"/>
      <c r="AP20" s="105"/>
      <c r="AQ20" s="106"/>
      <c r="AR20" s="107"/>
      <c r="AS20" s="107"/>
      <c r="AT20" s="108"/>
      <c r="AU20" s="109"/>
      <c r="AV20" s="109"/>
      <c r="AW20" s="104"/>
      <c r="AX20" s="105"/>
      <c r="AY20" s="106"/>
      <c r="AZ20" s="107"/>
      <c r="BA20" s="107"/>
      <c r="BB20" s="108"/>
      <c r="BC20" s="109"/>
      <c r="BD20" s="109"/>
      <c r="BE20" s="104"/>
      <c r="BF20" s="105"/>
      <c r="BG20" s="106"/>
      <c r="BH20" s="107"/>
      <c r="BI20" s="107"/>
      <c r="BJ20" s="108"/>
      <c r="BK20" s="109"/>
      <c r="BL20" s="109"/>
      <c r="BM20" s="104"/>
      <c r="BN20" s="105"/>
      <c r="BO20" s="106"/>
      <c r="BP20" s="107"/>
      <c r="BQ20" s="107"/>
      <c r="BR20" s="108"/>
      <c r="BS20" s="109"/>
      <c r="BT20" s="109"/>
      <c r="BU20" s="104"/>
      <c r="BV20" s="105"/>
      <c r="BW20" s="106"/>
      <c r="BX20" s="107"/>
      <c r="BY20" s="107"/>
      <c r="BZ20" s="108"/>
      <c r="CA20" s="109"/>
      <c r="CC20" s="12"/>
      <c r="CD20" s="12"/>
      <c r="CF20" s="12"/>
      <c r="CG20" s="12"/>
      <c r="CJ20" s="12"/>
      <c r="CM20" s="12"/>
      <c r="CO20" s="12"/>
      <c r="CR20" s="12"/>
      <c r="CW20" s="12"/>
      <c r="CY20" s="12"/>
      <c r="CZ20" s="12"/>
      <c r="DB20" s="12"/>
      <c r="DC20" s="12"/>
      <c r="DD20" s="12"/>
      <c r="DF20" s="12"/>
      <c r="DG20" s="12"/>
      <c r="DI20" s="12"/>
      <c r="DM20" s="12"/>
      <c r="DN20" s="12"/>
      <c r="DR20" s="12"/>
      <c r="DV20" s="12"/>
      <c r="DX20" s="12"/>
      <c r="DY20" s="12"/>
      <c r="EA20" s="12"/>
      <c r="EB20" s="12"/>
      <c r="EC20" s="12"/>
      <c r="ED20" s="12"/>
      <c r="EF20" s="12"/>
      <c r="EG20" s="12"/>
      <c r="EH20" s="12"/>
      <c r="EM20" s="12"/>
      <c r="ER20" s="12"/>
      <c r="EW20" s="12"/>
      <c r="EX20" s="12"/>
      <c r="EZ20" s="12"/>
      <c r="FA20" s="12"/>
      <c r="FC20" s="12"/>
      <c r="FD20" s="12"/>
      <c r="FF20" s="12"/>
      <c r="FG20" s="12"/>
      <c r="FL20" s="12"/>
      <c r="FM20" s="12"/>
      <c r="FR20" s="12"/>
      <c r="FV20" s="12"/>
      <c r="FW20" s="12"/>
      <c r="FY20" s="12"/>
      <c r="FZ20" s="12"/>
      <c r="GC20" s="12"/>
      <c r="GD20" s="12"/>
      <c r="GF20" s="12"/>
      <c r="GG20" s="12"/>
      <c r="GK20" s="12"/>
      <c r="GM20" s="12"/>
      <c r="GR20" s="12"/>
    </row>
    <row r="21" spans="1:200" x14ac:dyDescent="0.2">
      <c r="A21" s="104" t="s">
        <v>204</v>
      </c>
      <c r="B21" s="105" t="s">
        <v>142</v>
      </c>
      <c r="C21" s="106" t="s">
        <v>145</v>
      </c>
      <c r="D21" s="107" t="s">
        <v>99</v>
      </c>
      <c r="E21" s="107">
        <v>2.09</v>
      </c>
      <c r="F21" s="181">
        <v>1.85</v>
      </c>
      <c r="G21" s="154">
        <v>545169198</v>
      </c>
      <c r="H21" s="109">
        <v>2.7119264378203434E-2</v>
      </c>
      <c r="I21" s="104"/>
      <c r="J21" s="105"/>
      <c r="K21" s="106"/>
      <c r="L21" s="107"/>
      <c r="M21" s="107"/>
      <c r="N21" s="108"/>
      <c r="O21" s="150"/>
      <c r="P21" s="154"/>
      <c r="Q21" s="104"/>
      <c r="R21" s="105"/>
      <c r="S21" s="106" t="s">
        <v>332</v>
      </c>
      <c r="T21" s="107" t="s">
        <v>165</v>
      </c>
      <c r="U21" s="107" t="s">
        <v>145</v>
      </c>
      <c r="V21" s="108" t="s">
        <v>99</v>
      </c>
      <c r="W21" s="181">
        <v>8.69</v>
      </c>
      <c r="X21" s="181">
        <v>2.39</v>
      </c>
      <c r="Y21" s="182">
        <v>182456526</v>
      </c>
      <c r="Z21" s="157">
        <v>9.0762405217958576E-3</v>
      </c>
      <c r="AA21" s="106"/>
      <c r="AB21" s="107" t="s">
        <v>235</v>
      </c>
      <c r="AC21" s="107" t="s">
        <v>388</v>
      </c>
      <c r="AD21" s="108" t="s">
        <v>382</v>
      </c>
      <c r="AE21" s="109" t="s">
        <v>100</v>
      </c>
      <c r="AF21" s="181">
        <v>0.02</v>
      </c>
      <c r="AG21" s="183">
        <v>3.24</v>
      </c>
      <c r="AH21" s="160">
        <v>38576.589999999997</v>
      </c>
      <c r="AI21" s="161">
        <v>1.9189800476028476E-6</v>
      </c>
      <c r="AJ21" s="107"/>
      <c r="AK21" s="107"/>
      <c r="AL21" s="108"/>
      <c r="AM21" s="109"/>
      <c r="AN21" s="109"/>
      <c r="AO21" s="104"/>
      <c r="AP21" s="105"/>
      <c r="AQ21" s="106"/>
      <c r="AR21" s="107"/>
      <c r="AS21" s="107"/>
      <c r="AT21" s="108"/>
      <c r="AU21" s="106"/>
      <c r="AV21" s="106"/>
      <c r="AW21" s="104"/>
      <c r="AX21" s="105"/>
      <c r="AY21" s="106"/>
      <c r="AZ21" s="107"/>
      <c r="BA21" s="107"/>
      <c r="BB21" s="108"/>
      <c r="BC21" s="109"/>
      <c r="BD21" s="109"/>
      <c r="BE21" s="104"/>
      <c r="BF21" s="105"/>
      <c r="BG21" s="106"/>
      <c r="BH21" s="107"/>
      <c r="BI21" s="107"/>
      <c r="BJ21" s="108"/>
      <c r="BK21" s="109"/>
      <c r="BL21" s="109"/>
      <c r="BM21" s="104"/>
      <c r="BN21" s="105"/>
      <c r="BO21" s="106"/>
      <c r="BP21" s="107"/>
      <c r="BQ21" s="107"/>
      <c r="BR21" s="108"/>
      <c r="BS21" s="109"/>
      <c r="BT21" s="109"/>
      <c r="BU21" s="104"/>
      <c r="BV21" s="105"/>
      <c r="BW21" s="106"/>
      <c r="BX21" s="107"/>
      <c r="BY21" s="107"/>
      <c r="BZ21" s="108"/>
      <c r="CA21" s="109"/>
      <c r="CC21" s="12"/>
      <c r="CD21" s="12"/>
      <c r="CF21" s="12"/>
      <c r="CG21" s="12"/>
      <c r="CJ21" s="12"/>
      <c r="CM21" s="12"/>
      <c r="CO21" s="12"/>
      <c r="CR21" s="12"/>
      <c r="CY21" s="12"/>
      <c r="CZ21" s="12"/>
      <c r="DB21" s="12"/>
      <c r="DC21" s="12"/>
      <c r="DD21" s="12"/>
      <c r="DF21" s="12"/>
      <c r="DG21" s="12"/>
      <c r="DI21" s="12"/>
      <c r="DM21" s="12"/>
      <c r="DN21" s="12"/>
      <c r="DR21" s="12"/>
      <c r="DX21" s="12"/>
      <c r="DY21" s="12"/>
      <c r="EA21" s="12"/>
      <c r="EB21" s="12"/>
      <c r="EC21" s="12"/>
      <c r="ED21" s="12"/>
      <c r="EF21" s="12"/>
      <c r="EG21" s="12"/>
      <c r="EH21" s="12"/>
      <c r="EM21" s="12"/>
      <c r="ER21" s="12"/>
      <c r="EW21" s="12"/>
      <c r="EX21" s="12"/>
      <c r="EZ21" s="12"/>
      <c r="FA21" s="12"/>
      <c r="FC21" s="12"/>
      <c r="FD21" s="12"/>
      <c r="FF21" s="12"/>
      <c r="FG21" s="12"/>
      <c r="FL21" s="12"/>
      <c r="FM21" s="12"/>
      <c r="FR21" s="12"/>
      <c r="FV21" s="12"/>
      <c r="FW21" s="12"/>
      <c r="FY21" s="12"/>
      <c r="FZ21" s="12"/>
      <c r="GC21" s="12"/>
      <c r="GD21" s="12"/>
      <c r="GF21" s="12"/>
      <c r="GG21" s="12"/>
      <c r="GK21" s="12"/>
      <c r="GM21" s="12"/>
      <c r="GR21" s="12"/>
    </row>
    <row r="22" spans="1:200" x14ac:dyDescent="0.2">
      <c r="A22" s="104" t="s">
        <v>211</v>
      </c>
      <c r="B22" s="105" t="s">
        <v>142</v>
      </c>
      <c r="C22" s="106" t="s">
        <v>209</v>
      </c>
      <c r="D22" s="107" t="s">
        <v>99</v>
      </c>
      <c r="E22" s="107">
        <v>0.33</v>
      </c>
      <c r="F22" s="181">
        <v>2.04</v>
      </c>
      <c r="G22" s="154">
        <v>1867093</v>
      </c>
      <c r="H22" s="109">
        <v>9.2877933807428693E-5</v>
      </c>
      <c r="I22" s="104"/>
      <c r="J22" s="105"/>
      <c r="K22" s="106"/>
      <c r="L22" s="107"/>
      <c r="M22" s="107"/>
      <c r="N22" s="108"/>
      <c r="O22" s="150"/>
      <c r="P22" s="154"/>
      <c r="Q22" s="104"/>
      <c r="R22" s="105"/>
      <c r="S22" s="106" t="s">
        <v>341</v>
      </c>
      <c r="T22" s="107" t="s">
        <v>165</v>
      </c>
      <c r="U22" s="107" t="s">
        <v>156</v>
      </c>
      <c r="V22" s="108" t="s">
        <v>99</v>
      </c>
      <c r="W22" s="181">
        <v>6.04</v>
      </c>
      <c r="X22" s="181">
        <v>2.33</v>
      </c>
      <c r="Y22" s="182">
        <v>157758455</v>
      </c>
      <c r="Z22" s="157">
        <v>7.8476430156677879E-3</v>
      </c>
      <c r="AA22" s="106"/>
      <c r="AB22" s="107" t="s">
        <v>235</v>
      </c>
      <c r="AC22" s="107" t="s">
        <v>388</v>
      </c>
      <c r="AD22" s="108" t="s">
        <v>382</v>
      </c>
      <c r="AE22" s="109" t="s">
        <v>100</v>
      </c>
      <c r="AF22" s="181">
        <v>0.02</v>
      </c>
      <c r="AG22" s="183">
        <v>3.48</v>
      </c>
      <c r="AH22" s="160">
        <v>628367.34</v>
      </c>
      <c r="AI22" s="161">
        <v>3.1257928957254371E-5</v>
      </c>
      <c r="AJ22" s="107"/>
      <c r="AK22" s="107"/>
      <c r="AL22" s="108"/>
      <c r="AM22" s="109"/>
      <c r="AN22" s="109"/>
      <c r="AO22" s="104"/>
      <c r="AP22" s="105"/>
      <c r="AQ22" s="106"/>
      <c r="AR22" s="107"/>
      <c r="AS22" s="107"/>
      <c r="AT22" s="108"/>
      <c r="AU22" s="106"/>
      <c r="AV22" s="106"/>
      <c r="AW22" s="104"/>
      <c r="AX22" s="105"/>
      <c r="AY22" s="106"/>
      <c r="AZ22" s="107"/>
      <c r="BA22" s="107"/>
      <c r="BB22" s="108"/>
      <c r="BC22" s="109"/>
      <c r="BD22" s="109"/>
      <c r="BE22" s="104"/>
      <c r="BF22" s="105"/>
      <c r="BG22" s="106"/>
      <c r="BH22" s="107"/>
      <c r="BI22" s="107"/>
      <c r="BJ22" s="108"/>
      <c r="BK22" s="109"/>
      <c r="BL22" s="109"/>
      <c r="BM22" s="104"/>
      <c r="BN22" s="105"/>
      <c r="BO22" s="106"/>
      <c r="BP22" s="107"/>
      <c r="BQ22" s="107"/>
      <c r="BR22" s="108"/>
      <c r="BS22" s="109"/>
      <c r="BT22" s="109"/>
      <c r="BU22" s="104"/>
      <c r="BV22" s="105"/>
      <c r="BW22" s="106"/>
      <c r="BX22" s="107"/>
      <c r="BY22" s="107"/>
      <c r="BZ22" s="108"/>
      <c r="CA22" s="109"/>
      <c r="CC22" s="12"/>
      <c r="CD22" s="12"/>
      <c r="CF22" s="12"/>
      <c r="CG22" s="12"/>
      <c r="CJ22" s="12"/>
      <c r="CM22" s="12"/>
      <c r="CO22" s="12"/>
      <c r="CR22" s="12"/>
      <c r="CY22" s="12"/>
      <c r="CZ22" s="12"/>
      <c r="DB22" s="12"/>
      <c r="DC22" s="12"/>
      <c r="DD22" s="12"/>
      <c r="DF22" s="12"/>
      <c r="DG22" s="12"/>
      <c r="DI22" s="12"/>
      <c r="DM22" s="12"/>
      <c r="DN22" s="12"/>
      <c r="DR22" s="12"/>
      <c r="DX22" s="12"/>
      <c r="DY22" s="12"/>
      <c r="EA22" s="12"/>
      <c r="EB22" s="12"/>
      <c r="EC22" s="12"/>
      <c r="ED22" s="12"/>
      <c r="EF22" s="12"/>
      <c r="EG22" s="12"/>
      <c r="EH22" s="12"/>
      <c r="EM22" s="12"/>
      <c r="ER22" s="12"/>
      <c r="EW22" s="12"/>
      <c r="EX22" s="12"/>
      <c r="EZ22" s="12"/>
      <c r="FA22" s="12"/>
      <c r="FC22" s="12"/>
      <c r="FD22" s="12"/>
      <c r="FF22" s="12"/>
      <c r="FG22" s="12"/>
      <c r="FL22" s="12"/>
      <c r="FM22" s="12"/>
      <c r="FR22" s="12"/>
      <c r="FV22" s="12"/>
      <c r="FW22" s="12"/>
      <c r="FY22" s="12"/>
      <c r="FZ22" s="12"/>
      <c r="GC22" s="12"/>
      <c r="GD22" s="12"/>
      <c r="GF22" s="12"/>
      <c r="GG22" s="12"/>
      <c r="GK22" s="12"/>
      <c r="GM22" s="12"/>
      <c r="GR22" s="12"/>
    </row>
    <row r="23" spans="1:200" x14ac:dyDescent="0.2">
      <c r="A23" s="104" t="s">
        <v>211</v>
      </c>
      <c r="B23" s="105" t="s">
        <v>142</v>
      </c>
      <c r="C23" s="106" t="s">
        <v>209</v>
      </c>
      <c r="D23" s="107" t="s">
        <v>99</v>
      </c>
      <c r="E23" s="107">
        <v>4.03</v>
      </c>
      <c r="F23" s="181">
        <v>1.9</v>
      </c>
      <c r="G23" s="154">
        <v>142989124</v>
      </c>
      <c r="H23" s="109">
        <v>7.1129474504238481E-3</v>
      </c>
      <c r="I23" s="104"/>
      <c r="J23" s="105"/>
      <c r="K23" s="106"/>
      <c r="L23" s="107"/>
      <c r="M23" s="107"/>
      <c r="N23" s="108"/>
      <c r="O23" s="150"/>
      <c r="P23" s="154"/>
      <c r="Q23" s="104"/>
      <c r="R23" s="105"/>
      <c r="S23" s="106" t="s">
        <v>360</v>
      </c>
      <c r="T23" s="107" t="s">
        <v>165</v>
      </c>
      <c r="U23" s="107" t="s">
        <v>156</v>
      </c>
      <c r="V23" s="108" t="s">
        <v>99</v>
      </c>
      <c r="W23" s="181">
        <v>7.35</v>
      </c>
      <c r="X23" s="181">
        <v>2.6</v>
      </c>
      <c r="Y23" s="182">
        <v>90563407</v>
      </c>
      <c r="Z23" s="157">
        <v>4.5050472154955458E-3</v>
      </c>
      <c r="AA23" s="106"/>
      <c r="AB23" s="107" t="s">
        <v>235</v>
      </c>
      <c r="AC23" s="107" t="s">
        <v>388</v>
      </c>
      <c r="AD23" s="108" t="s">
        <v>382</v>
      </c>
      <c r="AE23" s="109" t="s">
        <v>100</v>
      </c>
      <c r="AF23" s="181">
        <v>0.05</v>
      </c>
      <c r="AG23" s="183">
        <v>3.72</v>
      </c>
      <c r="AH23" s="160">
        <v>38520.6</v>
      </c>
      <c r="AI23" s="161">
        <v>1.9161948780910321E-6</v>
      </c>
      <c r="AJ23" s="107"/>
      <c r="AK23" s="107"/>
      <c r="AL23" s="108"/>
      <c r="AM23" s="109"/>
      <c r="AN23" s="109"/>
      <c r="AO23" s="104"/>
      <c r="AP23" s="105"/>
      <c r="AQ23" s="106"/>
      <c r="AR23" s="107"/>
      <c r="AS23" s="107"/>
      <c r="AT23" s="108"/>
      <c r="AU23" s="106"/>
      <c r="AV23" s="106"/>
      <c r="AW23" s="104"/>
      <c r="AX23" s="105"/>
      <c r="AY23" s="106"/>
      <c r="AZ23" s="107"/>
      <c r="BA23" s="107"/>
      <c r="BB23" s="108"/>
      <c r="BC23" s="109"/>
      <c r="BD23" s="109"/>
      <c r="BE23" s="104"/>
      <c r="BF23" s="105"/>
      <c r="BG23" s="106"/>
      <c r="BH23" s="107"/>
      <c r="BI23" s="107"/>
      <c r="BJ23" s="108"/>
      <c r="BK23" s="109"/>
      <c r="BL23" s="109"/>
      <c r="BM23" s="104"/>
      <c r="BN23" s="105"/>
      <c r="BO23" s="106"/>
      <c r="BP23" s="107"/>
      <c r="BQ23" s="107"/>
      <c r="BR23" s="108"/>
      <c r="BS23" s="109"/>
      <c r="BT23" s="109"/>
      <c r="BU23" s="104"/>
      <c r="BV23" s="105"/>
      <c r="BW23" s="106"/>
      <c r="BX23" s="107"/>
      <c r="BY23" s="107"/>
      <c r="BZ23" s="108"/>
      <c r="CA23" s="109"/>
      <c r="CC23" s="12"/>
      <c r="CD23" s="12"/>
      <c r="CF23" s="12"/>
      <c r="CG23" s="12"/>
      <c r="CJ23" s="12"/>
      <c r="CM23" s="12"/>
      <c r="CO23" s="12"/>
      <c r="CR23" s="12"/>
      <c r="CY23" s="12"/>
      <c r="CZ23" s="12"/>
      <c r="DB23" s="12"/>
      <c r="DC23" s="12"/>
      <c r="DD23" s="12"/>
      <c r="DF23" s="12"/>
      <c r="DG23" s="12"/>
      <c r="DI23" s="12"/>
      <c r="DM23" s="12"/>
      <c r="DN23" s="12"/>
      <c r="DR23" s="12"/>
      <c r="DX23" s="12"/>
      <c r="DY23" s="12"/>
      <c r="EA23" s="12"/>
      <c r="EB23" s="12"/>
      <c r="EC23" s="12"/>
      <c r="ED23" s="12"/>
      <c r="EF23" s="12"/>
      <c r="EG23" s="12"/>
      <c r="EH23" s="12"/>
      <c r="EM23" s="12"/>
      <c r="ER23" s="12"/>
      <c r="EW23" s="12"/>
      <c r="EX23" s="12"/>
      <c r="EZ23" s="12"/>
      <c r="FA23" s="12"/>
      <c r="FC23" s="12"/>
      <c r="FD23" s="12"/>
      <c r="FF23" s="12"/>
      <c r="FG23" s="12"/>
      <c r="FL23" s="12"/>
      <c r="FM23" s="12"/>
      <c r="FR23" s="12"/>
      <c r="FV23" s="12"/>
      <c r="FW23" s="12"/>
      <c r="FY23" s="12"/>
      <c r="FZ23" s="12"/>
      <c r="GC23" s="12"/>
      <c r="GD23" s="12"/>
      <c r="GF23" s="12"/>
      <c r="GG23" s="12"/>
      <c r="GK23" s="12"/>
      <c r="GM23" s="12"/>
      <c r="GR23" s="12"/>
    </row>
    <row r="24" spans="1:200" x14ac:dyDescent="0.2">
      <c r="A24" s="104" t="s">
        <v>211</v>
      </c>
      <c r="B24" s="105" t="s">
        <v>142</v>
      </c>
      <c r="C24" s="106" t="s">
        <v>209</v>
      </c>
      <c r="D24" s="107" t="s">
        <v>99</v>
      </c>
      <c r="E24" s="107">
        <v>4.97</v>
      </c>
      <c r="F24" s="181">
        <v>1.95</v>
      </c>
      <c r="G24" s="154">
        <v>87722278</v>
      </c>
      <c r="H24" s="109">
        <v>4.3637161777805699E-3</v>
      </c>
      <c r="I24" s="104"/>
      <c r="J24" s="105"/>
      <c r="K24" s="106"/>
      <c r="L24" s="107"/>
      <c r="M24" s="107"/>
      <c r="N24" s="108"/>
      <c r="O24" s="150"/>
      <c r="P24" s="154"/>
      <c r="Q24" s="104"/>
      <c r="R24" s="105"/>
      <c r="S24" s="106" t="s">
        <v>378</v>
      </c>
      <c r="T24" s="107" t="s">
        <v>165</v>
      </c>
      <c r="U24" s="107" t="s">
        <v>145</v>
      </c>
      <c r="V24" s="108" t="s">
        <v>99</v>
      </c>
      <c r="W24" s="181">
        <v>6.05</v>
      </c>
      <c r="X24" s="181">
        <v>2.2200000000000002</v>
      </c>
      <c r="Y24" s="182">
        <v>43216465</v>
      </c>
      <c r="Z24" s="157">
        <v>2.1497889905114842E-3</v>
      </c>
      <c r="AA24" s="106"/>
      <c r="AB24" s="107" t="s">
        <v>235</v>
      </c>
      <c r="AC24" s="107" t="s">
        <v>388</v>
      </c>
      <c r="AD24" s="108" t="s">
        <v>382</v>
      </c>
      <c r="AE24" s="109" t="s">
        <v>100</v>
      </c>
      <c r="AF24" s="181">
        <v>7.0000000000000007E-2</v>
      </c>
      <c r="AG24" s="183">
        <v>3.78</v>
      </c>
      <c r="AH24" s="160">
        <v>426582.09</v>
      </c>
      <c r="AI24" s="161">
        <v>2.122018717974226E-5</v>
      </c>
      <c r="AJ24" s="107"/>
      <c r="AK24" s="107"/>
      <c r="AL24" s="108"/>
      <c r="AM24" s="109"/>
      <c r="AN24" s="109"/>
      <c r="AO24" s="104"/>
      <c r="AP24" s="105"/>
      <c r="AQ24" s="106"/>
      <c r="AR24" s="107"/>
      <c r="AS24" s="107"/>
      <c r="AT24" s="108"/>
      <c r="AU24" s="106"/>
      <c r="AV24" s="106"/>
      <c r="AW24" s="104"/>
      <c r="AX24" s="105"/>
      <c r="AY24" s="106"/>
      <c r="AZ24" s="107"/>
      <c r="BA24" s="107"/>
      <c r="BB24" s="108"/>
      <c r="BC24" s="109"/>
      <c r="BD24" s="109"/>
      <c r="BE24" s="104"/>
      <c r="BF24" s="105"/>
      <c r="BG24" s="106"/>
      <c r="BH24" s="107"/>
      <c r="BI24" s="107"/>
      <c r="BJ24" s="108"/>
      <c r="BK24" s="109"/>
      <c r="BL24" s="109"/>
      <c r="BM24" s="104"/>
      <c r="BN24" s="105"/>
      <c r="BO24" s="106"/>
      <c r="BP24" s="107"/>
      <c r="BQ24" s="107"/>
      <c r="BR24" s="108"/>
      <c r="BS24" s="109"/>
      <c r="BT24" s="109"/>
      <c r="BU24" s="104"/>
      <c r="BV24" s="105"/>
      <c r="BW24" s="106"/>
      <c r="BX24" s="107"/>
      <c r="BY24" s="107"/>
      <c r="BZ24" s="108"/>
      <c r="CA24" s="109"/>
      <c r="CC24" s="12"/>
      <c r="CD24" s="12"/>
      <c r="CF24" s="12"/>
      <c r="CG24" s="12"/>
      <c r="CJ24" s="12"/>
      <c r="CM24" s="12"/>
      <c r="CO24" s="12"/>
      <c r="CR24" s="12"/>
      <c r="CY24" s="12"/>
      <c r="CZ24" s="12"/>
      <c r="DB24" s="12"/>
      <c r="DC24" s="12"/>
      <c r="DD24" s="12"/>
      <c r="DF24" s="12"/>
      <c r="DG24" s="12"/>
      <c r="DI24" s="12"/>
      <c r="DM24" s="12"/>
      <c r="DN24" s="12"/>
      <c r="DR24" s="12"/>
      <c r="DX24" s="12"/>
      <c r="DY24" s="12"/>
      <c r="EA24" s="12"/>
      <c r="EB24" s="12"/>
      <c r="EC24" s="12"/>
      <c r="ED24" s="12"/>
      <c r="EF24" s="12"/>
      <c r="EG24" s="12"/>
      <c r="EH24" s="12"/>
      <c r="EM24" s="12"/>
      <c r="ER24" s="12"/>
      <c r="EW24" s="12"/>
      <c r="EX24" s="12"/>
      <c r="EZ24" s="12"/>
      <c r="FA24" s="12"/>
      <c r="FC24" s="12"/>
      <c r="FD24" s="12"/>
      <c r="FF24" s="12"/>
      <c r="FG24" s="12"/>
      <c r="FL24" s="12"/>
      <c r="FM24" s="12"/>
      <c r="FR24" s="12"/>
      <c r="FV24" s="12"/>
      <c r="FW24" s="12"/>
      <c r="FY24" s="12"/>
      <c r="FZ24" s="12"/>
      <c r="GC24" s="12"/>
      <c r="GD24" s="12"/>
      <c r="GF24" s="12"/>
      <c r="GG24" s="12"/>
      <c r="GK24" s="12"/>
      <c r="GM24" s="12"/>
      <c r="GR24" s="12"/>
    </row>
    <row r="25" spans="1:200" x14ac:dyDescent="0.2">
      <c r="A25" s="104" t="s">
        <v>211</v>
      </c>
      <c r="B25" s="105" t="s">
        <v>142</v>
      </c>
      <c r="C25" s="106" t="s">
        <v>209</v>
      </c>
      <c r="D25" s="107" t="s">
        <v>99</v>
      </c>
      <c r="E25" s="107">
        <v>1.39</v>
      </c>
      <c r="F25" s="181">
        <v>1.87</v>
      </c>
      <c r="G25" s="154">
        <v>54051267</v>
      </c>
      <c r="H25" s="109">
        <v>2.6887626907891866E-3</v>
      </c>
      <c r="I25" s="104"/>
      <c r="J25" s="105"/>
      <c r="K25" s="106"/>
      <c r="L25" s="107"/>
      <c r="M25" s="107"/>
      <c r="N25" s="108"/>
      <c r="O25" s="150"/>
      <c r="P25" s="154"/>
      <c r="Q25" s="104"/>
      <c r="R25" s="105"/>
      <c r="S25" s="106"/>
      <c r="T25" s="107"/>
      <c r="U25" s="107"/>
      <c r="V25" s="108"/>
      <c r="W25" s="150"/>
      <c r="X25" s="150"/>
      <c r="Y25" s="104"/>
      <c r="Z25" s="157"/>
      <c r="AA25" s="106"/>
      <c r="AB25" s="107" t="s">
        <v>235</v>
      </c>
      <c r="AC25" s="107" t="s">
        <v>388</v>
      </c>
      <c r="AD25" s="108" t="s">
        <v>382</v>
      </c>
      <c r="AE25" s="109" t="s">
        <v>100</v>
      </c>
      <c r="AF25" s="181">
        <v>0.1</v>
      </c>
      <c r="AG25" s="183">
        <v>3.84</v>
      </c>
      <c r="AH25" s="160">
        <v>51920.7</v>
      </c>
      <c r="AI25" s="161">
        <v>2.5827781743671946E-6</v>
      </c>
      <c r="AJ25" s="107"/>
      <c r="AK25" s="107"/>
      <c r="AL25" s="108"/>
      <c r="AM25" s="109"/>
      <c r="AN25" s="109"/>
      <c r="AO25" s="104"/>
      <c r="AP25" s="105"/>
      <c r="AQ25" s="106"/>
      <c r="AR25" s="107"/>
      <c r="AS25" s="107"/>
      <c r="AT25" s="108"/>
      <c r="AU25" s="106"/>
      <c r="AV25" s="106"/>
      <c r="AW25" s="104"/>
      <c r="AX25" s="105"/>
      <c r="AY25" s="106"/>
      <c r="AZ25" s="107"/>
      <c r="BA25" s="107"/>
      <c r="BB25" s="108"/>
      <c r="BC25" s="109"/>
      <c r="BD25" s="109"/>
      <c r="BE25" s="104"/>
      <c r="BF25" s="105"/>
      <c r="BG25" s="106"/>
      <c r="BH25" s="107"/>
      <c r="BI25" s="107"/>
      <c r="BJ25" s="108"/>
      <c r="BK25" s="109"/>
      <c r="BL25" s="109"/>
      <c r="BM25" s="104"/>
      <c r="BN25" s="105"/>
      <c r="BO25" s="106"/>
      <c r="BP25" s="107"/>
      <c r="BQ25" s="107"/>
      <c r="BR25" s="108"/>
      <c r="BS25" s="109"/>
      <c r="BT25" s="109"/>
      <c r="BU25" s="104"/>
      <c r="BV25" s="105"/>
      <c r="BW25" s="106"/>
      <c r="BX25" s="107"/>
      <c r="BY25" s="107"/>
      <c r="BZ25" s="108"/>
      <c r="CA25" s="109"/>
      <c r="CC25" s="12"/>
      <c r="CD25" s="12"/>
      <c r="CF25" s="12"/>
      <c r="CG25" s="12"/>
      <c r="CJ25" s="12"/>
      <c r="CM25" s="12"/>
      <c r="CO25" s="12"/>
      <c r="CR25" s="12"/>
      <c r="CY25" s="12"/>
      <c r="CZ25" s="12"/>
      <c r="DB25" s="12"/>
      <c r="DC25" s="12"/>
      <c r="DD25" s="12"/>
      <c r="DF25" s="12"/>
      <c r="DG25" s="12"/>
      <c r="DI25" s="12"/>
      <c r="DM25" s="12"/>
      <c r="DN25" s="12"/>
      <c r="DR25" s="12"/>
      <c r="DX25" s="12"/>
      <c r="DY25" s="12"/>
      <c r="EA25" s="12"/>
      <c r="EB25" s="12"/>
      <c r="EC25" s="12"/>
      <c r="ED25" s="12"/>
      <c r="EF25" s="12"/>
      <c r="EG25" s="12"/>
      <c r="EH25" s="12"/>
      <c r="EM25" s="12"/>
      <c r="ER25" s="12"/>
      <c r="EW25" s="12"/>
      <c r="EX25" s="12"/>
      <c r="EZ25" s="12"/>
      <c r="FA25" s="12"/>
      <c r="FC25" s="12"/>
      <c r="FD25" s="12"/>
      <c r="FF25" s="12"/>
      <c r="FG25" s="12"/>
      <c r="FL25" s="12"/>
      <c r="FM25" s="12"/>
      <c r="FR25" s="12"/>
      <c r="FV25" s="12"/>
      <c r="FW25" s="12"/>
      <c r="FY25" s="12"/>
      <c r="FZ25" s="12"/>
      <c r="GC25" s="12"/>
      <c r="GD25" s="12"/>
      <c r="GF25" s="12"/>
      <c r="GG25" s="12"/>
      <c r="GK25" s="12"/>
      <c r="GM25" s="12"/>
      <c r="GR25" s="12"/>
    </row>
    <row r="26" spans="1:200" x14ac:dyDescent="0.2">
      <c r="A26" s="104" t="s">
        <v>211</v>
      </c>
      <c r="B26" s="105" t="s">
        <v>142</v>
      </c>
      <c r="C26" s="106" t="s">
        <v>209</v>
      </c>
      <c r="D26" s="107" t="s">
        <v>100</v>
      </c>
      <c r="E26" s="107">
        <v>0.09</v>
      </c>
      <c r="F26" s="181">
        <v>4.3499999999999996</v>
      </c>
      <c r="G26" s="154">
        <v>10236524</v>
      </c>
      <c r="H26" s="109">
        <v>5.0921255582349421E-4</v>
      </c>
      <c r="I26" s="104"/>
      <c r="J26" s="105"/>
      <c r="K26" s="106"/>
      <c r="L26" s="107"/>
      <c r="M26" s="107"/>
      <c r="N26" s="108"/>
      <c r="O26" s="150"/>
      <c r="P26" s="154"/>
      <c r="Q26" s="104"/>
      <c r="R26" s="105"/>
      <c r="S26" s="106"/>
      <c r="T26" s="107"/>
      <c r="U26" s="107"/>
      <c r="V26" s="108"/>
      <c r="W26" s="150"/>
      <c r="X26" s="150"/>
      <c r="Y26" s="104"/>
      <c r="Z26" s="157"/>
      <c r="AA26" s="106"/>
      <c r="AB26" s="107" t="s">
        <v>235</v>
      </c>
      <c r="AC26" s="107" t="s">
        <v>388</v>
      </c>
      <c r="AD26" s="108" t="s">
        <v>382</v>
      </c>
      <c r="AE26" s="109" t="s">
        <v>100</v>
      </c>
      <c r="AF26" s="181">
        <v>0.2</v>
      </c>
      <c r="AG26" s="183">
        <v>3.96</v>
      </c>
      <c r="AH26" s="160">
        <v>95722.95</v>
      </c>
      <c r="AI26" s="161">
        <v>4.7617071376317236E-6</v>
      </c>
      <c r="AJ26" s="107"/>
      <c r="AK26" s="107"/>
      <c r="AL26" s="108"/>
      <c r="AM26" s="109"/>
      <c r="AN26" s="109"/>
      <c r="AO26" s="104"/>
      <c r="AP26" s="105"/>
      <c r="AQ26" s="106"/>
      <c r="AR26" s="107"/>
      <c r="AS26" s="107"/>
      <c r="AT26" s="108"/>
      <c r="AU26" s="106"/>
      <c r="AV26" s="106"/>
      <c r="AW26" s="104"/>
      <c r="AX26" s="105"/>
      <c r="AY26" s="106"/>
      <c r="AZ26" s="107"/>
      <c r="BA26" s="107"/>
      <c r="BB26" s="108"/>
      <c r="BC26" s="109"/>
      <c r="BD26" s="109"/>
      <c r="BE26" s="104"/>
      <c r="BF26" s="105"/>
      <c r="BG26" s="106"/>
      <c r="BH26" s="107"/>
      <c r="BI26" s="107"/>
      <c r="BJ26" s="108"/>
      <c r="BK26" s="109"/>
      <c r="BL26" s="109"/>
      <c r="BM26" s="104"/>
      <c r="BN26" s="105"/>
      <c r="BO26" s="106"/>
      <c r="BP26" s="107"/>
      <c r="BQ26" s="107"/>
      <c r="BR26" s="108"/>
      <c r="BS26" s="109"/>
      <c r="BT26" s="109"/>
      <c r="BU26" s="104"/>
      <c r="BV26" s="105"/>
      <c r="BW26" s="106"/>
      <c r="BX26" s="107"/>
      <c r="BY26" s="107"/>
      <c r="BZ26" s="108"/>
      <c r="CA26" s="109"/>
      <c r="CC26" s="12"/>
      <c r="CD26" s="12"/>
      <c r="CF26" s="12"/>
      <c r="CG26" s="12"/>
      <c r="CJ26" s="12"/>
      <c r="CM26" s="12"/>
      <c r="CO26" s="12"/>
      <c r="CR26" s="12"/>
      <c r="CY26" s="12"/>
      <c r="CZ26" s="12"/>
      <c r="DB26" s="12"/>
      <c r="DC26" s="12"/>
      <c r="DD26" s="12"/>
      <c r="DF26" s="12"/>
      <c r="DG26" s="12"/>
      <c r="DI26" s="12"/>
      <c r="DM26" s="12"/>
      <c r="DN26" s="12"/>
      <c r="DR26" s="12"/>
      <c r="DX26" s="12"/>
      <c r="DY26" s="12"/>
      <c r="EA26" s="12"/>
      <c r="EB26" s="12"/>
      <c r="EC26" s="12"/>
      <c r="ED26" s="12"/>
      <c r="EF26" s="12"/>
      <c r="EG26" s="12"/>
      <c r="EH26" s="12"/>
      <c r="EM26" s="12"/>
      <c r="ER26" s="12"/>
      <c r="EW26" s="12"/>
      <c r="EX26" s="12"/>
      <c r="EZ26" s="12"/>
      <c r="FA26" s="12"/>
      <c r="FC26" s="12"/>
      <c r="FD26" s="12"/>
      <c r="FF26" s="12"/>
      <c r="FG26" s="12"/>
      <c r="FL26" s="12"/>
      <c r="FM26" s="12"/>
      <c r="FR26" s="12"/>
      <c r="FV26" s="12"/>
      <c r="FW26" s="12"/>
      <c r="FY26" s="12"/>
      <c r="FZ26" s="12"/>
      <c r="GC26" s="12"/>
      <c r="GD26" s="12"/>
      <c r="GF26" s="12"/>
      <c r="GG26" s="12"/>
      <c r="GK26" s="12"/>
      <c r="GM26" s="12"/>
      <c r="GR26" s="12"/>
    </row>
    <row r="27" spans="1:200" x14ac:dyDescent="0.2">
      <c r="A27" s="104" t="s">
        <v>211</v>
      </c>
      <c r="B27" s="105" t="s">
        <v>142</v>
      </c>
      <c r="C27" s="106" t="s">
        <v>209</v>
      </c>
      <c r="D27" s="107" t="s">
        <v>99</v>
      </c>
      <c r="E27" s="107">
        <v>2.1800000000000002</v>
      </c>
      <c r="F27" s="181">
        <v>1.9</v>
      </c>
      <c r="G27" s="154">
        <v>761223873</v>
      </c>
      <c r="H27" s="109">
        <v>3.7866833890507066E-2</v>
      </c>
      <c r="I27" s="104"/>
      <c r="J27" s="105"/>
      <c r="K27" s="106"/>
      <c r="L27" s="107"/>
      <c r="M27" s="107"/>
      <c r="N27" s="108"/>
      <c r="O27" s="150"/>
      <c r="P27" s="154"/>
      <c r="Q27" s="104"/>
      <c r="R27" s="105"/>
      <c r="S27" s="106"/>
      <c r="T27" s="107"/>
      <c r="U27" s="107"/>
      <c r="V27" s="108"/>
      <c r="W27" s="150"/>
      <c r="X27" s="150"/>
      <c r="Y27" s="104"/>
      <c r="Z27" s="157"/>
      <c r="AA27" s="106"/>
      <c r="AB27" s="107" t="s">
        <v>235</v>
      </c>
      <c r="AC27" s="107" t="s">
        <v>388</v>
      </c>
      <c r="AD27" s="108" t="s">
        <v>382</v>
      </c>
      <c r="AE27" s="109" t="s">
        <v>100</v>
      </c>
      <c r="AF27" s="181">
        <v>0.24</v>
      </c>
      <c r="AG27" s="183">
        <v>4.08</v>
      </c>
      <c r="AH27" s="160">
        <v>76425.320000000007</v>
      </c>
      <c r="AI27" s="161">
        <v>3.8017529213988974E-6</v>
      </c>
      <c r="AJ27" s="107"/>
      <c r="AK27" s="107"/>
      <c r="AL27" s="108"/>
      <c r="AM27" s="109"/>
      <c r="AN27" s="109"/>
      <c r="AO27" s="104"/>
      <c r="AP27" s="105"/>
      <c r="AQ27" s="106"/>
      <c r="AR27" s="107"/>
      <c r="AS27" s="107"/>
      <c r="AT27" s="108"/>
      <c r="AU27" s="106"/>
      <c r="AV27" s="106"/>
      <c r="AW27" s="104"/>
      <c r="AX27" s="105"/>
      <c r="AY27" s="106"/>
      <c r="AZ27" s="107"/>
      <c r="BA27" s="107"/>
      <c r="BB27" s="108"/>
      <c r="BC27" s="109"/>
      <c r="BD27" s="109"/>
      <c r="BE27" s="104"/>
      <c r="BF27" s="105"/>
      <c r="BG27" s="106"/>
      <c r="BH27" s="107"/>
      <c r="BI27" s="107"/>
      <c r="BJ27" s="108"/>
      <c r="BK27" s="109"/>
      <c r="BL27" s="109"/>
      <c r="BM27" s="104"/>
      <c r="BN27" s="105"/>
      <c r="BO27" s="106"/>
      <c r="BP27" s="107"/>
      <c r="BQ27" s="107"/>
      <c r="BR27" s="108"/>
      <c r="BS27" s="109"/>
      <c r="BT27" s="109"/>
      <c r="BU27" s="104"/>
      <c r="BV27" s="105"/>
      <c r="BW27" s="106"/>
      <c r="BX27" s="107"/>
      <c r="BY27" s="107"/>
      <c r="BZ27" s="108"/>
      <c r="CA27" s="109"/>
      <c r="CC27" s="12"/>
      <c r="CD27" s="12"/>
      <c r="CF27" s="12"/>
      <c r="CG27" s="12"/>
      <c r="CJ27" s="12"/>
      <c r="CM27" s="12"/>
      <c r="CO27" s="12"/>
      <c r="CR27" s="12"/>
      <c r="CY27" s="12"/>
      <c r="CZ27" s="12"/>
      <c r="DB27" s="12"/>
      <c r="DC27" s="12"/>
      <c r="DD27" s="12"/>
      <c r="DF27" s="12"/>
      <c r="DG27" s="12"/>
      <c r="DI27" s="12"/>
      <c r="DM27" s="12"/>
      <c r="DN27" s="12"/>
      <c r="DR27" s="12"/>
      <c r="DX27" s="12"/>
      <c r="DY27" s="12"/>
      <c r="EA27" s="12"/>
      <c r="EB27" s="12"/>
      <c r="EC27" s="12"/>
      <c r="ED27" s="12"/>
      <c r="EF27" s="12"/>
      <c r="EG27" s="12"/>
      <c r="EH27" s="12"/>
      <c r="EM27" s="12"/>
      <c r="ER27" s="12"/>
      <c r="EW27" s="12"/>
      <c r="EX27" s="12"/>
      <c r="EZ27" s="12"/>
      <c r="FA27" s="12"/>
      <c r="FC27" s="12"/>
      <c r="FD27" s="12"/>
      <c r="FF27" s="12"/>
      <c r="FG27" s="12"/>
      <c r="FL27" s="12"/>
      <c r="FM27" s="12"/>
      <c r="FR27" s="12"/>
      <c r="FV27" s="12"/>
      <c r="FW27" s="12"/>
      <c r="FY27" s="12"/>
      <c r="FZ27" s="12"/>
      <c r="GC27" s="12"/>
      <c r="GD27" s="12"/>
      <c r="GF27" s="12"/>
      <c r="GG27" s="12"/>
      <c r="GK27" s="12"/>
      <c r="GM27" s="12"/>
      <c r="GR27" s="12"/>
    </row>
    <row r="28" spans="1:200" x14ac:dyDescent="0.2">
      <c r="A28" s="104" t="s">
        <v>211</v>
      </c>
      <c r="B28" s="105" t="s">
        <v>142</v>
      </c>
      <c r="C28" s="106" t="s">
        <v>209</v>
      </c>
      <c r="D28" s="107" t="s">
        <v>99</v>
      </c>
      <c r="E28" s="107">
        <v>2.73</v>
      </c>
      <c r="F28" s="181">
        <v>1.91</v>
      </c>
      <c r="G28" s="154">
        <v>136370313</v>
      </c>
      <c r="H28" s="109">
        <v>6.7836968507258783E-3</v>
      </c>
      <c r="I28" s="104"/>
      <c r="J28" s="105"/>
      <c r="K28" s="106"/>
      <c r="L28" s="107"/>
      <c r="M28" s="107"/>
      <c r="N28" s="108"/>
      <c r="O28" s="150"/>
      <c r="P28" s="154"/>
      <c r="Q28" s="104"/>
      <c r="R28" s="105"/>
      <c r="S28" s="106"/>
      <c r="T28" s="107"/>
      <c r="U28" s="107"/>
      <c r="V28" s="108"/>
      <c r="W28" s="150"/>
      <c r="X28" s="150"/>
      <c r="Y28" s="104"/>
      <c r="Z28" s="157"/>
      <c r="AA28" s="106"/>
      <c r="AB28" s="107" t="s">
        <v>235</v>
      </c>
      <c r="AC28" s="107" t="s">
        <v>388</v>
      </c>
      <c r="AD28" s="108" t="s">
        <v>382</v>
      </c>
      <c r="AE28" s="109" t="s">
        <v>100</v>
      </c>
      <c r="AF28" s="181">
        <v>0.34</v>
      </c>
      <c r="AG28" s="183">
        <v>3.96</v>
      </c>
      <c r="AH28" s="160">
        <v>369361.08</v>
      </c>
      <c r="AI28" s="161">
        <v>1.8373746535338764E-5</v>
      </c>
      <c r="AJ28" s="107"/>
      <c r="AK28" s="107"/>
      <c r="AL28" s="108"/>
      <c r="AM28" s="109"/>
      <c r="AN28" s="109"/>
      <c r="AO28" s="104"/>
      <c r="AP28" s="105"/>
      <c r="AQ28" s="106"/>
      <c r="AR28" s="107"/>
      <c r="AS28" s="107"/>
      <c r="AT28" s="108"/>
      <c r="AU28" s="106"/>
      <c r="AV28" s="106"/>
      <c r="AW28" s="104"/>
      <c r="AX28" s="105"/>
      <c r="AY28" s="106"/>
      <c r="AZ28" s="107"/>
      <c r="BA28" s="107"/>
      <c r="BB28" s="108"/>
      <c r="BC28" s="109"/>
      <c r="BD28" s="109"/>
      <c r="BE28" s="104"/>
      <c r="BF28" s="105"/>
      <c r="BG28" s="106"/>
      <c r="BH28" s="107"/>
      <c r="BI28" s="107"/>
      <c r="BJ28" s="108"/>
      <c r="BK28" s="109"/>
      <c r="BL28" s="109"/>
      <c r="BM28" s="104"/>
      <c r="BN28" s="105"/>
      <c r="BO28" s="106"/>
      <c r="BP28" s="107"/>
      <c r="BQ28" s="107"/>
      <c r="BR28" s="108"/>
      <c r="BS28" s="109"/>
      <c r="BT28" s="109"/>
      <c r="BU28" s="104"/>
      <c r="BV28" s="105"/>
      <c r="BW28" s="106"/>
      <c r="BX28" s="107"/>
      <c r="BY28" s="107"/>
      <c r="BZ28" s="108"/>
      <c r="CA28" s="109"/>
      <c r="CC28" s="12"/>
      <c r="CD28" s="12"/>
      <c r="CF28" s="12"/>
      <c r="CG28" s="12"/>
      <c r="CJ28" s="12"/>
      <c r="CM28" s="12"/>
      <c r="CO28" s="12"/>
      <c r="CR28" s="12"/>
      <c r="CY28" s="12"/>
      <c r="CZ28" s="12"/>
      <c r="DB28" s="12"/>
      <c r="DC28" s="12"/>
      <c r="DD28" s="12"/>
      <c r="DF28" s="12"/>
      <c r="DG28" s="12"/>
      <c r="DI28" s="12"/>
      <c r="DM28" s="12"/>
      <c r="DN28" s="12"/>
      <c r="DR28" s="12"/>
      <c r="DX28" s="12"/>
      <c r="DY28" s="12"/>
      <c r="EA28" s="12"/>
      <c r="EB28" s="12"/>
      <c r="EC28" s="12"/>
      <c r="ED28" s="12"/>
      <c r="EF28" s="12"/>
      <c r="EG28" s="12"/>
      <c r="EH28" s="12"/>
      <c r="EM28" s="12"/>
      <c r="ER28" s="12"/>
      <c r="EW28" s="12"/>
      <c r="EX28" s="12"/>
      <c r="EZ28" s="12"/>
      <c r="FA28" s="12"/>
      <c r="FC28" s="12"/>
      <c r="FD28" s="12"/>
      <c r="FF28" s="12"/>
      <c r="FG28" s="12"/>
      <c r="FL28" s="12"/>
      <c r="FM28" s="12"/>
      <c r="FR28" s="12"/>
      <c r="FV28" s="12"/>
      <c r="FW28" s="12"/>
      <c r="FY28" s="12"/>
      <c r="FZ28" s="12"/>
      <c r="GC28" s="12"/>
      <c r="GD28" s="12"/>
      <c r="GF28" s="12"/>
      <c r="GG28" s="12"/>
      <c r="GK28" s="12"/>
      <c r="GM28" s="12"/>
      <c r="GR28" s="12"/>
    </row>
    <row r="29" spans="1:200" x14ac:dyDescent="0.2">
      <c r="A29" s="104" t="s">
        <v>211</v>
      </c>
      <c r="B29" s="105" t="s">
        <v>142</v>
      </c>
      <c r="C29" s="106" t="s">
        <v>209</v>
      </c>
      <c r="D29" s="107" t="s">
        <v>99</v>
      </c>
      <c r="E29" s="107">
        <v>2.48</v>
      </c>
      <c r="F29" s="181">
        <v>1.9</v>
      </c>
      <c r="G29" s="154">
        <v>383741944</v>
      </c>
      <c r="H29" s="109">
        <v>1.9089118149961469E-2</v>
      </c>
      <c r="I29" s="104"/>
      <c r="J29" s="105"/>
      <c r="K29" s="106"/>
      <c r="L29" s="107"/>
      <c r="M29" s="107"/>
      <c r="N29" s="108"/>
      <c r="O29" s="150"/>
      <c r="P29" s="154"/>
      <c r="Q29" s="104"/>
      <c r="R29" s="105"/>
      <c r="S29" s="106"/>
      <c r="T29" s="107"/>
      <c r="U29" s="107"/>
      <c r="V29" s="108"/>
      <c r="W29" s="150"/>
      <c r="X29" s="150"/>
      <c r="Y29" s="104"/>
      <c r="Z29" s="157"/>
      <c r="AA29" s="106"/>
      <c r="AB29" s="107" t="s">
        <v>293</v>
      </c>
      <c r="AC29" s="107" t="s">
        <v>388</v>
      </c>
      <c r="AD29" s="108" t="s">
        <v>382</v>
      </c>
      <c r="AE29" s="109" t="s">
        <v>100</v>
      </c>
      <c r="AF29" s="181">
        <v>0.02</v>
      </c>
      <c r="AG29" s="183">
        <v>3.54</v>
      </c>
      <c r="AH29" s="160">
        <v>1504617.75</v>
      </c>
      <c r="AI29" s="161">
        <v>7.484672050578048E-5</v>
      </c>
      <c r="AJ29" s="107"/>
      <c r="AK29" s="107"/>
      <c r="AL29" s="108"/>
      <c r="AM29" s="109"/>
      <c r="AN29" s="109"/>
      <c r="AO29" s="104"/>
      <c r="AP29" s="105"/>
      <c r="AQ29" s="106"/>
      <c r="AR29" s="107"/>
      <c r="AS29" s="107"/>
      <c r="AT29" s="108"/>
      <c r="AU29" s="106"/>
      <c r="AV29" s="106"/>
      <c r="AW29" s="104"/>
      <c r="AX29" s="105"/>
      <c r="AY29" s="106"/>
      <c r="AZ29" s="107"/>
      <c r="BA29" s="107"/>
      <c r="BB29" s="108"/>
      <c r="BC29" s="109"/>
      <c r="BD29" s="109"/>
      <c r="BE29" s="104"/>
      <c r="BF29" s="105"/>
      <c r="BG29" s="106"/>
      <c r="BH29" s="107"/>
      <c r="BI29" s="107"/>
      <c r="BJ29" s="108"/>
      <c r="BK29" s="109"/>
      <c r="BL29" s="109"/>
      <c r="BM29" s="104"/>
      <c r="BN29" s="105"/>
      <c r="BO29" s="106"/>
      <c r="BP29" s="107"/>
      <c r="BQ29" s="107"/>
      <c r="BR29" s="108"/>
      <c r="BS29" s="109"/>
      <c r="BT29" s="109"/>
      <c r="BU29" s="104"/>
      <c r="BV29" s="105"/>
      <c r="BW29" s="106"/>
      <c r="BX29" s="107"/>
      <c r="BY29" s="107"/>
      <c r="BZ29" s="108"/>
      <c r="CA29" s="109"/>
      <c r="CC29" s="12"/>
      <c r="CD29" s="12"/>
      <c r="CF29" s="12"/>
      <c r="CG29" s="12"/>
      <c r="CJ29" s="12"/>
      <c r="CM29" s="12"/>
      <c r="CO29" s="12"/>
      <c r="CR29" s="12"/>
      <c r="CY29" s="12"/>
      <c r="CZ29" s="12"/>
      <c r="DB29" s="12"/>
      <c r="DC29" s="12"/>
      <c r="DD29" s="12"/>
      <c r="DF29" s="12"/>
      <c r="DG29" s="12"/>
      <c r="DI29" s="12"/>
      <c r="DM29" s="12"/>
      <c r="DN29" s="12"/>
      <c r="DR29" s="12"/>
      <c r="DX29" s="12"/>
      <c r="DY29" s="12"/>
      <c r="EA29" s="12"/>
      <c r="EB29" s="12"/>
      <c r="EC29" s="12"/>
      <c r="ED29" s="12"/>
      <c r="EF29" s="12"/>
      <c r="EG29" s="12"/>
      <c r="EH29" s="12"/>
      <c r="EM29" s="12"/>
      <c r="ER29" s="12"/>
      <c r="EW29" s="12"/>
      <c r="EX29" s="12"/>
      <c r="EZ29" s="12"/>
      <c r="FA29" s="12"/>
      <c r="FC29" s="12"/>
      <c r="FD29" s="12"/>
      <c r="FF29" s="12"/>
      <c r="FG29" s="12"/>
      <c r="FL29" s="12"/>
      <c r="FM29" s="12"/>
      <c r="FR29" s="12"/>
      <c r="FV29" s="12"/>
      <c r="FW29" s="12"/>
      <c r="FY29" s="12"/>
      <c r="FZ29" s="12"/>
      <c r="GC29" s="12"/>
      <c r="GD29" s="12"/>
      <c r="GF29" s="12"/>
      <c r="GG29" s="12"/>
      <c r="GK29" s="12"/>
      <c r="GM29" s="12"/>
      <c r="GR29" s="12"/>
    </row>
    <row r="30" spans="1:200" x14ac:dyDescent="0.2">
      <c r="A30" s="104" t="s">
        <v>223</v>
      </c>
      <c r="B30" s="105" t="s">
        <v>142</v>
      </c>
      <c r="C30" s="106" t="s">
        <v>156</v>
      </c>
      <c r="D30" s="107" t="s">
        <v>99</v>
      </c>
      <c r="E30" s="107">
        <v>1.32</v>
      </c>
      <c r="F30" s="181">
        <v>2.2400000000000002</v>
      </c>
      <c r="G30" s="154">
        <v>780659582</v>
      </c>
      <c r="H30" s="109">
        <v>3.8833656911107774E-2</v>
      </c>
      <c r="I30" s="104"/>
      <c r="J30" s="105"/>
      <c r="K30" s="106"/>
      <c r="L30" s="107"/>
      <c r="M30" s="107"/>
      <c r="N30" s="108"/>
      <c r="O30" s="150"/>
      <c r="P30" s="154"/>
      <c r="Q30" s="104"/>
      <c r="R30" s="105"/>
      <c r="S30" s="106"/>
      <c r="T30" s="107"/>
      <c r="U30" s="107"/>
      <c r="V30" s="108"/>
      <c r="W30" s="150"/>
      <c r="X30" s="150"/>
      <c r="Y30" s="104"/>
      <c r="Z30" s="157"/>
      <c r="AA30" s="106"/>
      <c r="AB30" s="107" t="s">
        <v>293</v>
      </c>
      <c r="AC30" s="107" t="s">
        <v>388</v>
      </c>
      <c r="AD30" s="108" t="s">
        <v>382</v>
      </c>
      <c r="AE30" s="109" t="s">
        <v>100</v>
      </c>
      <c r="AF30" s="181">
        <v>0.04</v>
      </c>
      <c r="AG30" s="183">
        <v>3.88</v>
      </c>
      <c r="AH30" s="160">
        <v>154138.4</v>
      </c>
      <c r="AI30" s="161">
        <v>7.6675646818759432E-6</v>
      </c>
      <c r="AJ30" s="107"/>
      <c r="AK30" s="107"/>
      <c r="AL30" s="108"/>
      <c r="AM30" s="109"/>
      <c r="AN30" s="109"/>
      <c r="AO30" s="104"/>
      <c r="AP30" s="105"/>
      <c r="AQ30" s="106"/>
      <c r="AR30" s="107"/>
      <c r="AS30" s="107"/>
      <c r="AT30" s="108"/>
      <c r="AU30" s="106"/>
      <c r="AV30" s="106"/>
      <c r="AW30" s="104"/>
      <c r="AX30" s="105"/>
      <c r="AY30" s="106"/>
      <c r="AZ30" s="107"/>
      <c r="BA30" s="107"/>
      <c r="BB30" s="108"/>
      <c r="BC30" s="109"/>
      <c r="BD30" s="109"/>
      <c r="BE30" s="104"/>
      <c r="BF30" s="105"/>
      <c r="BG30" s="106"/>
      <c r="BH30" s="107"/>
      <c r="BI30" s="107"/>
      <c r="BJ30" s="108"/>
      <c r="BK30" s="109"/>
      <c r="BL30" s="109"/>
      <c r="BM30" s="104"/>
      <c r="BN30" s="105"/>
      <c r="BO30" s="106"/>
      <c r="BP30" s="107"/>
      <c r="BQ30" s="107"/>
      <c r="BR30" s="108"/>
      <c r="BS30" s="109"/>
      <c r="BT30" s="109"/>
      <c r="BU30" s="104"/>
      <c r="BV30" s="105"/>
      <c r="BW30" s="106"/>
      <c r="BX30" s="107"/>
      <c r="BY30" s="107"/>
      <c r="BZ30" s="108"/>
      <c r="CA30" s="109"/>
      <c r="CC30" s="12"/>
      <c r="CD30" s="12"/>
      <c r="CF30" s="12"/>
      <c r="CG30" s="12"/>
      <c r="CJ30" s="12"/>
      <c r="CM30" s="12"/>
      <c r="CO30" s="12"/>
      <c r="CR30" s="12"/>
      <c r="CY30" s="12"/>
      <c r="CZ30" s="12"/>
      <c r="DB30" s="12"/>
      <c r="DC30" s="12"/>
      <c r="DD30" s="12"/>
      <c r="DF30" s="12"/>
      <c r="DG30" s="12"/>
      <c r="DI30" s="12"/>
      <c r="DM30" s="12"/>
      <c r="DN30" s="12"/>
      <c r="DR30" s="12"/>
      <c r="DX30" s="12"/>
      <c r="DY30" s="12"/>
      <c r="EA30" s="12"/>
      <c r="EB30" s="12"/>
      <c r="EC30" s="12"/>
      <c r="ED30" s="12"/>
      <c r="EF30" s="12"/>
      <c r="EG30" s="12"/>
      <c r="EH30" s="12"/>
      <c r="EM30" s="12"/>
      <c r="ER30" s="12"/>
      <c r="EW30" s="12"/>
      <c r="EX30" s="12"/>
      <c r="EZ30" s="12"/>
      <c r="FA30" s="12"/>
      <c r="FC30" s="12"/>
      <c r="FD30" s="12"/>
      <c r="FF30" s="12"/>
      <c r="FG30" s="12"/>
      <c r="FL30" s="12"/>
      <c r="FM30" s="12"/>
      <c r="FR30" s="12"/>
      <c r="FV30" s="12"/>
      <c r="FW30" s="12"/>
      <c r="FY30" s="12"/>
      <c r="FZ30" s="12"/>
      <c r="GC30" s="12"/>
      <c r="GD30" s="12"/>
      <c r="GF30" s="12"/>
      <c r="GG30" s="12"/>
      <c r="GK30" s="12"/>
      <c r="GM30" s="12"/>
      <c r="GR30" s="12"/>
    </row>
    <row r="31" spans="1:200" x14ac:dyDescent="0.2">
      <c r="A31" s="104" t="s">
        <v>227</v>
      </c>
      <c r="B31" s="105" t="s">
        <v>142</v>
      </c>
      <c r="C31" s="106" t="s">
        <v>156</v>
      </c>
      <c r="D31" s="107" t="s">
        <v>99</v>
      </c>
      <c r="E31" s="107">
        <v>1.22</v>
      </c>
      <c r="F31" s="181">
        <v>2.35</v>
      </c>
      <c r="G31" s="154">
        <v>175619026</v>
      </c>
      <c r="H31" s="109">
        <v>8.7361113089455631E-3</v>
      </c>
      <c r="I31" s="104"/>
      <c r="J31" s="105"/>
      <c r="K31" s="106"/>
      <c r="L31" s="107"/>
      <c r="M31" s="107"/>
      <c r="N31" s="108"/>
      <c r="O31" s="150"/>
      <c r="P31" s="154"/>
      <c r="Q31" s="104"/>
      <c r="R31" s="105"/>
      <c r="S31" s="106"/>
      <c r="T31" s="107"/>
      <c r="U31" s="107"/>
      <c r="V31" s="108"/>
      <c r="W31" s="150"/>
      <c r="X31" s="150"/>
      <c r="Y31" s="104"/>
      <c r="Z31" s="157"/>
      <c r="AA31" s="106"/>
      <c r="AB31" s="107" t="s">
        <v>293</v>
      </c>
      <c r="AC31" s="107" t="s">
        <v>388</v>
      </c>
      <c r="AD31" s="108" t="s">
        <v>382</v>
      </c>
      <c r="AE31" s="109" t="s">
        <v>100</v>
      </c>
      <c r="AF31" s="181">
        <v>0.05</v>
      </c>
      <c r="AG31" s="183">
        <v>3.84</v>
      </c>
      <c r="AH31" s="160">
        <v>258203.75</v>
      </c>
      <c r="AI31" s="161">
        <v>1.2844261698708661E-5</v>
      </c>
      <c r="AJ31" s="107"/>
      <c r="AK31" s="107"/>
      <c r="AL31" s="108"/>
      <c r="AM31" s="109"/>
      <c r="AN31" s="109"/>
      <c r="AO31" s="104"/>
      <c r="AP31" s="105"/>
      <c r="AQ31" s="106"/>
      <c r="AR31" s="107"/>
      <c r="AS31" s="107"/>
      <c r="AT31" s="108"/>
      <c r="AU31" s="106"/>
      <c r="AV31" s="106"/>
      <c r="AW31" s="104"/>
      <c r="AX31" s="105"/>
      <c r="AY31" s="106"/>
      <c r="AZ31" s="107"/>
      <c r="BA31" s="107"/>
      <c r="BB31" s="108"/>
      <c r="BC31" s="109"/>
      <c r="BD31" s="109"/>
      <c r="BE31" s="104"/>
      <c r="BF31" s="105"/>
      <c r="BG31" s="106"/>
      <c r="BH31" s="107"/>
      <c r="BI31" s="107"/>
      <c r="BJ31" s="108"/>
      <c r="BK31" s="109"/>
      <c r="BL31" s="109"/>
      <c r="BM31" s="104"/>
      <c r="BN31" s="105"/>
      <c r="BO31" s="106"/>
      <c r="BP31" s="107"/>
      <c r="BQ31" s="107"/>
      <c r="BR31" s="108"/>
      <c r="BS31" s="109"/>
      <c r="BT31" s="109"/>
      <c r="BU31" s="104"/>
      <c r="BV31" s="105"/>
      <c r="BW31" s="106"/>
      <c r="BX31" s="107"/>
      <c r="BY31" s="107"/>
      <c r="BZ31" s="108"/>
      <c r="CA31" s="109"/>
      <c r="CC31" s="12"/>
      <c r="CD31" s="12"/>
      <c r="CF31" s="12"/>
      <c r="CG31" s="12"/>
      <c r="CJ31" s="12"/>
      <c r="CM31" s="12"/>
      <c r="CO31" s="12"/>
      <c r="CR31" s="12"/>
      <c r="CY31" s="12"/>
      <c r="CZ31" s="12"/>
      <c r="DB31" s="12"/>
      <c r="DC31" s="12"/>
      <c r="DD31" s="12"/>
      <c r="DF31" s="12"/>
      <c r="DG31" s="12"/>
      <c r="DI31" s="12"/>
      <c r="DM31" s="12"/>
      <c r="DN31" s="12"/>
      <c r="DR31" s="12"/>
      <c r="DX31" s="12"/>
      <c r="DY31" s="12"/>
      <c r="EA31" s="12"/>
      <c r="EB31" s="12"/>
      <c r="EC31" s="12"/>
      <c r="ED31" s="12"/>
      <c r="EF31" s="12"/>
      <c r="EG31" s="12"/>
      <c r="EH31" s="12"/>
      <c r="EM31" s="12"/>
      <c r="ER31" s="12"/>
      <c r="EW31" s="12"/>
      <c r="EX31" s="12"/>
      <c r="EZ31" s="12"/>
      <c r="FA31" s="12"/>
      <c r="FC31" s="12"/>
      <c r="FD31" s="12"/>
      <c r="FF31" s="12"/>
      <c r="FG31" s="12"/>
      <c r="FL31" s="12"/>
      <c r="FM31" s="12"/>
      <c r="FR31" s="12"/>
      <c r="FV31" s="12"/>
      <c r="FW31" s="12"/>
      <c r="FY31" s="12"/>
      <c r="FZ31" s="12"/>
      <c r="GC31" s="12"/>
      <c r="GD31" s="12"/>
      <c r="GF31" s="12"/>
      <c r="GG31" s="12"/>
      <c r="GK31" s="12"/>
      <c r="GM31" s="12"/>
      <c r="GR31" s="12"/>
    </row>
    <row r="32" spans="1:200" x14ac:dyDescent="0.2">
      <c r="A32" s="104" t="s">
        <v>231</v>
      </c>
      <c r="B32" s="105" t="s">
        <v>142</v>
      </c>
      <c r="C32" s="106" t="s">
        <v>156</v>
      </c>
      <c r="D32" s="107" t="s">
        <v>99</v>
      </c>
      <c r="E32" s="107">
        <v>0.2</v>
      </c>
      <c r="F32" s="181">
        <v>4.07</v>
      </c>
      <c r="G32" s="154">
        <v>26972790</v>
      </c>
      <c r="H32" s="109">
        <v>1.3417526626802599E-3</v>
      </c>
      <c r="I32" s="104"/>
      <c r="J32" s="105"/>
      <c r="K32" s="106"/>
      <c r="L32" s="107"/>
      <c r="M32" s="107"/>
      <c r="N32" s="108"/>
      <c r="O32" s="150"/>
      <c r="P32" s="154"/>
      <c r="Q32" s="104"/>
      <c r="R32" s="105"/>
      <c r="S32" s="106"/>
      <c r="T32" s="107"/>
      <c r="U32" s="107"/>
      <c r="V32" s="108"/>
      <c r="W32" s="150"/>
      <c r="X32" s="150"/>
      <c r="Y32" s="104"/>
      <c r="Z32" s="157"/>
      <c r="AA32" s="106"/>
      <c r="AB32" s="107" t="s">
        <v>293</v>
      </c>
      <c r="AC32" s="107" t="s">
        <v>388</v>
      </c>
      <c r="AD32" s="108" t="s">
        <v>382</v>
      </c>
      <c r="AE32" s="109" t="s">
        <v>100</v>
      </c>
      <c r="AF32" s="181">
        <v>0.09</v>
      </c>
      <c r="AG32" s="183">
        <v>3.96</v>
      </c>
      <c r="AH32" s="160">
        <v>76929.23</v>
      </c>
      <c r="AI32" s="161">
        <v>3.8268194221329002E-6</v>
      </c>
      <c r="AJ32" s="107"/>
      <c r="AK32" s="107"/>
      <c r="AL32" s="108"/>
      <c r="AM32" s="109"/>
      <c r="AN32" s="109"/>
      <c r="AO32" s="104"/>
      <c r="AP32" s="105"/>
      <c r="AQ32" s="106"/>
      <c r="AR32" s="107"/>
      <c r="AS32" s="107"/>
      <c r="AT32" s="108"/>
      <c r="AU32" s="106"/>
      <c r="AV32" s="106"/>
      <c r="AW32" s="104"/>
      <c r="AX32" s="105"/>
      <c r="AY32" s="106"/>
      <c r="AZ32" s="107"/>
      <c r="BA32" s="107"/>
      <c r="BB32" s="108"/>
      <c r="BC32" s="109"/>
      <c r="BD32" s="109"/>
      <c r="BE32" s="104"/>
      <c r="BF32" s="105"/>
      <c r="BG32" s="106"/>
      <c r="BH32" s="107"/>
      <c r="BI32" s="107"/>
      <c r="BJ32" s="108"/>
      <c r="BK32" s="109"/>
      <c r="BL32" s="109"/>
      <c r="BM32" s="104"/>
      <c r="BN32" s="105"/>
      <c r="BO32" s="106"/>
      <c r="BP32" s="107"/>
      <c r="BQ32" s="107"/>
      <c r="BR32" s="108"/>
      <c r="BS32" s="109"/>
      <c r="BT32" s="109"/>
      <c r="BU32" s="104"/>
      <c r="BV32" s="105"/>
      <c r="BW32" s="106"/>
      <c r="BX32" s="107"/>
      <c r="BY32" s="107"/>
      <c r="BZ32" s="108"/>
      <c r="CA32" s="109"/>
      <c r="CC32" s="12"/>
      <c r="CD32" s="12"/>
      <c r="CF32" s="12"/>
      <c r="CG32" s="12"/>
      <c r="CJ32" s="12"/>
      <c r="CM32" s="12"/>
      <c r="CO32" s="12"/>
      <c r="CR32" s="12"/>
      <c r="CY32" s="12"/>
      <c r="CZ32" s="12"/>
      <c r="DB32" s="12"/>
      <c r="DC32" s="12"/>
      <c r="DD32" s="12"/>
      <c r="DF32" s="12"/>
      <c r="DG32" s="12"/>
      <c r="DI32" s="12"/>
      <c r="DM32" s="12"/>
      <c r="DN32" s="12"/>
      <c r="DR32" s="12"/>
      <c r="DX32" s="12"/>
      <c r="DY32" s="12"/>
      <c r="EA32" s="12"/>
      <c r="EB32" s="12"/>
      <c r="EC32" s="12"/>
      <c r="ED32" s="12"/>
      <c r="EF32" s="12"/>
      <c r="EG32" s="12"/>
      <c r="EH32" s="12"/>
      <c r="EM32" s="12"/>
      <c r="ER32" s="12"/>
      <c r="EW32" s="12"/>
      <c r="EX32" s="12"/>
      <c r="EZ32" s="12"/>
      <c r="FA32" s="12"/>
      <c r="FC32" s="12"/>
      <c r="FD32" s="12"/>
      <c r="FF32" s="12"/>
      <c r="FG32" s="12"/>
      <c r="FL32" s="12"/>
      <c r="FM32" s="12"/>
      <c r="FR32" s="12"/>
      <c r="FV32" s="12"/>
      <c r="FW32" s="12"/>
      <c r="FY32" s="12"/>
      <c r="FZ32" s="12"/>
      <c r="GC32" s="12"/>
      <c r="GD32" s="12"/>
      <c r="GF32" s="12"/>
      <c r="GG32" s="12"/>
      <c r="GK32" s="12"/>
      <c r="GM32" s="12"/>
      <c r="GR32" s="12"/>
    </row>
    <row r="33" spans="1:200" x14ac:dyDescent="0.2">
      <c r="A33" s="104" t="s">
        <v>235</v>
      </c>
      <c r="B33" s="105" t="s">
        <v>142</v>
      </c>
      <c r="C33" s="106" t="s">
        <v>209</v>
      </c>
      <c r="D33" s="107" t="s">
        <v>99</v>
      </c>
      <c r="E33" s="107">
        <v>1.54</v>
      </c>
      <c r="F33" s="181">
        <v>1.93</v>
      </c>
      <c r="G33" s="154">
        <v>546212558</v>
      </c>
      <c r="H33" s="109">
        <v>2.7171165981935717E-2</v>
      </c>
      <c r="I33" s="104"/>
      <c r="J33" s="105"/>
      <c r="K33" s="106"/>
      <c r="L33" s="107"/>
      <c r="M33" s="107"/>
      <c r="N33" s="108"/>
      <c r="O33" s="150"/>
      <c r="P33" s="154"/>
      <c r="Q33" s="104"/>
      <c r="R33" s="105"/>
      <c r="S33" s="106"/>
      <c r="T33" s="107"/>
      <c r="U33" s="107"/>
      <c r="V33" s="108"/>
      <c r="W33" s="150"/>
      <c r="X33" s="150"/>
      <c r="Y33" s="104"/>
      <c r="Z33" s="157"/>
      <c r="AA33" s="106"/>
      <c r="AB33" s="107" t="s">
        <v>293</v>
      </c>
      <c r="AC33" s="107" t="s">
        <v>388</v>
      </c>
      <c r="AD33" s="108" t="s">
        <v>382</v>
      </c>
      <c r="AE33" s="109" t="s">
        <v>100</v>
      </c>
      <c r="AF33" s="181">
        <v>0.11</v>
      </c>
      <c r="AG33" s="183">
        <v>3.84</v>
      </c>
      <c r="AH33" s="160">
        <v>115543.15</v>
      </c>
      <c r="AI33" s="161">
        <v>5.7476562494102918E-6</v>
      </c>
      <c r="AJ33" s="107"/>
      <c r="AK33" s="107"/>
      <c r="AL33" s="108"/>
      <c r="AM33" s="109"/>
      <c r="AN33" s="109"/>
      <c r="AO33" s="104"/>
      <c r="AP33" s="105"/>
      <c r="AQ33" s="106"/>
      <c r="AR33" s="107"/>
      <c r="AS33" s="107"/>
      <c r="AT33" s="108"/>
      <c r="AU33" s="106"/>
      <c r="AV33" s="106"/>
      <c r="AW33" s="104"/>
      <c r="AX33" s="105"/>
      <c r="AY33" s="106"/>
      <c r="AZ33" s="107"/>
      <c r="BA33" s="107"/>
      <c r="BB33" s="108"/>
      <c r="BC33" s="109"/>
      <c r="BD33" s="109"/>
      <c r="BE33" s="104"/>
      <c r="BF33" s="105"/>
      <c r="BG33" s="106"/>
      <c r="BH33" s="107"/>
      <c r="BI33" s="107"/>
      <c r="BJ33" s="108"/>
      <c r="BK33" s="109"/>
      <c r="BL33" s="109"/>
      <c r="BM33" s="104"/>
      <c r="BN33" s="105"/>
      <c r="BO33" s="106"/>
      <c r="BP33" s="107"/>
      <c r="BQ33" s="107"/>
      <c r="BR33" s="108"/>
      <c r="BS33" s="109"/>
      <c r="BT33" s="109"/>
      <c r="BU33" s="104"/>
      <c r="BV33" s="105"/>
      <c r="BW33" s="106"/>
      <c r="BX33" s="107"/>
      <c r="BY33" s="107"/>
      <c r="BZ33" s="108"/>
      <c r="CA33" s="109"/>
      <c r="CC33" s="12"/>
      <c r="CD33" s="12"/>
      <c r="CF33" s="12"/>
      <c r="CG33" s="12"/>
      <c r="CJ33" s="12"/>
      <c r="CM33" s="12"/>
      <c r="CO33" s="12"/>
      <c r="CR33" s="12"/>
      <c r="CY33" s="12"/>
      <c r="CZ33" s="12"/>
      <c r="DB33" s="12"/>
      <c r="DC33" s="12"/>
      <c r="DD33" s="12"/>
      <c r="DF33" s="12"/>
      <c r="DG33" s="12"/>
      <c r="DI33" s="12"/>
      <c r="DM33" s="12"/>
      <c r="DN33" s="12"/>
      <c r="DR33" s="12"/>
      <c r="DX33" s="12"/>
      <c r="DY33" s="12"/>
      <c r="EA33" s="12"/>
      <c r="EB33" s="12"/>
      <c r="EC33" s="12"/>
      <c r="ED33" s="12"/>
      <c r="EF33" s="12"/>
      <c r="EG33" s="12"/>
      <c r="EH33" s="12"/>
      <c r="EM33" s="12"/>
      <c r="ER33" s="12"/>
      <c r="EW33" s="12"/>
      <c r="EX33" s="12"/>
      <c r="EZ33" s="12"/>
      <c r="FA33" s="12"/>
      <c r="FC33" s="12"/>
      <c r="FD33" s="12"/>
      <c r="FF33" s="12"/>
      <c r="FG33" s="12"/>
      <c r="FL33" s="12"/>
      <c r="FM33" s="12"/>
      <c r="FR33" s="12"/>
      <c r="FV33" s="12"/>
      <c r="FW33" s="12"/>
      <c r="FY33" s="12"/>
      <c r="FZ33" s="12"/>
      <c r="GC33" s="12"/>
      <c r="GD33" s="12"/>
      <c r="GF33" s="12"/>
      <c r="GG33" s="12"/>
      <c r="GK33" s="12"/>
      <c r="GM33" s="12"/>
      <c r="GR33" s="12"/>
    </row>
    <row r="34" spans="1:200" x14ac:dyDescent="0.2">
      <c r="A34" s="104" t="s">
        <v>235</v>
      </c>
      <c r="B34" s="105" t="s">
        <v>142</v>
      </c>
      <c r="C34" s="106" t="s">
        <v>209</v>
      </c>
      <c r="D34" s="107" t="s">
        <v>99</v>
      </c>
      <c r="E34" s="107">
        <v>0.42</v>
      </c>
      <c r="F34" s="181">
        <v>2.17</v>
      </c>
      <c r="G34" s="154">
        <v>344523526</v>
      </c>
      <c r="H34" s="109">
        <v>1.7138210706659999E-2</v>
      </c>
      <c r="I34" s="104"/>
      <c r="J34" s="105"/>
      <c r="K34" s="106"/>
      <c r="L34" s="107"/>
      <c r="M34" s="107"/>
      <c r="N34" s="108"/>
      <c r="O34" s="150"/>
      <c r="P34" s="154"/>
      <c r="Q34" s="104"/>
      <c r="R34" s="105"/>
      <c r="S34" s="106"/>
      <c r="T34" s="107"/>
      <c r="U34" s="107"/>
      <c r="V34" s="108"/>
      <c r="W34" s="150"/>
      <c r="X34" s="150"/>
      <c r="Y34" s="104"/>
      <c r="Z34" s="157"/>
      <c r="AA34" s="106"/>
      <c r="AB34" s="107" t="s">
        <v>293</v>
      </c>
      <c r="AC34" s="107" t="s">
        <v>388</v>
      </c>
      <c r="AD34" s="108" t="s">
        <v>382</v>
      </c>
      <c r="AE34" s="109" t="s">
        <v>100</v>
      </c>
      <c r="AF34" s="181">
        <v>0.13</v>
      </c>
      <c r="AG34" s="183">
        <v>3.84</v>
      </c>
      <c r="AH34" s="160">
        <v>153653.16</v>
      </c>
      <c r="AI34" s="161">
        <v>7.6434265660047455E-6</v>
      </c>
      <c r="AJ34" s="107"/>
      <c r="AK34" s="107"/>
      <c r="AL34" s="108"/>
      <c r="AM34" s="109"/>
      <c r="AN34" s="109"/>
      <c r="AO34" s="104"/>
      <c r="AP34" s="105"/>
      <c r="AQ34" s="106"/>
      <c r="AR34" s="107"/>
      <c r="AS34" s="107"/>
      <c r="AT34" s="108"/>
      <c r="AU34" s="106"/>
      <c r="AV34" s="106"/>
      <c r="AW34" s="104"/>
      <c r="AX34" s="105"/>
      <c r="AY34" s="106"/>
      <c r="AZ34" s="107"/>
      <c r="BA34" s="107"/>
      <c r="BB34" s="108"/>
      <c r="BC34" s="109"/>
      <c r="BD34" s="109"/>
      <c r="BE34" s="104"/>
      <c r="BF34" s="105"/>
      <c r="BG34" s="106"/>
      <c r="BH34" s="107"/>
      <c r="BI34" s="107"/>
      <c r="BJ34" s="108"/>
      <c r="BK34" s="109"/>
      <c r="BL34" s="109"/>
      <c r="BM34" s="104"/>
      <c r="BN34" s="105"/>
      <c r="BO34" s="106"/>
      <c r="BP34" s="107"/>
      <c r="BQ34" s="107"/>
      <c r="BR34" s="108"/>
      <c r="BS34" s="109"/>
      <c r="BT34" s="109"/>
      <c r="BU34" s="104"/>
      <c r="BV34" s="105"/>
      <c r="BW34" s="106"/>
      <c r="BX34" s="107"/>
      <c r="BY34" s="107"/>
      <c r="BZ34" s="108"/>
      <c r="CA34" s="109"/>
      <c r="CC34" s="12"/>
      <c r="CD34" s="12"/>
      <c r="CF34" s="12"/>
      <c r="CG34" s="12"/>
      <c r="CJ34" s="12"/>
      <c r="CM34" s="12"/>
      <c r="CO34" s="12"/>
      <c r="CR34" s="12"/>
      <c r="CY34" s="12"/>
      <c r="CZ34" s="12"/>
      <c r="DB34" s="12"/>
      <c r="DC34" s="12"/>
      <c r="DD34" s="12"/>
      <c r="DF34" s="12"/>
      <c r="DG34" s="12"/>
      <c r="DI34" s="12"/>
      <c r="DM34" s="12"/>
      <c r="DN34" s="12"/>
      <c r="DR34" s="12"/>
      <c r="DX34" s="12"/>
      <c r="DY34" s="12"/>
      <c r="EA34" s="12"/>
      <c r="EB34" s="12"/>
      <c r="EC34" s="12"/>
      <c r="ED34" s="12"/>
      <c r="EF34" s="12"/>
      <c r="EG34" s="12"/>
      <c r="EH34" s="12"/>
      <c r="EM34" s="12"/>
      <c r="ER34" s="12"/>
      <c r="EW34" s="12"/>
      <c r="EX34" s="12"/>
      <c r="EZ34" s="12"/>
      <c r="FA34" s="12"/>
      <c r="FC34" s="12"/>
      <c r="FD34" s="12"/>
      <c r="FF34" s="12"/>
      <c r="FG34" s="12"/>
      <c r="FL34" s="12"/>
      <c r="FM34" s="12"/>
      <c r="FR34" s="12"/>
      <c r="FV34" s="12"/>
      <c r="FW34" s="12"/>
      <c r="FY34" s="12"/>
      <c r="FZ34" s="12"/>
      <c r="GC34" s="12"/>
      <c r="GD34" s="12"/>
      <c r="GF34" s="12"/>
      <c r="GG34" s="12"/>
      <c r="GK34" s="12"/>
      <c r="GM34" s="12"/>
      <c r="GR34" s="12"/>
    </row>
    <row r="35" spans="1:200" x14ac:dyDescent="0.2">
      <c r="A35" s="104" t="s">
        <v>235</v>
      </c>
      <c r="B35" s="105" t="s">
        <v>142</v>
      </c>
      <c r="C35" s="106" t="s">
        <v>209</v>
      </c>
      <c r="D35" s="107" t="s">
        <v>99</v>
      </c>
      <c r="E35" s="107">
        <v>1.39</v>
      </c>
      <c r="F35" s="181">
        <v>1.92</v>
      </c>
      <c r="G35" s="154">
        <v>134405751</v>
      </c>
      <c r="H35" s="109">
        <v>6.6859703532259739E-3</v>
      </c>
      <c r="I35" s="104"/>
      <c r="J35" s="105"/>
      <c r="K35" s="106"/>
      <c r="L35" s="107"/>
      <c r="M35" s="107"/>
      <c r="N35" s="108"/>
      <c r="O35" s="150"/>
      <c r="P35" s="154"/>
      <c r="Q35" s="104"/>
      <c r="R35" s="105"/>
      <c r="S35" s="106"/>
      <c r="T35" s="107"/>
      <c r="U35" s="107"/>
      <c r="V35" s="108"/>
      <c r="W35" s="150"/>
      <c r="X35" s="150"/>
      <c r="Y35" s="104"/>
      <c r="Z35" s="157"/>
      <c r="AA35" s="106"/>
      <c r="AB35" s="107" t="s">
        <v>293</v>
      </c>
      <c r="AC35" s="107" t="s">
        <v>388</v>
      </c>
      <c r="AD35" s="108" t="s">
        <v>382</v>
      </c>
      <c r="AE35" s="109" t="s">
        <v>100</v>
      </c>
      <c r="AF35" s="181">
        <v>0.2</v>
      </c>
      <c r="AG35" s="183">
        <v>3.84</v>
      </c>
      <c r="AH35" s="160">
        <v>76593.289999999994</v>
      </c>
      <c r="AI35" s="161">
        <v>3.8101084199854092E-6</v>
      </c>
      <c r="AJ35" s="107"/>
      <c r="AK35" s="107"/>
      <c r="AL35" s="108"/>
      <c r="AM35" s="109"/>
      <c r="AN35" s="109"/>
      <c r="AO35" s="104"/>
      <c r="AP35" s="105"/>
      <c r="AQ35" s="106"/>
      <c r="AR35" s="107"/>
      <c r="AS35" s="107"/>
      <c r="AT35" s="108"/>
      <c r="AU35" s="106"/>
      <c r="AV35" s="106"/>
      <c r="AW35" s="104"/>
      <c r="AX35" s="105"/>
      <c r="AY35" s="106"/>
      <c r="AZ35" s="107"/>
      <c r="BA35" s="107"/>
      <c r="BB35" s="108"/>
      <c r="BC35" s="109"/>
      <c r="BD35" s="109"/>
      <c r="BE35" s="104"/>
      <c r="BF35" s="105"/>
      <c r="BG35" s="106"/>
      <c r="BH35" s="107"/>
      <c r="BI35" s="107"/>
      <c r="BJ35" s="108"/>
      <c r="BK35" s="109"/>
      <c r="BL35" s="109"/>
      <c r="BM35" s="104"/>
      <c r="BN35" s="105"/>
      <c r="BO35" s="106"/>
      <c r="BP35" s="107"/>
      <c r="BQ35" s="107"/>
      <c r="BR35" s="108"/>
      <c r="BS35" s="109"/>
      <c r="BT35" s="109"/>
      <c r="BU35" s="104"/>
      <c r="BV35" s="105"/>
      <c r="BW35" s="106"/>
      <c r="BX35" s="107"/>
      <c r="BY35" s="107"/>
      <c r="BZ35" s="108"/>
      <c r="CA35" s="109"/>
      <c r="CC35" s="12"/>
      <c r="CD35" s="12"/>
      <c r="CF35" s="12"/>
      <c r="CG35" s="12"/>
      <c r="CJ35" s="12"/>
      <c r="CM35" s="12"/>
      <c r="CO35" s="12"/>
      <c r="CR35" s="12"/>
      <c r="CY35" s="12"/>
      <c r="CZ35" s="12"/>
      <c r="DB35" s="12"/>
      <c r="DC35" s="12"/>
      <c r="DD35" s="12"/>
      <c r="DF35" s="12"/>
      <c r="DG35" s="12"/>
      <c r="DI35" s="12"/>
      <c r="DM35" s="12"/>
      <c r="DN35" s="12"/>
      <c r="DR35" s="12"/>
      <c r="DX35" s="12"/>
      <c r="DY35" s="12"/>
      <c r="EA35" s="12"/>
      <c r="EB35" s="12"/>
      <c r="EC35" s="12"/>
      <c r="ED35" s="12"/>
      <c r="EF35" s="12"/>
      <c r="EG35" s="12"/>
      <c r="EH35" s="12"/>
      <c r="EM35" s="12"/>
      <c r="ER35" s="12"/>
      <c r="EW35" s="12"/>
      <c r="EX35" s="12"/>
      <c r="EZ35" s="12"/>
      <c r="FA35" s="12"/>
      <c r="FC35" s="12"/>
      <c r="FD35" s="12"/>
      <c r="FF35" s="12"/>
      <c r="FG35" s="12"/>
      <c r="FL35" s="12"/>
      <c r="FM35" s="12"/>
      <c r="FR35" s="12"/>
      <c r="FV35" s="12"/>
      <c r="FW35" s="12"/>
      <c r="FY35" s="12"/>
      <c r="FZ35" s="12"/>
      <c r="GC35" s="12"/>
      <c r="GD35" s="12"/>
      <c r="GF35" s="12"/>
      <c r="GG35" s="12"/>
      <c r="GK35" s="12"/>
      <c r="GM35" s="12"/>
      <c r="GR35" s="12"/>
    </row>
    <row r="36" spans="1:200" x14ac:dyDescent="0.2">
      <c r="A36" s="104" t="s">
        <v>235</v>
      </c>
      <c r="B36" s="105" t="s">
        <v>142</v>
      </c>
      <c r="C36" s="106" t="s">
        <v>209</v>
      </c>
      <c r="D36" s="107" t="s">
        <v>99</v>
      </c>
      <c r="E36" s="107">
        <v>4.58</v>
      </c>
      <c r="F36" s="181">
        <v>2</v>
      </c>
      <c r="G36" s="154">
        <v>253049563</v>
      </c>
      <c r="H36" s="109">
        <v>1.2587868179203049E-2</v>
      </c>
      <c r="I36" s="104"/>
      <c r="J36" s="105"/>
      <c r="K36" s="106"/>
      <c r="L36" s="107"/>
      <c r="M36" s="107"/>
      <c r="N36" s="108"/>
      <c r="O36" s="150"/>
      <c r="P36" s="154"/>
      <c r="Q36" s="104"/>
      <c r="R36" s="105"/>
      <c r="S36" s="106"/>
      <c r="T36" s="107"/>
      <c r="U36" s="107"/>
      <c r="V36" s="108"/>
      <c r="W36" s="150"/>
      <c r="X36" s="150"/>
      <c r="Y36" s="104"/>
      <c r="Z36" s="157"/>
      <c r="AA36" s="106"/>
      <c r="AB36" s="107" t="s">
        <v>293</v>
      </c>
      <c r="AC36" s="107" t="s">
        <v>388</v>
      </c>
      <c r="AD36" s="108" t="s">
        <v>382</v>
      </c>
      <c r="AE36" s="109" t="s">
        <v>100</v>
      </c>
      <c r="AF36" s="181">
        <v>0.26</v>
      </c>
      <c r="AG36" s="183">
        <v>3.96</v>
      </c>
      <c r="AH36" s="160">
        <v>38203.33</v>
      </c>
      <c r="AI36" s="161">
        <v>1.9004122657808129E-6</v>
      </c>
      <c r="AJ36" s="107"/>
      <c r="AK36" s="107"/>
      <c r="AL36" s="108"/>
      <c r="AM36" s="109"/>
      <c r="AN36" s="109"/>
      <c r="AO36" s="104"/>
      <c r="AP36" s="105"/>
      <c r="AQ36" s="106"/>
      <c r="AR36" s="107"/>
      <c r="AS36" s="107"/>
      <c r="AT36" s="108"/>
      <c r="AU36" s="106"/>
      <c r="AV36" s="106"/>
      <c r="AW36" s="104"/>
      <c r="AX36" s="105"/>
      <c r="AY36" s="106"/>
      <c r="AZ36" s="107"/>
      <c r="BA36" s="107"/>
      <c r="BB36" s="108"/>
      <c r="BC36" s="109"/>
      <c r="BD36" s="109"/>
      <c r="BE36" s="104"/>
      <c r="BF36" s="105"/>
      <c r="BG36" s="106"/>
      <c r="BH36" s="107"/>
      <c r="BI36" s="107"/>
      <c r="BJ36" s="108"/>
      <c r="BK36" s="109"/>
      <c r="BL36" s="109"/>
      <c r="BM36" s="104"/>
      <c r="BN36" s="105"/>
      <c r="BO36" s="106"/>
      <c r="BP36" s="107"/>
      <c r="BQ36" s="107"/>
      <c r="BR36" s="108"/>
      <c r="BS36" s="109"/>
      <c r="BT36" s="109"/>
      <c r="BU36" s="104"/>
      <c r="BV36" s="105"/>
      <c r="BW36" s="106"/>
      <c r="BX36" s="107"/>
      <c r="BY36" s="107"/>
      <c r="BZ36" s="108"/>
      <c r="CA36" s="109"/>
      <c r="CC36" s="12"/>
      <c r="CD36" s="12"/>
      <c r="CF36" s="12"/>
      <c r="CG36" s="12"/>
      <c r="CJ36" s="12"/>
      <c r="CM36" s="12"/>
      <c r="CO36" s="12"/>
      <c r="CR36" s="12"/>
      <c r="CY36" s="12"/>
      <c r="CZ36" s="12"/>
      <c r="DB36" s="12"/>
      <c r="DC36" s="12"/>
      <c r="DD36" s="12"/>
      <c r="DF36" s="12"/>
      <c r="DG36" s="12"/>
      <c r="DI36" s="12"/>
      <c r="DM36" s="12"/>
      <c r="DN36" s="12"/>
      <c r="DR36" s="12"/>
      <c r="DX36" s="12"/>
      <c r="DY36" s="12"/>
      <c r="EA36" s="12"/>
      <c r="EB36" s="12"/>
      <c r="EC36" s="12"/>
      <c r="ED36" s="12"/>
      <c r="EF36" s="12"/>
      <c r="EG36" s="12"/>
      <c r="EH36" s="12"/>
      <c r="EM36" s="12"/>
      <c r="ER36" s="12"/>
      <c r="EW36" s="12"/>
      <c r="EX36" s="12"/>
      <c r="EZ36" s="12"/>
      <c r="FA36" s="12"/>
      <c r="FC36" s="12"/>
      <c r="FD36" s="12"/>
      <c r="FF36" s="12"/>
      <c r="FG36" s="12"/>
      <c r="FL36" s="12"/>
      <c r="FM36" s="12"/>
      <c r="FR36" s="12"/>
      <c r="FV36" s="12"/>
      <c r="FW36" s="12"/>
      <c r="FY36" s="12"/>
      <c r="FZ36" s="12"/>
      <c r="GC36" s="12"/>
      <c r="GD36" s="12"/>
      <c r="GF36" s="12"/>
      <c r="GG36" s="12"/>
      <c r="GK36" s="12"/>
      <c r="GM36" s="12"/>
      <c r="GR36" s="12"/>
    </row>
    <row r="37" spans="1:200" x14ac:dyDescent="0.2">
      <c r="A37" s="104" t="s">
        <v>244</v>
      </c>
      <c r="B37" s="105" t="s">
        <v>142</v>
      </c>
      <c r="C37" s="106" t="s">
        <v>156</v>
      </c>
      <c r="D37" s="107" t="s">
        <v>99</v>
      </c>
      <c r="E37" s="107">
        <v>1.43</v>
      </c>
      <c r="F37" s="181">
        <v>2.3199999999999998</v>
      </c>
      <c r="G37" s="154">
        <v>53803835</v>
      </c>
      <c r="H37" s="109">
        <v>2.6764542664536877E-3</v>
      </c>
      <c r="I37" s="104"/>
      <c r="J37" s="105"/>
      <c r="K37" s="106"/>
      <c r="L37" s="107"/>
      <c r="M37" s="107"/>
      <c r="N37" s="108"/>
      <c r="O37" s="150"/>
      <c r="P37" s="154"/>
      <c r="Q37" s="104"/>
      <c r="R37" s="105"/>
      <c r="S37" s="106"/>
      <c r="T37" s="107"/>
      <c r="U37" s="107"/>
      <c r="V37" s="108"/>
      <c r="W37" s="150"/>
      <c r="X37" s="150"/>
      <c r="Y37" s="104"/>
      <c r="Z37" s="157"/>
      <c r="AA37" s="106"/>
      <c r="AB37" s="107" t="s">
        <v>293</v>
      </c>
      <c r="AC37" s="107" t="s">
        <v>388</v>
      </c>
      <c r="AD37" s="108" t="s">
        <v>382</v>
      </c>
      <c r="AE37" s="109" t="s">
        <v>100</v>
      </c>
      <c r="AF37" s="181">
        <v>0.3</v>
      </c>
      <c r="AG37" s="183">
        <v>3.96</v>
      </c>
      <c r="AH37" s="160">
        <v>190680.72</v>
      </c>
      <c r="AI37" s="161">
        <v>9.4853503267565735E-6</v>
      </c>
      <c r="AJ37" s="107"/>
      <c r="AK37" s="107"/>
      <c r="AL37" s="108"/>
      <c r="AM37" s="109"/>
      <c r="AN37" s="109"/>
      <c r="AO37" s="104"/>
      <c r="AP37" s="105"/>
      <c r="AQ37" s="106"/>
      <c r="AR37" s="107"/>
      <c r="AS37" s="107"/>
      <c r="AT37" s="108"/>
      <c r="AU37" s="107"/>
      <c r="AV37" s="107"/>
      <c r="AW37" s="104"/>
      <c r="AX37" s="105"/>
      <c r="AY37" s="106"/>
      <c r="AZ37" s="107"/>
      <c r="BA37" s="107"/>
      <c r="BB37" s="108"/>
      <c r="BC37" s="109"/>
      <c r="BD37" s="109"/>
      <c r="BE37" s="104"/>
      <c r="BF37" s="105"/>
      <c r="BG37" s="106"/>
      <c r="BH37" s="107"/>
      <c r="BI37" s="107"/>
      <c r="BJ37" s="108"/>
      <c r="BK37" s="109"/>
      <c r="BL37" s="109"/>
      <c r="BM37" s="104"/>
      <c r="BN37" s="105"/>
      <c r="BO37" s="106"/>
      <c r="BP37" s="107"/>
      <c r="BQ37" s="107"/>
      <c r="BR37" s="108"/>
      <c r="BS37" s="109"/>
      <c r="BT37" s="109"/>
      <c r="BU37" s="104"/>
      <c r="BV37" s="105"/>
      <c r="BW37" s="106"/>
      <c r="BX37" s="107"/>
      <c r="BY37" s="107"/>
      <c r="BZ37" s="108"/>
      <c r="CA37" s="109"/>
      <c r="CC37" s="12"/>
      <c r="CD37" s="12"/>
      <c r="CF37" s="12"/>
      <c r="CG37" s="12"/>
      <c r="CJ37" s="12"/>
      <c r="CM37" s="12"/>
      <c r="CO37" s="12"/>
      <c r="CR37" s="12"/>
      <c r="CY37" s="12"/>
      <c r="CZ37" s="12"/>
      <c r="DB37" s="12"/>
      <c r="DC37" s="12"/>
      <c r="DD37" s="12"/>
      <c r="DF37" s="12"/>
      <c r="DG37" s="12"/>
      <c r="DI37" s="12"/>
      <c r="DM37" s="12"/>
      <c r="DN37" s="12"/>
      <c r="DR37" s="12"/>
      <c r="DX37" s="12"/>
      <c r="DY37" s="12"/>
      <c r="EA37" s="12"/>
      <c r="EB37" s="12"/>
      <c r="EC37" s="12"/>
      <c r="ED37" s="12"/>
      <c r="EF37" s="12"/>
      <c r="EG37" s="12"/>
      <c r="EH37" s="12"/>
      <c r="EM37" s="12"/>
      <c r="ER37" s="12"/>
      <c r="EW37" s="12"/>
      <c r="EX37" s="12"/>
      <c r="EZ37" s="12"/>
      <c r="FA37" s="12"/>
      <c r="FC37" s="12"/>
      <c r="FD37" s="12"/>
      <c r="FF37" s="12"/>
      <c r="FG37" s="12"/>
      <c r="FL37" s="12"/>
      <c r="FM37" s="12"/>
      <c r="FR37" s="12"/>
      <c r="FV37" s="12"/>
      <c r="FW37" s="12"/>
      <c r="FY37" s="12"/>
      <c r="FZ37" s="12"/>
      <c r="GC37" s="12"/>
      <c r="GD37" s="12"/>
      <c r="GF37" s="12"/>
      <c r="GG37" s="12"/>
      <c r="GK37" s="12"/>
      <c r="GM37" s="12"/>
      <c r="GR37" s="12"/>
    </row>
    <row r="38" spans="1:200" x14ac:dyDescent="0.2">
      <c r="A38" s="104" t="s">
        <v>244</v>
      </c>
      <c r="B38" s="105" t="s">
        <v>142</v>
      </c>
      <c r="C38" s="106" t="s">
        <v>156</v>
      </c>
      <c r="D38" s="107" t="s">
        <v>99</v>
      </c>
      <c r="E38" s="107">
        <v>1.32</v>
      </c>
      <c r="F38" s="181">
        <v>2.19</v>
      </c>
      <c r="G38" s="154">
        <v>343820413</v>
      </c>
      <c r="H38" s="109">
        <v>1.7103234579239918E-2</v>
      </c>
      <c r="I38" s="104"/>
      <c r="J38" s="105"/>
      <c r="K38" s="106"/>
      <c r="L38" s="107"/>
      <c r="M38" s="107"/>
      <c r="N38" s="108"/>
      <c r="O38" s="150"/>
      <c r="P38" s="154"/>
      <c r="Q38" s="104"/>
      <c r="R38" s="105"/>
      <c r="S38" s="106"/>
      <c r="T38" s="107"/>
      <c r="U38" s="107"/>
      <c r="V38" s="108"/>
      <c r="W38" s="150"/>
      <c r="X38" s="150"/>
      <c r="Y38" s="104"/>
      <c r="Z38" s="157"/>
      <c r="AA38" s="106"/>
      <c r="AB38" s="107" t="s">
        <v>293</v>
      </c>
      <c r="AC38" s="107" t="s">
        <v>388</v>
      </c>
      <c r="AD38" s="108" t="s">
        <v>382</v>
      </c>
      <c r="AE38" s="109" t="s">
        <v>100</v>
      </c>
      <c r="AF38" s="181">
        <v>0.33</v>
      </c>
      <c r="AG38" s="183">
        <v>3.96</v>
      </c>
      <c r="AH38" s="160">
        <v>380913.52</v>
      </c>
      <c r="AI38" s="161">
        <v>1.8948419317316491E-5</v>
      </c>
      <c r="AJ38" s="107"/>
      <c r="AK38" s="107"/>
      <c r="AL38" s="108"/>
      <c r="AM38" s="109"/>
      <c r="AN38" s="109"/>
      <c r="AO38" s="104"/>
      <c r="AP38" s="105"/>
      <c r="AQ38" s="106"/>
      <c r="AR38" s="107"/>
      <c r="AS38" s="107"/>
      <c r="AT38" s="108"/>
      <c r="AU38" s="107"/>
      <c r="AV38" s="107"/>
      <c r="AW38" s="104"/>
      <c r="AX38" s="105"/>
      <c r="AY38" s="106"/>
      <c r="AZ38" s="107"/>
      <c r="BA38" s="107"/>
      <c r="BB38" s="108"/>
      <c r="BC38" s="109"/>
      <c r="BD38" s="109"/>
      <c r="BE38" s="104"/>
      <c r="BF38" s="105"/>
      <c r="BG38" s="106"/>
      <c r="BH38" s="107"/>
      <c r="BI38" s="107"/>
      <c r="BJ38" s="108"/>
      <c r="BK38" s="109"/>
      <c r="BL38" s="109"/>
      <c r="BM38" s="104"/>
      <c r="BN38" s="105"/>
      <c r="BO38" s="106"/>
      <c r="BP38" s="107"/>
      <c r="BQ38" s="107"/>
      <c r="BR38" s="108"/>
      <c r="BS38" s="109"/>
      <c r="BT38" s="109"/>
      <c r="BU38" s="104"/>
      <c r="BV38" s="105"/>
      <c r="BW38" s="106"/>
      <c r="BX38" s="107"/>
      <c r="BY38" s="107"/>
      <c r="BZ38" s="108"/>
      <c r="CA38" s="109"/>
      <c r="CC38" s="12"/>
      <c r="CD38" s="12"/>
      <c r="CF38" s="12"/>
      <c r="CG38" s="12"/>
      <c r="CJ38" s="12"/>
      <c r="CM38" s="12"/>
      <c r="CO38" s="12"/>
      <c r="CR38" s="12"/>
      <c r="CY38" s="12"/>
      <c r="CZ38" s="12"/>
      <c r="DB38" s="12"/>
      <c r="DC38" s="12"/>
      <c r="DD38" s="12"/>
      <c r="DF38" s="12"/>
      <c r="DG38" s="12"/>
      <c r="DI38" s="12"/>
      <c r="DM38" s="12"/>
      <c r="DN38" s="12"/>
      <c r="DR38" s="12"/>
      <c r="DX38" s="12"/>
      <c r="DY38" s="12"/>
      <c r="EA38" s="12"/>
      <c r="EB38" s="12"/>
      <c r="EC38" s="12"/>
      <c r="ED38" s="12"/>
      <c r="EF38" s="12"/>
      <c r="EG38" s="12"/>
      <c r="EH38" s="12"/>
      <c r="EM38" s="12"/>
      <c r="ER38" s="12"/>
      <c r="EW38" s="12"/>
      <c r="EX38" s="12"/>
      <c r="EZ38" s="12"/>
      <c r="FA38" s="12"/>
      <c r="FC38" s="12"/>
      <c r="FD38" s="12"/>
      <c r="FF38" s="12"/>
      <c r="FG38" s="12"/>
      <c r="FL38" s="12"/>
      <c r="FM38" s="12"/>
      <c r="FR38" s="12"/>
      <c r="FV38" s="12"/>
      <c r="FW38" s="12"/>
      <c r="FY38" s="12"/>
      <c r="FZ38" s="12"/>
      <c r="GC38" s="12"/>
      <c r="GD38" s="12"/>
      <c r="GF38" s="12"/>
      <c r="GG38" s="12"/>
      <c r="GK38" s="12"/>
      <c r="GM38" s="12"/>
      <c r="GR38" s="12"/>
    </row>
    <row r="39" spans="1:200" x14ac:dyDescent="0.2">
      <c r="A39" s="104" t="s">
        <v>254</v>
      </c>
      <c r="B39" s="105" t="s">
        <v>142</v>
      </c>
      <c r="C39" s="106" t="s">
        <v>145</v>
      </c>
      <c r="D39" s="107" t="s">
        <v>99</v>
      </c>
      <c r="E39" s="107">
        <v>0.49</v>
      </c>
      <c r="F39" s="181">
        <v>2.27</v>
      </c>
      <c r="G39" s="154">
        <v>13420358</v>
      </c>
      <c r="H39" s="109">
        <v>6.6759134226093513E-4</v>
      </c>
      <c r="I39" s="104"/>
      <c r="J39" s="105"/>
      <c r="K39" s="106"/>
      <c r="L39" s="107"/>
      <c r="M39" s="107"/>
      <c r="N39" s="108"/>
      <c r="O39" s="150"/>
      <c r="P39" s="154"/>
      <c r="Q39" s="104"/>
      <c r="R39" s="105"/>
      <c r="S39" s="106"/>
      <c r="T39" s="107"/>
      <c r="U39" s="107"/>
      <c r="V39" s="108"/>
      <c r="W39" s="150"/>
      <c r="X39" s="150"/>
      <c r="Y39" s="104"/>
      <c r="Z39" s="157"/>
      <c r="AA39" s="106"/>
      <c r="AB39" s="107" t="s">
        <v>293</v>
      </c>
      <c r="AC39" s="107" t="s">
        <v>388</v>
      </c>
      <c r="AD39" s="108" t="s">
        <v>382</v>
      </c>
      <c r="AE39" s="109" t="s">
        <v>100</v>
      </c>
      <c r="AF39" s="181">
        <v>0.6</v>
      </c>
      <c r="AG39" s="183">
        <v>4.08</v>
      </c>
      <c r="AH39" s="160">
        <v>75324.2</v>
      </c>
      <c r="AI39" s="161">
        <v>3.7469779707445329E-6</v>
      </c>
      <c r="AJ39" s="107"/>
      <c r="AK39" s="107"/>
      <c r="AL39" s="108"/>
      <c r="AM39" s="109"/>
      <c r="AN39" s="109"/>
      <c r="AO39" s="104"/>
      <c r="AP39" s="105"/>
      <c r="AQ39" s="106"/>
      <c r="AR39" s="107"/>
      <c r="AS39" s="107"/>
      <c r="AT39" s="108"/>
      <c r="AU39" s="107"/>
      <c r="AV39" s="107"/>
      <c r="AW39" s="104"/>
      <c r="AX39" s="105"/>
      <c r="AY39" s="106"/>
      <c r="AZ39" s="107"/>
      <c r="BA39" s="107"/>
      <c r="BB39" s="108"/>
      <c r="BC39" s="109"/>
      <c r="BD39" s="109"/>
      <c r="BE39" s="104"/>
      <c r="BF39" s="105"/>
      <c r="BG39" s="106"/>
      <c r="BH39" s="107"/>
      <c r="BI39" s="107"/>
      <c r="BJ39" s="108"/>
      <c r="BK39" s="109"/>
      <c r="BL39" s="109"/>
      <c r="BM39" s="104"/>
      <c r="BN39" s="105"/>
      <c r="BO39" s="106"/>
      <c r="BP39" s="107"/>
      <c r="BQ39" s="107"/>
      <c r="BR39" s="108"/>
      <c r="BS39" s="109"/>
      <c r="BT39" s="109"/>
      <c r="BU39" s="104"/>
      <c r="BV39" s="105"/>
      <c r="BW39" s="106"/>
      <c r="BX39" s="107"/>
      <c r="BY39" s="107"/>
      <c r="BZ39" s="108"/>
      <c r="CA39" s="109"/>
      <c r="CC39" s="12"/>
      <c r="CD39" s="12"/>
      <c r="CF39" s="12"/>
      <c r="CG39" s="12"/>
      <c r="CJ39" s="12"/>
      <c r="CM39" s="12"/>
      <c r="CO39" s="12"/>
      <c r="CR39" s="12"/>
      <c r="CY39" s="12"/>
      <c r="CZ39" s="12"/>
      <c r="DB39" s="12"/>
      <c r="DC39" s="12"/>
      <c r="DD39" s="12"/>
      <c r="DF39" s="12"/>
      <c r="DG39" s="12"/>
      <c r="DI39" s="12"/>
      <c r="DM39" s="12"/>
      <c r="DN39" s="12"/>
      <c r="DR39" s="12"/>
      <c r="DX39" s="12"/>
      <c r="DY39" s="12"/>
      <c r="EA39" s="12"/>
      <c r="EB39" s="12"/>
      <c r="EC39" s="12"/>
      <c r="ED39" s="12"/>
      <c r="EF39" s="12"/>
      <c r="EG39" s="12"/>
      <c r="EH39" s="12"/>
      <c r="EM39" s="12"/>
      <c r="ER39" s="12"/>
      <c r="EW39" s="12"/>
      <c r="EX39" s="12"/>
      <c r="EZ39" s="12"/>
      <c r="FA39" s="12"/>
      <c r="FC39" s="12"/>
      <c r="FD39" s="12"/>
      <c r="FF39" s="12"/>
      <c r="FG39" s="12"/>
      <c r="FL39" s="12"/>
      <c r="FM39" s="12"/>
      <c r="FR39" s="12"/>
      <c r="FV39" s="12"/>
      <c r="FW39" s="12"/>
      <c r="FY39" s="12"/>
      <c r="FZ39" s="12"/>
      <c r="GC39" s="12"/>
      <c r="GD39" s="12"/>
      <c r="GF39" s="12"/>
      <c r="GG39" s="12"/>
      <c r="GK39" s="12"/>
      <c r="GM39" s="12"/>
      <c r="GR39" s="12"/>
    </row>
    <row r="40" spans="1:200" x14ac:dyDescent="0.2">
      <c r="A40" s="104" t="s">
        <v>254</v>
      </c>
      <c r="B40" s="105" t="s">
        <v>142</v>
      </c>
      <c r="C40" s="106" t="s">
        <v>145</v>
      </c>
      <c r="D40" s="107" t="s">
        <v>99</v>
      </c>
      <c r="E40" s="107">
        <v>3.31</v>
      </c>
      <c r="F40" s="181">
        <v>1.99</v>
      </c>
      <c r="G40" s="154">
        <v>221165047</v>
      </c>
      <c r="H40" s="109">
        <v>1.1001783304732466E-2</v>
      </c>
      <c r="I40" s="104"/>
      <c r="J40" s="105"/>
      <c r="K40" s="106"/>
      <c r="L40" s="107"/>
      <c r="M40" s="107"/>
      <c r="N40" s="108"/>
      <c r="O40" s="150"/>
      <c r="P40" s="154"/>
      <c r="Q40" s="104"/>
      <c r="R40" s="105"/>
      <c r="S40" s="106"/>
      <c r="T40" s="107"/>
      <c r="U40" s="107"/>
      <c r="V40" s="108"/>
      <c r="W40" s="150"/>
      <c r="X40" s="150"/>
      <c r="Y40" s="104"/>
      <c r="Z40" s="157"/>
      <c r="AA40" s="106"/>
      <c r="AB40" s="107" t="s">
        <v>398</v>
      </c>
      <c r="AC40" s="107" t="s">
        <v>388</v>
      </c>
      <c r="AD40" s="108" t="s">
        <v>145</v>
      </c>
      <c r="AE40" s="109" t="s">
        <v>100</v>
      </c>
      <c r="AF40" s="181">
        <v>7.0000000000000007E-2</v>
      </c>
      <c r="AG40" s="183">
        <v>3.9</v>
      </c>
      <c r="AH40" s="160">
        <v>161678.29</v>
      </c>
      <c r="AI40" s="161">
        <v>8.0426338328955186E-6</v>
      </c>
      <c r="AJ40" s="107"/>
      <c r="AK40" s="107"/>
      <c r="AL40" s="108"/>
      <c r="AM40" s="109"/>
      <c r="AN40" s="109"/>
      <c r="AO40" s="104"/>
      <c r="AP40" s="105"/>
      <c r="AQ40" s="106"/>
      <c r="AR40" s="107"/>
      <c r="AS40" s="107"/>
      <c r="AT40" s="108"/>
      <c r="AU40" s="107"/>
      <c r="AV40" s="107"/>
      <c r="AW40" s="104"/>
      <c r="AX40" s="105"/>
      <c r="AY40" s="106"/>
      <c r="AZ40" s="107"/>
      <c r="BA40" s="107"/>
      <c r="BB40" s="108"/>
      <c r="BC40" s="109"/>
      <c r="BD40" s="109"/>
      <c r="BE40" s="104"/>
      <c r="BF40" s="105"/>
      <c r="BG40" s="106"/>
      <c r="BH40" s="107"/>
      <c r="BI40" s="107"/>
      <c r="BJ40" s="108"/>
      <c r="BK40" s="109"/>
      <c r="BL40" s="109"/>
      <c r="BM40" s="104"/>
      <c r="BN40" s="105"/>
      <c r="BO40" s="106"/>
      <c r="BP40" s="107"/>
      <c r="BQ40" s="107"/>
      <c r="BR40" s="108"/>
      <c r="BS40" s="109"/>
      <c r="BT40" s="109"/>
      <c r="BU40" s="104"/>
      <c r="BV40" s="105"/>
      <c r="BW40" s="106"/>
      <c r="BX40" s="107"/>
      <c r="BY40" s="107"/>
      <c r="BZ40" s="108"/>
      <c r="CA40" s="109"/>
      <c r="CC40" s="12"/>
      <c r="CD40" s="12"/>
      <c r="CF40" s="12"/>
      <c r="CG40" s="12"/>
      <c r="CJ40" s="12"/>
      <c r="CM40" s="12"/>
      <c r="CO40" s="12"/>
      <c r="CR40" s="12"/>
      <c r="CY40" s="12"/>
      <c r="CZ40" s="12"/>
      <c r="DB40" s="12"/>
      <c r="DC40" s="12"/>
      <c r="DD40" s="12"/>
      <c r="DF40" s="12"/>
      <c r="DG40" s="12"/>
      <c r="DI40" s="12"/>
      <c r="DM40" s="12"/>
      <c r="DN40" s="12"/>
      <c r="DR40" s="12"/>
      <c r="DX40" s="12"/>
      <c r="DY40" s="12"/>
      <c r="EA40" s="12"/>
      <c r="EB40" s="12"/>
      <c r="EC40" s="12"/>
      <c r="ED40" s="12"/>
      <c r="EF40" s="12"/>
      <c r="EG40" s="12"/>
      <c r="EH40" s="12"/>
      <c r="EM40" s="12"/>
      <c r="ER40" s="12"/>
      <c r="EW40" s="12"/>
      <c r="EX40" s="12"/>
      <c r="EZ40" s="12"/>
      <c r="FA40" s="12"/>
      <c r="FC40" s="12"/>
      <c r="FD40" s="12"/>
      <c r="FF40" s="12"/>
      <c r="FG40" s="12"/>
      <c r="FL40" s="12"/>
      <c r="FM40" s="12"/>
      <c r="FR40" s="12"/>
      <c r="FV40" s="12"/>
      <c r="FW40" s="12"/>
      <c r="FY40" s="12"/>
      <c r="FZ40" s="12"/>
      <c r="GC40" s="12"/>
      <c r="GD40" s="12"/>
      <c r="GF40" s="12"/>
      <c r="GG40" s="12"/>
      <c r="GK40" s="12"/>
      <c r="GM40" s="12"/>
      <c r="GR40" s="12"/>
    </row>
    <row r="41" spans="1:200" x14ac:dyDescent="0.2">
      <c r="A41" s="104" t="s">
        <v>260</v>
      </c>
      <c r="B41" s="105" t="s">
        <v>142</v>
      </c>
      <c r="C41" s="106" t="s">
        <v>209</v>
      </c>
      <c r="D41" s="107" t="s">
        <v>99</v>
      </c>
      <c r="E41" s="107">
        <v>2.4500000000000002</v>
      </c>
      <c r="F41" s="181">
        <v>2.2400000000000002</v>
      </c>
      <c r="G41" s="154">
        <v>1118897764</v>
      </c>
      <c r="H41" s="109">
        <v>5.5659205225487951E-2</v>
      </c>
      <c r="I41" s="104"/>
      <c r="J41" s="105"/>
      <c r="K41" s="106"/>
      <c r="L41" s="107"/>
      <c r="M41" s="107"/>
      <c r="N41" s="108"/>
      <c r="O41" s="150"/>
      <c r="P41" s="154"/>
      <c r="Q41" s="104"/>
      <c r="R41" s="105"/>
      <c r="S41" s="106"/>
      <c r="T41" s="107"/>
      <c r="U41" s="107"/>
      <c r="V41" s="108"/>
      <c r="W41" s="150"/>
      <c r="X41" s="150"/>
      <c r="Y41" s="104"/>
      <c r="Z41" s="157"/>
      <c r="AA41" s="106"/>
      <c r="AB41" s="107" t="s">
        <v>398</v>
      </c>
      <c r="AC41" s="107" t="s">
        <v>388</v>
      </c>
      <c r="AD41" s="108" t="s">
        <v>145</v>
      </c>
      <c r="AE41" s="109" t="s">
        <v>100</v>
      </c>
      <c r="AF41" s="181">
        <v>0.1</v>
      </c>
      <c r="AG41" s="183">
        <v>3.96</v>
      </c>
      <c r="AH41" s="160">
        <v>38445.949999999997</v>
      </c>
      <c r="AI41" s="161">
        <v>1.912481323716412E-6</v>
      </c>
      <c r="AJ41" s="107"/>
      <c r="AK41" s="107"/>
      <c r="AL41" s="108"/>
      <c r="AM41" s="109"/>
      <c r="AN41" s="109"/>
      <c r="AO41" s="104"/>
      <c r="AP41" s="105"/>
      <c r="AQ41" s="106"/>
      <c r="AR41" s="107"/>
      <c r="AS41" s="107"/>
      <c r="AT41" s="108"/>
      <c r="AU41" s="107"/>
      <c r="AV41" s="107"/>
      <c r="AW41" s="104"/>
      <c r="AX41" s="105"/>
      <c r="AY41" s="106"/>
      <c r="AZ41" s="107"/>
      <c r="BA41" s="107"/>
      <c r="BB41" s="108"/>
      <c r="BC41" s="109"/>
      <c r="BD41" s="109"/>
      <c r="BE41" s="104"/>
      <c r="BF41" s="105"/>
      <c r="BG41" s="106"/>
      <c r="BH41" s="107"/>
      <c r="BI41" s="107"/>
      <c r="BJ41" s="108"/>
      <c r="BK41" s="109"/>
      <c r="BL41" s="109"/>
      <c r="BM41" s="104"/>
      <c r="BN41" s="105"/>
      <c r="BO41" s="106"/>
      <c r="BP41" s="107"/>
      <c r="BQ41" s="107"/>
      <c r="BR41" s="108"/>
      <c r="BS41" s="109"/>
      <c r="BT41" s="109"/>
      <c r="BU41" s="104"/>
      <c r="BV41" s="105"/>
      <c r="BW41" s="106"/>
      <c r="BX41" s="107"/>
      <c r="BY41" s="107"/>
      <c r="BZ41" s="108"/>
      <c r="CA41" s="109"/>
      <c r="CC41" s="12"/>
      <c r="CD41" s="12"/>
      <c r="CJ41" s="12"/>
      <c r="CO41" s="12"/>
      <c r="CY41" s="12"/>
      <c r="CZ41" s="12"/>
      <c r="DB41" s="12"/>
      <c r="DC41" s="12"/>
      <c r="DI41" s="12"/>
      <c r="DN41" s="12"/>
      <c r="DX41" s="12"/>
      <c r="DY41" s="12"/>
      <c r="EA41" s="12"/>
      <c r="EB41" s="12"/>
      <c r="EH41" s="12"/>
      <c r="EM41" s="12"/>
      <c r="EW41" s="12"/>
      <c r="EX41" s="12"/>
      <c r="EZ41" s="12"/>
      <c r="FA41" s="12"/>
      <c r="FG41" s="12"/>
      <c r="FL41" s="12"/>
      <c r="FV41" s="12"/>
      <c r="FW41" s="12"/>
      <c r="FY41" s="12"/>
      <c r="FZ41" s="12"/>
      <c r="GF41" s="12"/>
      <c r="GK41" s="12"/>
    </row>
    <row r="42" spans="1:200" x14ac:dyDescent="0.2">
      <c r="A42" s="104" t="s">
        <v>265</v>
      </c>
      <c r="B42" s="105" t="s">
        <v>142</v>
      </c>
      <c r="C42" s="106" t="s">
        <v>145</v>
      </c>
      <c r="D42" s="107" t="s">
        <v>100</v>
      </c>
      <c r="E42" s="107">
        <v>2.0699999999999998</v>
      </c>
      <c r="F42" s="181">
        <v>4.5199999999999996</v>
      </c>
      <c r="G42" s="154">
        <v>187520430</v>
      </c>
      <c r="H42" s="109">
        <v>9.3281427786835285E-3</v>
      </c>
      <c r="I42" s="104"/>
      <c r="J42" s="105"/>
      <c r="K42" s="106"/>
      <c r="L42" s="107"/>
      <c r="M42" s="107"/>
      <c r="N42" s="108"/>
      <c r="O42" s="150"/>
      <c r="P42" s="154"/>
      <c r="Q42" s="104"/>
      <c r="R42" s="105"/>
      <c r="S42" s="106"/>
      <c r="T42" s="107"/>
      <c r="U42" s="107"/>
      <c r="V42" s="108"/>
      <c r="W42" s="150"/>
      <c r="X42" s="150"/>
      <c r="Y42" s="104"/>
      <c r="Z42" s="157"/>
      <c r="AA42" s="106"/>
      <c r="AB42" s="107" t="s">
        <v>398</v>
      </c>
      <c r="AC42" s="107" t="s">
        <v>388</v>
      </c>
      <c r="AD42" s="108" t="s">
        <v>145</v>
      </c>
      <c r="AE42" s="109" t="s">
        <v>100</v>
      </c>
      <c r="AF42" s="181">
        <v>0.11</v>
      </c>
      <c r="AG42" s="183">
        <v>3.84</v>
      </c>
      <c r="AH42" s="160">
        <v>57650.26</v>
      </c>
      <c r="AI42" s="161">
        <v>2.867793595737346E-6</v>
      </c>
      <c r="AJ42" s="107"/>
      <c r="AK42" s="107"/>
      <c r="AL42" s="108"/>
      <c r="AM42" s="109"/>
      <c r="AN42" s="109"/>
      <c r="AO42" s="104"/>
      <c r="AP42" s="105"/>
      <c r="AQ42" s="106"/>
      <c r="AR42" s="107"/>
      <c r="AS42" s="107"/>
      <c r="AT42" s="108"/>
      <c r="AU42" s="107"/>
      <c r="AV42" s="107"/>
      <c r="AW42" s="104"/>
      <c r="AX42" s="105"/>
      <c r="AY42" s="106"/>
      <c r="AZ42" s="107"/>
      <c r="BA42" s="107"/>
      <c r="BB42" s="108"/>
      <c r="BC42" s="109"/>
      <c r="BD42" s="109"/>
      <c r="BE42" s="104"/>
      <c r="BF42" s="105"/>
      <c r="BG42" s="106"/>
      <c r="BH42" s="107"/>
      <c r="BI42" s="107"/>
      <c r="BJ42" s="108"/>
      <c r="BK42" s="109"/>
      <c r="BL42" s="109"/>
      <c r="BM42" s="104"/>
      <c r="BN42" s="105"/>
      <c r="BO42" s="106"/>
      <c r="BP42" s="107"/>
      <c r="BQ42" s="107"/>
      <c r="BR42" s="108"/>
      <c r="BS42" s="109"/>
      <c r="BT42" s="109"/>
      <c r="BU42" s="104"/>
      <c r="BV42" s="105"/>
      <c r="BW42" s="106"/>
      <c r="BX42" s="107"/>
      <c r="BY42" s="107"/>
      <c r="BZ42" s="108"/>
      <c r="CA42" s="109"/>
    </row>
    <row r="43" spans="1:200" x14ac:dyDescent="0.2">
      <c r="A43" s="104" t="s">
        <v>269</v>
      </c>
      <c r="B43" s="105" t="s">
        <v>142</v>
      </c>
      <c r="C43" s="106" t="s">
        <v>156</v>
      </c>
      <c r="D43" s="107" t="s">
        <v>99</v>
      </c>
      <c r="E43" s="107">
        <v>1.08</v>
      </c>
      <c r="F43" s="181">
        <v>2.11</v>
      </c>
      <c r="G43" s="154">
        <v>17917845</v>
      </c>
      <c r="H43" s="109">
        <v>8.9131736977310035E-4</v>
      </c>
      <c r="I43" s="104"/>
      <c r="J43" s="105"/>
      <c r="K43" s="106"/>
      <c r="L43" s="107"/>
      <c r="M43" s="107"/>
      <c r="N43" s="108"/>
      <c r="O43" s="150"/>
      <c r="P43" s="154"/>
      <c r="Q43" s="104"/>
      <c r="R43" s="105"/>
      <c r="S43" s="106"/>
      <c r="T43" s="107"/>
      <c r="U43" s="107"/>
      <c r="V43" s="108"/>
      <c r="W43" s="150"/>
      <c r="X43" s="150"/>
      <c r="Y43" s="104"/>
      <c r="Z43" s="157"/>
      <c r="AA43" s="106"/>
      <c r="AB43" s="107" t="s">
        <v>402</v>
      </c>
      <c r="AC43" s="107" t="s">
        <v>388</v>
      </c>
      <c r="AD43" s="108" t="s">
        <v>400</v>
      </c>
      <c r="AE43" s="109" t="s">
        <v>100</v>
      </c>
      <c r="AF43" s="181">
        <v>0.01</v>
      </c>
      <c r="AG43" s="183">
        <v>4.2</v>
      </c>
      <c r="AH43" s="160">
        <v>78795.539999999994</v>
      </c>
      <c r="AI43" s="161">
        <v>3.9196583212941388E-6</v>
      </c>
      <c r="AJ43" s="107"/>
      <c r="AK43" s="107"/>
      <c r="AL43" s="108"/>
      <c r="AM43" s="109"/>
      <c r="AN43" s="109"/>
      <c r="AO43" s="104"/>
      <c r="AP43" s="105"/>
      <c r="AQ43" s="106"/>
      <c r="AR43" s="107"/>
      <c r="AS43" s="107"/>
      <c r="AT43" s="108"/>
      <c r="AU43" s="107"/>
      <c r="AV43" s="107"/>
      <c r="AW43" s="104"/>
      <c r="AX43" s="105"/>
      <c r="AY43" s="106"/>
      <c r="AZ43" s="107"/>
      <c r="BA43" s="107"/>
      <c r="BB43" s="108"/>
      <c r="BC43" s="109"/>
      <c r="BD43" s="109"/>
      <c r="BE43" s="104"/>
      <c r="BF43" s="105"/>
      <c r="BG43" s="106"/>
      <c r="BH43" s="107"/>
      <c r="BI43" s="107"/>
      <c r="BJ43" s="108"/>
      <c r="BK43" s="109"/>
      <c r="BL43" s="109"/>
      <c r="BM43" s="104"/>
      <c r="BN43" s="105"/>
      <c r="BO43" s="106"/>
      <c r="BP43" s="107"/>
      <c r="BQ43" s="107"/>
      <c r="BR43" s="108"/>
      <c r="BS43" s="109"/>
      <c r="BT43" s="109"/>
      <c r="BU43" s="104"/>
      <c r="BV43" s="105"/>
      <c r="BW43" s="106"/>
      <c r="BX43" s="107"/>
      <c r="BY43" s="107"/>
      <c r="BZ43" s="108"/>
      <c r="CA43" s="109"/>
    </row>
    <row r="44" spans="1:200" x14ac:dyDescent="0.2">
      <c r="A44" s="104" t="s">
        <v>273</v>
      </c>
      <c r="B44" s="105" t="s">
        <v>142</v>
      </c>
      <c r="C44" s="106" t="s">
        <v>156</v>
      </c>
      <c r="D44" s="107" t="s">
        <v>99</v>
      </c>
      <c r="E44" s="107">
        <v>4.25</v>
      </c>
      <c r="F44" s="181">
        <v>1.99</v>
      </c>
      <c r="G44" s="154">
        <v>42197842</v>
      </c>
      <c r="H44" s="109">
        <v>2.0991179207957688E-3</v>
      </c>
      <c r="I44" s="104"/>
      <c r="J44" s="105"/>
      <c r="K44" s="106"/>
      <c r="L44" s="107"/>
      <c r="M44" s="107"/>
      <c r="N44" s="108"/>
      <c r="O44" s="150"/>
      <c r="P44" s="154"/>
      <c r="Q44" s="104"/>
      <c r="R44" s="105"/>
      <c r="S44" s="106"/>
      <c r="T44" s="107"/>
      <c r="U44" s="107"/>
      <c r="V44" s="108"/>
      <c r="W44" s="150"/>
      <c r="X44" s="150"/>
      <c r="Y44" s="104"/>
      <c r="Z44" s="157"/>
      <c r="AA44" s="106"/>
      <c r="AB44" s="107" t="s">
        <v>402</v>
      </c>
      <c r="AC44" s="107" t="s">
        <v>388</v>
      </c>
      <c r="AD44" s="108" t="s">
        <v>400</v>
      </c>
      <c r="AE44" s="109" t="s">
        <v>100</v>
      </c>
      <c r="AF44" s="181">
        <v>0.05</v>
      </c>
      <c r="AG44" s="183">
        <v>4.0199999999999996</v>
      </c>
      <c r="AH44" s="160">
        <v>346704.09</v>
      </c>
      <c r="AI44" s="161">
        <v>1.7246682297631026E-5</v>
      </c>
      <c r="AJ44" s="107"/>
      <c r="AK44" s="107"/>
      <c r="AL44" s="108"/>
      <c r="AM44" s="109"/>
      <c r="AN44" s="109"/>
      <c r="AO44" s="104"/>
      <c r="AP44" s="105"/>
      <c r="AQ44" s="106"/>
      <c r="AR44" s="107"/>
      <c r="AS44" s="107"/>
      <c r="AT44" s="108"/>
      <c r="AU44" s="107"/>
      <c r="AV44" s="107"/>
      <c r="AW44" s="104"/>
      <c r="AX44" s="105"/>
      <c r="AY44" s="106"/>
      <c r="AZ44" s="107"/>
      <c r="BA44" s="107"/>
      <c r="BB44" s="108"/>
      <c r="BC44" s="109"/>
      <c r="BD44" s="109"/>
      <c r="BE44" s="104"/>
      <c r="BF44" s="105"/>
      <c r="BG44" s="106"/>
      <c r="BH44" s="107"/>
      <c r="BI44" s="107"/>
      <c r="BJ44" s="108"/>
      <c r="BK44" s="109"/>
      <c r="BL44" s="109"/>
      <c r="BM44" s="104"/>
      <c r="BN44" s="105"/>
      <c r="BO44" s="106"/>
      <c r="BP44" s="107"/>
      <c r="BQ44" s="107"/>
      <c r="BR44" s="108"/>
      <c r="BS44" s="109"/>
      <c r="BT44" s="109"/>
      <c r="BU44" s="104"/>
      <c r="BV44" s="105"/>
      <c r="BW44" s="106"/>
      <c r="BX44" s="107"/>
      <c r="BY44" s="107"/>
      <c r="BZ44" s="108"/>
      <c r="CA44" s="109"/>
    </row>
    <row r="45" spans="1:200" x14ac:dyDescent="0.2">
      <c r="A45" s="104" t="s">
        <v>279</v>
      </c>
      <c r="B45" s="105" t="s">
        <v>142</v>
      </c>
      <c r="C45" s="106" t="s">
        <v>128</v>
      </c>
      <c r="D45" s="107" t="s">
        <v>99</v>
      </c>
      <c r="E45" s="107">
        <v>1.93</v>
      </c>
      <c r="F45" s="181">
        <v>1.96</v>
      </c>
      <c r="G45" s="154">
        <v>1016466093</v>
      </c>
      <c r="H45" s="109">
        <v>5.0563775078772001E-2</v>
      </c>
      <c r="I45" s="104"/>
      <c r="J45" s="105"/>
      <c r="K45" s="106"/>
      <c r="L45" s="107"/>
      <c r="M45" s="107"/>
      <c r="N45" s="108"/>
      <c r="O45" s="150"/>
      <c r="P45" s="154"/>
      <c r="Q45" s="104"/>
      <c r="R45" s="105"/>
      <c r="S45" s="106"/>
      <c r="T45" s="107"/>
      <c r="U45" s="107"/>
      <c r="V45" s="108"/>
      <c r="W45" s="150"/>
      <c r="X45" s="150"/>
      <c r="Y45" s="104"/>
      <c r="Z45" s="157"/>
      <c r="AA45" s="106"/>
      <c r="AB45" s="107" t="s">
        <v>402</v>
      </c>
      <c r="AC45" s="107" t="s">
        <v>388</v>
      </c>
      <c r="AD45" s="108" t="s">
        <v>400</v>
      </c>
      <c r="AE45" s="109" t="s">
        <v>100</v>
      </c>
      <c r="AF45" s="181">
        <v>0.16</v>
      </c>
      <c r="AG45" s="183">
        <v>4.1399999999999997</v>
      </c>
      <c r="AH45" s="160">
        <v>95853.59</v>
      </c>
      <c r="AI45" s="161">
        <v>4.7682058615181592E-6</v>
      </c>
      <c r="AJ45" s="107"/>
      <c r="AK45" s="107"/>
      <c r="AL45" s="108"/>
      <c r="AM45" s="109"/>
      <c r="AN45" s="109"/>
      <c r="AO45" s="104"/>
      <c r="AP45" s="105"/>
      <c r="AQ45" s="106"/>
      <c r="AR45" s="107"/>
      <c r="AS45" s="107"/>
      <c r="AT45" s="108"/>
      <c r="AU45" s="107"/>
      <c r="AV45" s="107"/>
      <c r="AW45" s="104"/>
      <c r="AX45" s="105"/>
      <c r="AY45" s="106"/>
      <c r="AZ45" s="107"/>
      <c r="BA45" s="107"/>
      <c r="BB45" s="108"/>
      <c r="BC45" s="109"/>
      <c r="BD45" s="109"/>
      <c r="BE45" s="104"/>
      <c r="BF45" s="105"/>
      <c r="BG45" s="106"/>
      <c r="BH45" s="107"/>
      <c r="BI45" s="107"/>
      <c r="BJ45" s="108"/>
      <c r="BK45" s="109"/>
      <c r="BL45" s="109"/>
      <c r="BM45" s="104"/>
      <c r="BN45" s="105"/>
      <c r="BO45" s="106"/>
      <c r="BP45" s="107"/>
      <c r="BQ45" s="107"/>
      <c r="BR45" s="108"/>
      <c r="BS45" s="109"/>
      <c r="BT45" s="109"/>
      <c r="BU45" s="104"/>
      <c r="BV45" s="105"/>
      <c r="BW45" s="106"/>
      <c r="BX45" s="107"/>
      <c r="BY45" s="107"/>
      <c r="BZ45" s="108"/>
      <c r="CA45" s="109"/>
    </row>
    <row r="46" spans="1:200" x14ac:dyDescent="0.2">
      <c r="A46" s="104" t="s">
        <v>279</v>
      </c>
      <c r="B46" s="105" t="s">
        <v>142</v>
      </c>
      <c r="C46" s="106" t="s">
        <v>128</v>
      </c>
      <c r="D46" s="107" t="s">
        <v>99</v>
      </c>
      <c r="E46" s="107">
        <v>0.74</v>
      </c>
      <c r="F46" s="181">
        <v>2.39</v>
      </c>
      <c r="G46" s="154">
        <v>160574218</v>
      </c>
      <c r="H46" s="109">
        <v>7.9877122299658477E-3</v>
      </c>
      <c r="I46" s="104"/>
      <c r="J46" s="105"/>
      <c r="K46" s="106"/>
      <c r="L46" s="107"/>
      <c r="M46" s="107"/>
      <c r="N46" s="108"/>
      <c r="O46" s="150"/>
      <c r="P46" s="154"/>
      <c r="Q46" s="104"/>
      <c r="R46" s="105"/>
      <c r="S46" s="106"/>
      <c r="T46" s="107"/>
      <c r="U46" s="107"/>
      <c r="V46" s="108"/>
      <c r="W46" s="150"/>
      <c r="X46" s="150"/>
      <c r="Y46" s="104"/>
      <c r="Z46" s="157"/>
      <c r="AA46" s="106"/>
      <c r="AB46" s="107" t="s">
        <v>402</v>
      </c>
      <c r="AC46" s="107" t="s">
        <v>388</v>
      </c>
      <c r="AD46" s="108" t="s">
        <v>400</v>
      </c>
      <c r="AE46" s="109" t="s">
        <v>100</v>
      </c>
      <c r="AF46" s="181">
        <v>0.3</v>
      </c>
      <c r="AG46" s="183">
        <v>4.68</v>
      </c>
      <c r="AH46" s="160">
        <v>52573.9</v>
      </c>
      <c r="AI46" s="161">
        <v>2.6152717888249045E-6</v>
      </c>
      <c r="AJ46" s="107"/>
      <c r="AK46" s="107"/>
      <c r="AL46" s="108"/>
      <c r="AM46" s="109"/>
      <c r="AN46" s="109"/>
      <c r="AO46" s="104"/>
      <c r="AP46" s="105"/>
      <c r="AQ46" s="106"/>
      <c r="AR46" s="107"/>
      <c r="AS46" s="107"/>
      <c r="AT46" s="108"/>
      <c r="AU46" s="107"/>
      <c r="AV46" s="107"/>
      <c r="AW46" s="104"/>
      <c r="AX46" s="105"/>
      <c r="AY46" s="106"/>
      <c r="AZ46" s="107"/>
      <c r="BA46" s="107"/>
      <c r="BB46" s="108"/>
      <c r="BC46" s="109"/>
      <c r="BD46" s="109"/>
      <c r="BE46" s="104"/>
      <c r="BF46" s="105"/>
      <c r="BG46" s="106"/>
      <c r="BH46" s="107"/>
      <c r="BI46" s="107"/>
      <c r="BJ46" s="108"/>
      <c r="BK46" s="109"/>
      <c r="BL46" s="109"/>
      <c r="BM46" s="104"/>
      <c r="BN46" s="105"/>
      <c r="BO46" s="106"/>
      <c r="BP46" s="107"/>
      <c r="BQ46" s="107"/>
      <c r="BR46" s="108"/>
      <c r="BS46" s="109"/>
      <c r="BT46" s="109"/>
      <c r="BU46" s="104"/>
      <c r="BV46" s="105"/>
      <c r="BW46" s="106"/>
      <c r="BX46" s="107"/>
      <c r="BY46" s="107"/>
      <c r="BZ46" s="108"/>
      <c r="CA46" s="109"/>
    </row>
    <row r="47" spans="1:200" x14ac:dyDescent="0.2">
      <c r="A47" s="104" t="s">
        <v>289</v>
      </c>
      <c r="B47" s="105" t="s">
        <v>142</v>
      </c>
      <c r="C47" s="106" t="s">
        <v>145</v>
      </c>
      <c r="D47" s="107" t="s">
        <v>99</v>
      </c>
      <c r="E47" s="107">
        <v>3.41</v>
      </c>
      <c r="F47" s="181">
        <v>2.3199999999999998</v>
      </c>
      <c r="G47" s="154">
        <v>500688251</v>
      </c>
      <c r="H47" s="109">
        <v>2.4906574142013947E-2</v>
      </c>
      <c r="I47" s="104"/>
      <c r="J47" s="105"/>
      <c r="K47" s="106"/>
      <c r="L47" s="107"/>
      <c r="M47" s="107"/>
      <c r="N47" s="108"/>
      <c r="O47" s="150"/>
      <c r="P47" s="154"/>
      <c r="Q47" s="104"/>
      <c r="R47" s="105"/>
      <c r="S47" s="106"/>
      <c r="T47" s="107"/>
      <c r="U47" s="107"/>
      <c r="V47" s="108"/>
      <c r="W47" s="150"/>
      <c r="X47" s="150"/>
      <c r="Y47" s="104"/>
      <c r="Z47" s="157"/>
      <c r="AA47" s="106"/>
      <c r="AB47" s="107" t="s">
        <v>402</v>
      </c>
      <c r="AC47" s="107" t="s">
        <v>388</v>
      </c>
      <c r="AD47" s="108" t="s">
        <v>400</v>
      </c>
      <c r="AE47" s="109" t="s">
        <v>100</v>
      </c>
      <c r="AF47" s="181">
        <v>0.47</v>
      </c>
      <c r="AG47" s="183">
        <v>4.2</v>
      </c>
      <c r="AH47" s="160">
        <v>37830.07</v>
      </c>
      <c r="AI47" s="161">
        <v>1.881844483958778E-6</v>
      </c>
      <c r="AJ47" s="107"/>
      <c r="AK47" s="107"/>
      <c r="AL47" s="108"/>
      <c r="AM47" s="109"/>
      <c r="AN47" s="109"/>
      <c r="AO47" s="104"/>
      <c r="AP47" s="105"/>
      <c r="AQ47" s="106"/>
      <c r="AR47" s="107"/>
      <c r="AS47" s="107"/>
      <c r="AT47" s="108"/>
      <c r="AU47" s="107"/>
      <c r="AV47" s="107"/>
      <c r="AW47" s="104"/>
      <c r="AX47" s="105"/>
      <c r="AY47" s="106"/>
      <c r="AZ47" s="107"/>
      <c r="BA47" s="107"/>
      <c r="BB47" s="108"/>
      <c r="BC47" s="109"/>
      <c r="BD47" s="109"/>
      <c r="BE47" s="104"/>
      <c r="BF47" s="105"/>
      <c r="BG47" s="106"/>
      <c r="BH47" s="107"/>
      <c r="BI47" s="107"/>
      <c r="BJ47" s="108"/>
      <c r="BK47" s="109"/>
      <c r="BL47" s="109"/>
      <c r="BM47" s="104"/>
      <c r="BN47" s="105"/>
      <c r="BO47" s="106"/>
      <c r="BP47" s="107"/>
      <c r="BQ47" s="107"/>
      <c r="BR47" s="108"/>
      <c r="BS47" s="109"/>
      <c r="BT47" s="109"/>
      <c r="BU47" s="104"/>
      <c r="BV47" s="105"/>
      <c r="BW47" s="106"/>
      <c r="BX47" s="107"/>
      <c r="BY47" s="107"/>
      <c r="BZ47" s="108"/>
      <c r="CA47" s="109"/>
    </row>
    <row r="48" spans="1:200" x14ac:dyDescent="0.2">
      <c r="A48" s="104" t="s">
        <v>293</v>
      </c>
      <c r="B48" s="105" t="s">
        <v>142</v>
      </c>
      <c r="C48" s="106" t="s">
        <v>209</v>
      </c>
      <c r="D48" s="107" t="s">
        <v>99</v>
      </c>
      <c r="E48" s="107">
        <v>0.56999999999999995</v>
      </c>
      <c r="F48" s="181">
        <v>2.13</v>
      </c>
      <c r="G48" s="154">
        <v>108250656</v>
      </c>
      <c r="H48" s="109">
        <v>5.3848936622753838E-3</v>
      </c>
      <c r="I48" s="104"/>
      <c r="J48" s="105"/>
      <c r="K48" s="106"/>
      <c r="L48" s="107"/>
      <c r="M48" s="107"/>
      <c r="N48" s="108"/>
      <c r="O48" s="150"/>
      <c r="P48" s="154"/>
      <c r="Q48" s="104"/>
      <c r="R48" s="105"/>
      <c r="S48" s="106"/>
      <c r="T48" s="107"/>
      <c r="U48" s="107"/>
      <c r="V48" s="108"/>
      <c r="W48" s="150"/>
      <c r="X48" s="150"/>
      <c r="Y48" s="104"/>
      <c r="Z48" s="157"/>
      <c r="AA48" s="106"/>
      <c r="AB48" s="107" t="s">
        <v>405</v>
      </c>
      <c r="AC48" s="107" t="s">
        <v>388</v>
      </c>
      <c r="AD48" s="108" t="s">
        <v>382</v>
      </c>
      <c r="AE48" s="109" t="s">
        <v>100</v>
      </c>
      <c r="AF48" s="181">
        <v>0.01</v>
      </c>
      <c r="AG48" s="183">
        <v>4.32</v>
      </c>
      <c r="AH48" s="160">
        <v>57874.22</v>
      </c>
      <c r="AI48" s="161">
        <v>2.8789342638356738E-6</v>
      </c>
      <c r="AJ48" s="107"/>
      <c r="AK48" s="107"/>
      <c r="AL48" s="108"/>
      <c r="AM48" s="109"/>
      <c r="AN48" s="109"/>
      <c r="AO48" s="104"/>
      <c r="AP48" s="105"/>
      <c r="AQ48" s="106"/>
      <c r="AR48" s="107"/>
      <c r="AS48" s="107"/>
      <c r="AT48" s="108"/>
      <c r="AU48" s="107"/>
      <c r="AV48" s="107"/>
      <c r="AW48" s="104"/>
      <c r="AX48" s="105"/>
      <c r="AY48" s="106"/>
      <c r="AZ48" s="107"/>
      <c r="BA48" s="107"/>
      <c r="BB48" s="108"/>
      <c r="BC48" s="109"/>
      <c r="BD48" s="109"/>
      <c r="BE48" s="104"/>
      <c r="BF48" s="105"/>
      <c r="BG48" s="106"/>
      <c r="BH48" s="107"/>
      <c r="BI48" s="107"/>
      <c r="BJ48" s="108"/>
      <c r="BK48" s="109"/>
      <c r="BL48" s="109"/>
      <c r="BM48" s="104"/>
      <c r="BN48" s="105"/>
      <c r="BO48" s="106"/>
      <c r="BP48" s="107"/>
      <c r="BQ48" s="107"/>
      <c r="BR48" s="108"/>
      <c r="BS48" s="109"/>
      <c r="BT48" s="109"/>
      <c r="BU48" s="104"/>
      <c r="BV48" s="105"/>
      <c r="BW48" s="106"/>
      <c r="BX48" s="107"/>
      <c r="BY48" s="107"/>
      <c r="BZ48" s="108"/>
      <c r="CA48" s="109"/>
    </row>
    <row r="49" spans="1:79" x14ac:dyDescent="0.2">
      <c r="A49" s="104" t="s">
        <v>293</v>
      </c>
      <c r="B49" s="105" t="s">
        <v>142</v>
      </c>
      <c r="C49" s="106" t="s">
        <v>209</v>
      </c>
      <c r="D49" s="107" t="s">
        <v>99</v>
      </c>
      <c r="E49" s="107">
        <v>1.92</v>
      </c>
      <c r="F49" s="181">
        <v>1.9</v>
      </c>
      <c r="G49" s="154">
        <v>82847274</v>
      </c>
      <c r="H49" s="109">
        <v>4.1212106899323753E-3</v>
      </c>
      <c r="I49" s="104"/>
      <c r="J49" s="105"/>
      <c r="K49" s="106"/>
      <c r="L49" s="107"/>
      <c r="M49" s="107"/>
      <c r="N49" s="108"/>
      <c r="O49" s="150"/>
      <c r="P49" s="154"/>
      <c r="Q49" s="104"/>
      <c r="R49" s="105"/>
      <c r="S49" s="106"/>
      <c r="T49" s="107"/>
      <c r="U49" s="107"/>
      <c r="V49" s="108"/>
      <c r="W49" s="150"/>
      <c r="X49" s="150"/>
      <c r="Y49" s="104"/>
      <c r="Z49" s="157"/>
      <c r="AA49" s="106"/>
      <c r="AB49" s="107" t="s">
        <v>405</v>
      </c>
      <c r="AC49" s="107" t="s">
        <v>388</v>
      </c>
      <c r="AD49" s="108" t="s">
        <v>382</v>
      </c>
      <c r="AE49" s="109" t="s">
        <v>100</v>
      </c>
      <c r="AF49" s="181">
        <v>0.42</v>
      </c>
      <c r="AG49" s="183">
        <v>4.2</v>
      </c>
      <c r="AH49" s="160">
        <v>18961.689999999999</v>
      </c>
      <c r="AI49" s="161">
        <v>9.4324321408533495E-7</v>
      </c>
      <c r="AJ49" s="107"/>
      <c r="AK49" s="107"/>
      <c r="AL49" s="108"/>
      <c r="AM49" s="109"/>
      <c r="AN49" s="109"/>
      <c r="AO49" s="104"/>
      <c r="AP49" s="105"/>
      <c r="AQ49" s="106"/>
      <c r="AR49" s="107"/>
      <c r="AS49" s="107"/>
      <c r="AT49" s="108"/>
      <c r="AU49" s="107"/>
      <c r="AV49" s="107"/>
      <c r="AW49" s="104"/>
      <c r="AX49" s="105"/>
      <c r="AY49" s="106"/>
      <c r="AZ49" s="107"/>
      <c r="BA49" s="107"/>
      <c r="BB49" s="108"/>
      <c r="BC49" s="109"/>
      <c r="BD49" s="109"/>
      <c r="BE49" s="104"/>
      <c r="BF49" s="105"/>
      <c r="BG49" s="106"/>
      <c r="BH49" s="107"/>
      <c r="BI49" s="107"/>
      <c r="BJ49" s="108"/>
      <c r="BK49" s="109"/>
      <c r="BL49" s="109"/>
      <c r="BM49" s="104"/>
      <c r="BN49" s="105"/>
      <c r="BO49" s="106"/>
      <c r="BP49" s="107"/>
      <c r="BQ49" s="107"/>
      <c r="BR49" s="108"/>
      <c r="BS49" s="109"/>
      <c r="BT49" s="109"/>
      <c r="BU49" s="104"/>
      <c r="BV49" s="105"/>
      <c r="BW49" s="106"/>
      <c r="BX49" s="107"/>
      <c r="BY49" s="107"/>
      <c r="BZ49" s="108"/>
      <c r="CA49" s="109"/>
    </row>
    <row r="50" spans="1:79" x14ac:dyDescent="0.2">
      <c r="A50" s="104" t="s">
        <v>293</v>
      </c>
      <c r="B50" s="105" t="s">
        <v>142</v>
      </c>
      <c r="C50" s="106" t="s">
        <v>209</v>
      </c>
      <c r="D50" s="107" t="s">
        <v>99</v>
      </c>
      <c r="E50" s="107">
        <v>0</v>
      </c>
      <c r="F50" s="181">
        <v>3.5</v>
      </c>
      <c r="G50" s="154">
        <v>107213401</v>
      </c>
      <c r="H50" s="109">
        <v>5.3332957497817784E-3</v>
      </c>
      <c r="I50" s="104"/>
      <c r="J50" s="105"/>
      <c r="K50" s="106"/>
      <c r="L50" s="107"/>
      <c r="M50" s="107"/>
      <c r="N50" s="108"/>
      <c r="O50" s="150"/>
      <c r="P50" s="154"/>
      <c r="Q50" s="104"/>
      <c r="R50" s="105"/>
      <c r="S50" s="106"/>
      <c r="T50" s="107"/>
      <c r="U50" s="107"/>
      <c r="V50" s="108"/>
      <c r="W50" s="150"/>
      <c r="X50" s="150"/>
      <c r="Y50" s="104"/>
      <c r="Z50" s="157"/>
      <c r="AA50" s="106"/>
      <c r="AB50" s="107" t="s">
        <v>405</v>
      </c>
      <c r="AC50" s="107" t="s">
        <v>388</v>
      </c>
      <c r="AD50" s="108" t="s">
        <v>382</v>
      </c>
      <c r="AE50" s="109" t="s">
        <v>100</v>
      </c>
      <c r="AF50" s="181">
        <v>0.43</v>
      </c>
      <c r="AG50" s="183">
        <v>4.32</v>
      </c>
      <c r="AH50" s="160">
        <v>227297.69</v>
      </c>
      <c r="AI50" s="161">
        <v>1.130684953098629E-5</v>
      </c>
      <c r="AJ50" s="107"/>
      <c r="AK50" s="107"/>
      <c r="AL50" s="108"/>
      <c r="AM50" s="109"/>
      <c r="AN50" s="109"/>
      <c r="AO50" s="104"/>
      <c r="AP50" s="105"/>
      <c r="AQ50" s="106"/>
      <c r="AR50" s="107"/>
      <c r="AS50" s="107"/>
      <c r="AT50" s="108"/>
      <c r="AU50" s="107"/>
      <c r="AV50" s="107"/>
      <c r="AW50" s="104"/>
      <c r="AX50" s="105"/>
      <c r="AY50" s="106"/>
      <c r="AZ50" s="107"/>
      <c r="BA50" s="107"/>
      <c r="BB50" s="108"/>
      <c r="BC50" s="109"/>
      <c r="BD50" s="109"/>
      <c r="BE50" s="104"/>
      <c r="BF50" s="105"/>
      <c r="BG50" s="106"/>
      <c r="BH50" s="107"/>
      <c r="BI50" s="107"/>
      <c r="BJ50" s="108"/>
      <c r="BK50" s="109"/>
      <c r="BL50" s="109"/>
      <c r="BM50" s="104"/>
      <c r="BN50" s="105"/>
      <c r="BO50" s="106"/>
      <c r="BP50" s="107"/>
      <c r="BQ50" s="107"/>
      <c r="BR50" s="108"/>
      <c r="BS50" s="109"/>
      <c r="BT50" s="109"/>
      <c r="BU50" s="104"/>
      <c r="BV50" s="105"/>
      <c r="BW50" s="106"/>
      <c r="BX50" s="107"/>
      <c r="BY50" s="107"/>
      <c r="BZ50" s="108"/>
      <c r="CA50" s="109"/>
    </row>
    <row r="51" spans="1:79" x14ac:dyDescent="0.2">
      <c r="A51" s="104" t="s">
        <v>293</v>
      </c>
      <c r="B51" s="105" t="s">
        <v>142</v>
      </c>
      <c r="C51" s="106" t="s">
        <v>209</v>
      </c>
      <c r="D51" s="107" t="s">
        <v>99</v>
      </c>
      <c r="E51" s="107">
        <v>1.92</v>
      </c>
      <c r="F51" s="181">
        <v>1.92</v>
      </c>
      <c r="G51" s="154">
        <v>1002997132</v>
      </c>
      <c r="H51" s="109">
        <v>4.9893765996089544E-2</v>
      </c>
      <c r="I51" s="104"/>
      <c r="J51" s="105"/>
      <c r="K51" s="106"/>
      <c r="L51" s="107"/>
      <c r="M51" s="107"/>
      <c r="N51" s="108"/>
      <c r="O51" s="150"/>
      <c r="P51" s="154"/>
      <c r="Q51" s="104"/>
      <c r="R51" s="105"/>
      <c r="S51" s="106"/>
      <c r="T51" s="107"/>
      <c r="U51" s="107"/>
      <c r="V51" s="108"/>
      <c r="W51" s="150"/>
      <c r="X51" s="150"/>
      <c r="Y51" s="104"/>
      <c r="Z51" s="157"/>
      <c r="AA51" s="106"/>
      <c r="AB51" s="107" t="s">
        <v>364</v>
      </c>
      <c r="AC51" s="107" t="s">
        <v>388</v>
      </c>
      <c r="AD51" s="108" t="s">
        <v>382</v>
      </c>
      <c r="AE51" s="109" t="s">
        <v>100</v>
      </c>
      <c r="AF51" s="181">
        <v>0.01</v>
      </c>
      <c r="AG51" s="183">
        <v>3</v>
      </c>
      <c r="AH51" s="160">
        <v>3844.6</v>
      </c>
      <c r="AI51" s="161">
        <v>1.9124813237164121E-7</v>
      </c>
      <c r="AJ51" s="107"/>
      <c r="AK51" s="107"/>
      <c r="AL51" s="108"/>
      <c r="AM51" s="109"/>
      <c r="AN51" s="109"/>
      <c r="AO51" s="104"/>
      <c r="AP51" s="105"/>
      <c r="AQ51" s="106"/>
      <c r="AR51" s="107"/>
      <c r="AS51" s="107"/>
      <c r="AT51" s="108"/>
      <c r="AU51" s="107"/>
      <c r="AV51" s="107"/>
      <c r="AW51" s="104"/>
      <c r="AX51" s="105"/>
      <c r="AY51" s="106"/>
      <c r="AZ51" s="107"/>
      <c r="BA51" s="107"/>
      <c r="BB51" s="108"/>
      <c r="BC51" s="109"/>
      <c r="BD51" s="109"/>
      <c r="BE51" s="104"/>
      <c r="BF51" s="105"/>
      <c r="BG51" s="106"/>
      <c r="BH51" s="107"/>
      <c r="BI51" s="107"/>
      <c r="BJ51" s="108"/>
      <c r="BK51" s="109"/>
      <c r="BL51" s="109"/>
      <c r="BM51" s="104"/>
      <c r="BN51" s="105"/>
      <c r="BO51" s="106"/>
      <c r="BP51" s="107"/>
      <c r="BQ51" s="107"/>
      <c r="BR51" s="108"/>
      <c r="BS51" s="109"/>
      <c r="BT51" s="109"/>
      <c r="BU51" s="104"/>
      <c r="BV51" s="105"/>
      <c r="BW51" s="106"/>
      <c r="BX51" s="107"/>
      <c r="BY51" s="107"/>
      <c r="BZ51" s="108"/>
      <c r="CA51" s="109"/>
    </row>
    <row r="52" spans="1:79" x14ac:dyDescent="0.2">
      <c r="A52" s="104" t="s">
        <v>305</v>
      </c>
      <c r="B52" s="105" t="s">
        <v>142</v>
      </c>
      <c r="C52" s="106" t="s">
        <v>145</v>
      </c>
      <c r="D52" s="107" t="s">
        <v>99</v>
      </c>
      <c r="E52" s="107">
        <v>1.19</v>
      </c>
      <c r="F52" s="181">
        <v>2.36</v>
      </c>
      <c r="G52" s="154">
        <v>230461449</v>
      </c>
      <c r="H52" s="109">
        <v>1.1464229797544152E-2</v>
      </c>
      <c r="I52" s="104"/>
      <c r="J52" s="105"/>
      <c r="K52" s="106"/>
      <c r="L52" s="107"/>
      <c r="M52" s="107"/>
      <c r="N52" s="108"/>
      <c r="O52" s="150"/>
      <c r="P52" s="154"/>
      <c r="Q52" s="104"/>
      <c r="R52" s="105"/>
      <c r="S52" s="106"/>
      <c r="T52" s="107"/>
      <c r="U52" s="107"/>
      <c r="V52" s="108"/>
      <c r="W52" s="150"/>
      <c r="X52" s="150"/>
      <c r="Y52" s="104"/>
      <c r="Z52" s="157"/>
      <c r="AA52" s="106"/>
      <c r="AB52" s="107" t="s">
        <v>364</v>
      </c>
      <c r="AC52" s="107" t="s">
        <v>388</v>
      </c>
      <c r="AD52" s="108" t="s">
        <v>382</v>
      </c>
      <c r="AE52" s="109" t="s">
        <v>100</v>
      </c>
      <c r="AF52" s="181">
        <v>0.01</v>
      </c>
      <c r="AG52" s="183">
        <v>3.72</v>
      </c>
      <c r="AH52" s="160">
        <v>38576.589999999997</v>
      </c>
      <c r="AI52" s="161">
        <v>1.9189800476028476E-6</v>
      </c>
      <c r="AJ52" s="107"/>
      <c r="AK52" s="107"/>
      <c r="AL52" s="108"/>
      <c r="AM52" s="109"/>
      <c r="AN52" s="109"/>
      <c r="AO52" s="104"/>
      <c r="AP52" s="105"/>
      <c r="AQ52" s="106"/>
      <c r="AR52" s="107"/>
      <c r="AS52" s="107"/>
      <c r="AT52" s="108"/>
      <c r="AU52" s="107"/>
      <c r="AV52" s="107"/>
      <c r="AW52" s="104"/>
      <c r="AX52" s="105"/>
      <c r="AY52" s="106"/>
      <c r="AZ52" s="107"/>
      <c r="BA52" s="107"/>
      <c r="BB52" s="108"/>
      <c r="BC52" s="109"/>
      <c r="BD52" s="109"/>
      <c r="BE52" s="104"/>
      <c r="BF52" s="105"/>
      <c r="BG52" s="106"/>
      <c r="BH52" s="107"/>
      <c r="BI52" s="107"/>
      <c r="BJ52" s="108"/>
      <c r="BK52" s="109"/>
      <c r="BL52" s="109"/>
      <c r="BM52" s="104"/>
      <c r="BN52" s="105"/>
      <c r="BO52" s="106"/>
      <c r="BP52" s="107"/>
      <c r="BQ52" s="107"/>
      <c r="BR52" s="108"/>
      <c r="BS52" s="109"/>
      <c r="BT52" s="109"/>
      <c r="BU52" s="104"/>
      <c r="BV52" s="105"/>
      <c r="BW52" s="106"/>
      <c r="BX52" s="107"/>
      <c r="BY52" s="107"/>
      <c r="BZ52" s="108"/>
      <c r="CA52" s="109"/>
    </row>
    <row r="53" spans="1:79" x14ac:dyDescent="0.2">
      <c r="A53" s="104" t="s">
        <v>305</v>
      </c>
      <c r="B53" s="105" t="s">
        <v>142</v>
      </c>
      <c r="C53" s="106" t="s">
        <v>145</v>
      </c>
      <c r="D53" s="107" t="s">
        <v>100</v>
      </c>
      <c r="E53" s="107">
        <v>1.9</v>
      </c>
      <c r="F53" s="181">
        <v>4.8600000000000003</v>
      </c>
      <c r="G53" s="154">
        <v>412447324</v>
      </c>
      <c r="H53" s="109">
        <v>2.0517057938476066E-2</v>
      </c>
      <c r="I53" s="104"/>
      <c r="J53" s="105"/>
      <c r="K53" s="106"/>
      <c r="L53" s="107"/>
      <c r="M53" s="107"/>
      <c r="N53" s="108"/>
      <c r="O53" s="150"/>
      <c r="P53" s="154"/>
      <c r="Q53" s="104"/>
      <c r="R53" s="105"/>
      <c r="S53" s="106"/>
      <c r="T53" s="107"/>
      <c r="U53" s="107"/>
      <c r="V53" s="108"/>
      <c r="W53" s="150"/>
      <c r="X53" s="150"/>
      <c r="Y53" s="104"/>
      <c r="Z53" s="157"/>
      <c r="AA53" s="106"/>
      <c r="AB53" s="107" t="s">
        <v>364</v>
      </c>
      <c r="AC53" s="107" t="s">
        <v>388</v>
      </c>
      <c r="AD53" s="108" t="s">
        <v>382</v>
      </c>
      <c r="AE53" s="109" t="s">
        <v>100</v>
      </c>
      <c r="AF53" s="181">
        <v>0.02</v>
      </c>
      <c r="AG53" s="183">
        <v>3.96</v>
      </c>
      <c r="AH53" s="160">
        <v>77153.19</v>
      </c>
      <c r="AI53" s="161">
        <v>3.8379600902312275E-6</v>
      </c>
      <c r="AJ53" s="107"/>
      <c r="AK53" s="107"/>
      <c r="AL53" s="108"/>
      <c r="AM53" s="109"/>
      <c r="AN53" s="109"/>
      <c r="AO53" s="104"/>
      <c r="AP53" s="105"/>
      <c r="AQ53" s="106"/>
      <c r="AR53" s="107"/>
      <c r="AS53" s="107"/>
      <c r="AT53" s="108"/>
      <c r="AU53" s="107"/>
      <c r="AV53" s="107"/>
      <c r="AW53" s="104"/>
      <c r="AX53" s="105"/>
      <c r="AY53" s="106"/>
      <c r="AZ53" s="107"/>
      <c r="BA53" s="107"/>
      <c r="BB53" s="108"/>
      <c r="BC53" s="109"/>
      <c r="BD53" s="109"/>
      <c r="BE53" s="104"/>
      <c r="BF53" s="105"/>
      <c r="BG53" s="106"/>
      <c r="BH53" s="107"/>
      <c r="BI53" s="107"/>
      <c r="BJ53" s="108"/>
      <c r="BK53" s="109"/>
      <c r="BL53" s="109"/>
      <c r="BM53" s="104"/>
      <c r="BN53" s="105"/>
      <c r="BO53" s="106"/>
      <c r="BP53" s="107"/>
      <c r="BQ53" s="107"/>
      <c r="BR53" s="108"/>
      <c r="BS53" s="109"/>
      <c r="BT53" s="109"/>
      <c r="BU53" s="104"/>
      <c r="BV53" s="105"/>
      <c r="BW53" s="106"/>
      <c r="BX53" s="107"/>
      <c r="BY53" s="107"/>
      <c r="BZ53" s="108"/>
      <c r="CA53" s="109"/>
    </row>
    <row r="54" spans="1:79" x14ac:dyDescent="0.2">
      <c r="A54" s="104" t="s">
        <v>305</v>
      </c>
      <c r="B54" s="105" t="s">
        <v>142</v>
      </c>
      <c r="C54" s="106" t="s">
        <v>145</v>
      </c>
      <c r="D54" s="107" t="s">
        <v>100</v>
      </c>
      <c r="E54" s="107">
        <v>2.36</v>
      </c>
      <c r="F54" s="181">
        <v>4.9800000000000004</v>
      </c>
      <c r="G54" s="154">
        <v>300390680</v>
      </c>
      <c r="H54" s="109">
        <v>1.4942836641457331E-2</v>
      </c>
      <c r="I54" s="104"/>
      <c r="J54" s="105"/>
      <c r="K54" s="106"/>
      <c r="L54" s="107"/>
      <c r="M54" s="107"/>
      <c r="N54" s="108"/>
      <c r="O54" s="150"/>
      <c r="P54" s="154"/>
      <c r="Q54" s="104"/>
      <c r="R54" s="105"/>
      <c r="S54" s="106"/>
      <c r="T54" s="107"/>
      <c r="U54" s="107"/>
      <c r="V54" s="108"/>
      <c r="W54" s="150"/>
      <c r="X54" s="150"/>
      <c r="Y54" s="104"/>
      <c r="Z54" s="157"/>
      <c r="AA54" s="106"/>
      <c r="AB54" s="107" t="s">
        <v>364</v>
      </c>
      <c r="AC54" s="107" t="s">
        <v>388</v>
      </c>
      <c r="AD54" s="108" t="s">
        <v>382</v>
      </c>
      <c r="AE54" s="109" t="s">
        <v>100</v>
      </c>
      <c r="AF54" s="181">
        <v>0.06</v>
      </c>
      <c r="AG54" s="183">
        <v>3.84</v>
      </c>
      <c r="AH54" s="160">
        <v>38501.94</v>
      </c>
      <c r="AI54" s="161">
        <v>1.9152664882537602E-6</v>
      </c>
      <c r="AJ54" s="107"/>
      <c r="AK54" s="107"/>
      <c r="AL54" s="108"/>
      <c r="AM54" s="109"/>
      <c r="AN54" s="109"/>
      <c r="AO54" s="104"/>
      <c r="AP54" s="105"/>
      <c r="AQ54" s="106"/>
      <c r="AR54" s="107"/>
      <c r="AS54" s="107"/>
      <c r="AT54" s="108"/>
      <c r="AU54" s="107"/>
      <c r="AV54" s="107"/>
      <c r="AW54" s="104"/>
      <c r="AX54" s="105"/>
      <c r="AY54" s="106"/>
      <c r="AZ54" s="107"/>
      <c r="BA54" s="107"/>
      <c r="BB54" s="108"/>
      <c r="BC54" s="109"/>
      <c r="BD54" s="109"/>
      <c r="BE54" s="104"/>
      <c r="BF54" s="105"/>
      <c r="BG54" s="106"/>
      <c r="BH54" s="107"/>
      <c r="BI54" s="107"/>
      <c r="BJ54" s="108"/>
      <c r="BK54" s="109"/>
      <c r="BL54" s="109"/>
      <c r="BM54" s="104"/>
      <c r="BN54" s="105"/>
      <c r="BO54" s="106"/>
      <c r="BP54" s="107"/>
      <c r="BQ54" s="107"/>
      <c r="BR54" s="108"/>
      <c r="BS54" s="109"/>
      <c r="BT54" s="109"/>
      <c r="BU54" s="104"/>
      <c r="BV54" s="105"/>
      <c r="BW54" s="106"/>
      <c r="BX54" s="107"/>
      <c r="BY54" s="107"/>
      <c r="BZ54" s="108"/>
      <c r="CA54" s="109"/>
    </row>
    <row r="55" spans="1:79" x14ac:dyDescent="0.2">
      <c r="A55" s="104" t="s">
        <v>305</v>
      </c>
      <c r="B55" s="105" t="s">
        <v>142</v>
      </c>
      <c r="C55" s="106" t="s">
        <v>145</v>
      </c>
      <c r="D55" s="107" t="s">
        <v>100</v>
      </c>
      <c r="E55" s="107">
        <v>3</v>
      </c>
      <c r="F55" s="181">
        <v>5.24</v>
      </c>
      <c r="G55" s="154">
        <v>111613267</v>
      </c>
      <c r="H55" s="109">
        <v>5.5521656524109217E-3</v>
      </c>
      <c r="I55" s="104"/>
      <c r="J55" s="105"/>
      <c r="K55" s="106"/>
      <c r="L55" s="107"/>
      <c r="M55" s="107"/>
      <c r="N55" s="108"/>
      <c r="O55" s="150"/>
      <c r="P55" s="154"/>
      <c r="Q55" s="104"/>
      <c r="R55" s="105"/>
      <c r="S55" s="106"/>
      <c r="T55" s="107"/>
      <c r="U55" s="107"/>
      <c r="V55" s="108"/>
      <c r="W55" s="150"/>
      <c r="X55" s="150"/>
      <c r="Y55" s="104"/>
      <c r="Z55" s="157"/>
      <c r="AA55" s="106"/>
      <c r="AB55" s="107" t="s">
        <v>364</v>
      </c>
      <c r="AC55" s="107" t="s">
        <v>388</v>
      </c>
      <c r="AD55" s="108" t="s">
        <v>382</v>
      </c>
      <c r="AE55" s="109" t="s">
        <v>100</v>
      </c>
      <c r="AF55" s="181">
        <v>0.08</v>
      </c>
      <c r="AG55" s="183">
        <v>3.96</v>
      </c>
      <c r="AH55" s="160">
        <v>72935.33</v>
      </c>
      <c r="AI55" s="161">
        <v>3.6281441810120191E-6</v>
      </c>
      <c r="AJ55" s="107"/>
      <c r="AK55" s="107"/>
      <c r="AL55" s="108"/>
      <c r="AM55" s="109"/>
      <c r="AN55" s="109"/>
      <c r="AO55" s="104"/>
      <c r="AP55" s="105"/>
      <c r="AQ55" s="106"/>
      <c r="AR55" s="107"/>
      <c r="AS55" s="107"/>
      <c r="AT55" s="108"/>
      <c r="AU55" s="107"/>
      <c r="AV55" s="107"/>
      <c r="AW55" s="104"/>
      <c r="AX55" s="105"/>
      <c r="AY55" s="106"/>
      <c r="AZ55" s="107"/>
      <c r="BA55" s="107"/>
      <c r="BB55" s="108"/>
      <c r="BC55" s="109"/>
      <c r="BD55" s="109"/>
      <c r="BE55" s="104"/>
      <c r="BF55" s="105"/>
      <c r="BG55" s="106"/>
      <c r="BH55" s="107"/>
      <c r="BI55" s="107"/>
      <c r="BJ55" s="108"/>
      <c r="BK55" s="109"/>
      <c r="BL55" s="109"/>
      <c r="BM55" s="104"/>
      <c r="BN55" s="105"/>
      <c r="BO55" s="106"/>
      <c r="BP55" s="107"/>
      <c r="BQ55" s="107"/>
      <c r="BR55" s="108"/>
      <c r="BS55" s="109"/>
      <c r="BT55" s="109"/>
      <c r="BU55" s="104"/>
      <c r="BV55" s="105"/>
      <c r="BW55" s="106"/>
      <c r="BX55" s="107"/>
      <c r="BY55" s="107"/>
      <c r="BZ55" s="108"/>
      <c r="CA55" s="109"/>
    </row>
    <row r="56" spans="1:79" x14ac:dyDescent="0.2">
      <c r="A56" s="104" t="s">
        <v>254</v>
      </c>
      <c r="B56" s="105" t="s">
        <v>142</v>
      </c>
      <c r="C56" s="106" t="s">
        <v>145</v>
      </c>
      <c r="D56" s="107" t="s">
        <v>99</v>
      </c>
      <c r="E56" s="107">
        <v>0.49</v>
      </c>
      <c r="F56" s="181">
        <v>2.42</v>
      </c>
      <c r="G56" s="154">
        <v>135050425</v>
      </c>
      <c r="H56" s="109">
        <v>6.7180394516047747E-3</v>
      </c>
      <c r="I56" s="104"/>
      <c r="J56" s="105"/>
      <c r="K56" s="106"/>
      <c r="L56" s="107"/>
      <c r="M56" s="107"/>
      <c r="N56" s="108"/>
      <c r="O56" s="150"/>
      <c r="P56" s="154"/>
      <c r="Q56" s="104"/>
      <c r="R56" s="105"/>
      <c r="S56" s="106"/>
      <c r="T56" s="107"/>
      <c r="U56" s="107"/>
      <c r="V56" s="108"/>
      <c r="W56" s="150"/>
      <c r="X56" s="150"/>
      <c r="Y56" s="104"/>
      <c r="Z56" s="157"/>
      <c r="AA56" s="106"/>
      <c r="AB56" s="107" t="s">
        <v>364</v>
      </c>
      <c r="AC56" s="107" t="s">
        <v>388</v>
      </c>
      <c r="AD56" s="108" t="s">
        <v>382</v>
      </c>
      <c r="AE56" s="109" t="s">
        <v>100</v>
      </c>
      <c r="AF56" s="181">
        <v>0.09</v>
      </c>
      <c r="AG56" s="183">
        <v>3.9</v>
      </c>
      <c r="AH56" s="160">
        <v>155202.20000000001</v>
      </c>
      <c r="AI56" s="161">
        <v>7.7204828528557642E-6</v>
      </c>
      <c r="AJ56" s="107"/>
      <c r="AK56" s="107"/>
      <c r="AL56" s="108"/>
      <c r="AM56" s="109"/>
      <c r="AN56" s="109"/>
      <c r="AO56" s="104"/>
      <c r="AP56" s="105"/>
      <c r="AQ56" s="106"/>
      <c r="AR56" s="107"/>
      <c r="AS56" s="107"/>
      <c r="AT56" s="108"/>
      <c r="AU56" s="107"/>
      <c r="AV56" s="107"/>
      <c r="AW56" s="104"/>
      <c r="AX56" s="105"/>
      <c r="AY56" s="106"/>
      <c r="AZ56" s="107"/>
      <c r="BA56" s="107"/>
      <c r="BB56" s="108"/>
      <c r="BC56" s="109"/>
      <c r="BD56" s="109"/>
      <c r="BE56" s="104"/>
      <c r="BF56" s="105"/>
      <c r="BG56" s="106"/>
      <c r="BH56" s="107"/>
      <c r="BI56" s="107"/>
      <c r="BJ56" s="108"/>
      <c r="BK56" s="109"/>
      <c r="BL56" s="109"/>
      <c r="BM56" s="104"/>
      <c r="BN56" s="105"/>
      <c r="BO56" s="106"/>
      <c r="BP56" s="107"/>
      <c r="BQ56" s="107"/>
      <c r="BR56" s="108"/>
      <c r="BS56" s="109"/>
      <c r="BT56" s="109"/>
      <c r="BU56" s="104"/>
      <c r="BV56" s="105"/>
      <c r="BW56" s="106"/>
      <c r="BX56" s="107"/>
      <c r="BY56" s="107"/>
      <c r="BZ56" s="108"/>
      <c r="CA56" s="109"/>
    </row>
    <row r="57" spans="1:79" x14ac:dyDescent="0.2">
      <c r="A57" s="104" t="s">
        <v>254</v>
      </c>
      <c r="B57" s="105" t="s">
        <v>142</v>
      </c>
      <c r="C57" s="106" t="s">
        <v>145</v>
      </c>
      <c r="D57" s="107" t="s">
        <v>99</v>
      </c>
      <c r="E57" s="107">
        <v>0.74</v>
      </c>
      <c r="F57" s="181">
        <v>2.1800000000000002</v>
      </c>
      <c r="G57" s="154">
        <v>268298650</v>
      </c>
      <c r="H57" s="109">
        <v>1.3346429050573526E-2</v>
      </c>
      <c r="I57" s="104"/>
      <c r="J57" s="105"/>
      <c r="K57" s="106"/>
      <c r="L57" s="107"/>
      <c r="M57" s="107"/>
      <c r="N57" s="108"/>
      <c r="O57" s="150"/>
      <c r="P57" s="154"/>
      <c r="Q57" s="104"/>
      <c r="R57" s="105"/>
      <c r="S57" s="106"/>
      <c r="T57" s="107"/>
      <c r="U57" s="107"/>
      <c r="V57" s="108"/>
      <c r="W57" s="150"/>
      <c r="X57" s="150"/>
      <c r="Y57" s="104"/>
      <c r="Z57" s="157"/>
      <c r="AA57" s="106"/>
      <c r="AB57" s="107" t="s">
        <v>364</v>
      </c>
      <c r="AC57" s="107" t="s">
        <v>388</v>
      </c>
      <c r="AD57" s="108" t="s">
        <v>382</v>
      </c>
      <c r="AE57" s="109" t="s">
        <v>100</v>
      </c>
      <c r="AF57" s="181">
        <v>0.09</v>
      </c>
      <c r="AG57" s="183">
        <v>3.96</v>
      </c>
      <c r="AH57" s="160">
        <v>11533.79</v>
      </c>
      <c r="AI57" s="161">
        <v>5.7374439711492365E-7</v>
      </c>
      <c r="AJ57" s="107"/>
      <c r="AK57" s="107"/>
      <c r="AL57" s="108"/>
      <c r="AM57" s="109"/>
      <c r="AN57" s="109"/>
      <c r="AO57" s="104"/>
      <c r="AP57" s="105"/>
      <c r="AQ57" s="106"/>
      <c r="AR57" s="107"/>
      <c r="AS57" s="107"/>
      <c r="AT57" s="108"/>
      <c r="AU57" s="107"/>
      <c r="AV57" s="107"/>
      <c r="AW57" s="104"/>
      <c r="AX57" s="105"/>
      <c r="AY57" s="106"/>
      <c r="AZ57" s="107"/>
      <c r="BA57" s="107"/>
      <c r="BB57" s="108"/>
      <c r="BC57" s="109"/>
      <c r="BD57" s="109"/>
      <c r="BE57" s="104"/>
      <c r="BF57" s="105"/>
      <c r="BG57" s="106"/>
      <c r="BH57" s="107"/>
      <c r="BI57" s="107"/>
      <c r="BJ57" s="108"/>
      <c r="BK57" s="109"/>
      <c r="BL57" s="109"/>
      <c r="BM57" s="104"/>
      <c r="BN57" s="105"/>
      <c r="BO57" s="106"/>
      <c r="BP57" s="107"/>
      <c r="BQ57" s="107"/>
      <c r="BR57" s="108"/>
      <c r="BS57" s="109"/>
      <c r="BT57" s="109"/>
      <c r="BU57" s="104"/>
      <c r="BV57" s="105"/>
      <c r="BW57" s="106"/>
      <c r="BX57" s="107"/>
      <c r="BY57" s="107"/>
      <c r="BZ57" s="108"/>
      <c r="CA57" s="109"/>
    </row>
    <row r="58" spans="1:79" x14ac:dyDescent="0.2">
      <c r="A58" s="104" t="s">
        <v>254</v>
      </c>
      <c r="B58" s="105" t="s">
        <v>142</v>
      </c>
      <c r="C58" s="106" t="s">
        <v>145</v>
      </c>
      <c r="D58" s="107" t="s">
        <v>99</v>
      </c>
      <c r="E58" s="107">
        <v>2.33</v>
      </c>
      <c r="F58" s="181">
        <v>1.89</v>
      </c>
      <c r="G58" s="154">
        <v>27408114</v>
      </c>
      <c r="H58" s="109">
        <v>1.3634077134231984E-3</v>
      </c>
      <c r="I58" s="104"/>
      <c r="J58" s="105"/>
      <c r="K58" s="106"/>
      <c r="L58" s="107"/>
      <c r="M58" s="107"/>
      <c r="N58" s="108"/>
      <c r="O58" s="150"/>
      <c r="P58" s="154"/>
      <c r="Q58" s="104"/>
      <c r="R58" s="105"/>
      <c r="S58" s="106"/>
      <c r="T58" s="107"/>
      <c r="U58" s="107"/>
      <c r="V58" s="108"/>
      <c r="W58" s="150"/>
      <c r="X58" s="150"/>
      <c r="Y58" s="104"/>
      <c r="Z58" s="157"/>
      <c r="AA58" s="106"/>
      <c r="AB58" s="107" t="s">
        <v>364</v>
      </c>
      <c r="AC58" s="107" t="s">
        <v>388</v>
      </c>
      <c r="AD58" s="108" t="s">
        <v>382</v>
      </c>
      <c r="AE58" s="109" t="s">
        <v>100</v>
      </c>
      <c r="AF58" s="181">
        <v>0.16</v>
      </c>
      <c r="AG58" s="183">
        <v>3.72</v>
      </c>
      <c r="AH58" s="160">
        <v>383638.33</v>
      </c>
      <c r="AI58" s="161">
        <v>1.9083964109196496E-5</v>
      </c>
      <c r="AJ58" s="107"/>
      <c r="AK58" s="107"/>
      <c r="AL58" s="108"/>
      <c r="AM58" s="109"/>
      <c r="AN58" s="109"/>
      <c r="AO58" s="104"/>
      <c r="AP58" s="105"/>
      <c r="AQ58" s="106"/>
      <c r="AR58" s="107"/>
      <c r="AS58" s="107"/>
      <c r="AT58" s="108"/>
      <c r="AU58" s="107"/>
      <c r="AV58" s="107"/>
      <c r="AW58" s="104"/>
      <c r="AX58" s="105"/>
      <c r="AY58" s="106"/>
      <c r="AZ58" s="107"/>
      <c r="BA58" s="107"/>
      <c r="BB58" s="108"/>
      <c r="BC58" s="109"/>
      <c r="BD58" s="109"/>
      <c r="BE58" s="104"/>
      <c r="BF58" s="105"/>
      <c r="BG58" s="106"/>
      <c r="BH58" s="107"/>
      <c r="BI58" s="107"/>
      <c r="BJ58" s="108"/>
      <c r="BK58" s="109"/>
      <c r="BL58" s="109"/>
      <c r="BM58" s="104"/>
      <c r="BN58" s="105"/>
      <c r="BO58" s="106"/>
      <c r="BP58" s="107"/>
      <c r="BQ58" s="107"/>
      <c r="BR58" s="108"/>
      <c r="BS58" s="109"/>
      <c r="BT58" s="109"/>
      <c r="BU58" s="104"/>
      <c r="BV58" s="105"/>
      <c r="BW58" s="106"/>
      <c r="BX58" s="107"/>
      <c r="BY58" s="107"/>
      <c r="BZ58" s="108"/>
      <c r="CA58" s="109"/>
    </row>
    <row r="59" spans="1:79" x14ac:dyDescent="0.2">
      <c r="A59" s="104" t="s">
        <v>254</v>
      </c>
      <c r="B59" s="105" t="s">
        <v>142</v>
      </c>
      <c r="C59" s="106" t="s">
        <v>145</v>
      </c>
      <c r="D59" s="107" t="s">
        <v>100</v>
      </c>
      <c r="E59" s="107">
        <v>1.37</v>
      </c>
      <c r="F59" s="181">
        <v>4.49</v>
      </c>
      <c r="G59" s="154">
        <v>744981953</v>
      </c>
      <c r="H59" s="109">
        <v>3.7058884864579832E-2</v>
      </c>
      <c r="I59" s="104"/>
      <c r="J59" s="105"/>
      <c r="K59" s="106"/>
      <c r="L59" s="107"/>
      <c r="M59" s="107"/>
      <c r="N59" s="108"/>
      <c r="O59" s="150"/>
      <c r="P59" s="154"/>
      <c r="Q59" s="104"/>
      <c r="R59" s="105"/>
      <c r="S59" s="106"/>
      <c r="T59" s="107"/>
      <c r="U59" s="107"/>
      <c r="V59" s="108"/>
      <c r="W59" s="150"/>
      <c r="X59" s="150"/>
      <c r="Y59" s="104"/>
      <c r="Z59" s="157"/>
      <c r="AA59" s="106"/>
      <c r="AB59" s="107" t="s">
        <v>364</v>
      </c>
      <c r="AC59" s="107" t="s">
        <v>388</v>
      </c>
      <c r="AD59" s="108" t="s">
        <v>382</v>
      </c>
      <c r="AE59" s="109" t="s">
        <v>100</v>
      </c>
      <c r="AF59" s="181">
        <v>0.24</v>
      </c>
      <c r="AG59" s="183">
        <v>3.96</v>
      </c>
      <c r="AH59" s="160">
        <v>76462.649999999994</v>
      </c>
      <c r="AI59" s="161">
        <v>3.8036097010734414E-6</v>
      </c>
      <c r="AJ59" s="107"/>
      <c r="AK59" s="107"/>
      <c r="AL59" s="108"/>
      <c r="AM59" s="109"/>
      <c r="AN59" s="109"/>
      <c r="AO59" s="104"/>
      <c r="AP59" s="105"/>
      <c r="AQ59" s="106"/>
      <c r="AR59" s="107"/>
      <c r="AS59" s="107"/>
      <c r="AT59" s="108"/>
      <c r="AU59" s="107"/>
      <c r="AV59" s="107"/>
      <c r="AW59" s="104"/>
      <c r="AX59" s="105"/>
      <c r="AY59" s="106"/>
      <c r="AZ59" s="107"/>
      <c r="BA59" s="107"/>
      <c r="BB59" s="108"/>
      <c r="BC59" s="109"/>
      <c r="BD59" s="109"/>
      <c r="BE59" s="104"/>
      <c r="BF59" s="105"/>
      <c r="BG59" s="106"/>
      <c r="BH59" s="107"/>
      <c r="BI59" s="107"/>
      <c r="BJ59" s="108"/>
      <c r="BK59" s="109"/>
      <c r="BL59" s="109"/>
      <c r="BM59" s="104"/>
      <c r="BN59" s="105"/>
      <c r="BO59" s="106"/>
      <c r="BP59" s="107"/>
      <c r="BQ59" s="107"/>
      <c r="BR59" s="108"/>
      <c r="BS59" s="109"/>
      <c r="BT59" s="109"/>
      <c r="BU59" s="104"/>
      <c r="BV59" s="105"/>
      <c r="BW59" s="106"/>
      <c r="BX59" s="107"/>
      <c r="BY59" s="107"/>
      <c r="BZ59" s="108"/>
      <c r="CA59" s="109"/>
    </row>
    <row r="60" spans="1:79" x14ac:dyDescent="0.2">
      <c r="A60" s="104" t="s">
        <v>254</v>
      </c>
      <c r="B60" s="105" t="s">
        <v>142</v>
      </c>
      <c r="C60" s="106" t="s">
        <v>145</v>
      </c>
      <c r="D60" s="107" t="s">
        <v>99</v>
      </c>
      <c r="E60" s="107">
        <v>3.08</v>
      </c>
      <c r="F60" s="181">
        <v>1.95</v>
      </c>
      <c r="G60" s="154">
        <v>250532707</v>
      </c>
      <c r="H60" s="109">
        <v>1.2462667996367575E-2</v>
      </c>
      <c r="I60" s="104"/>
      <c r="J60" s="105"/>
      <c r="K60" s="106"/>
      <c r="L60" s="107"/>
      <c r="M60" s="107"/>
      <c r="N60" s="108"/>
      <c r="O60" s="150"/>
      <c r="P60" s="154"/>
      <c r="Q60" s="104"/>
      <c r="R60" s="105"/>
      <c r="S60" s="106"/>
      <c r="T60" s="107"/>
      <c r="U60" s="107"/>
      <c r="V60" s="108"/>
      <c r="W60" s="150"/>
      <c r="X60" s="150"/>
      <c r="Y60" s="104"/>
      <c r="Z60" s="157"/>
      <c r="AA60" s="106"/>
      <c r="AB60" s="107" t="s">
        <v>364</v>
      </c>
      <c r="AC60" s="107" t="s">
        <v>388</v>
      </c>
      <c r="AD60" s="108" t="s">
        <v>382</v>
      </c>
      <c r="AE60" s="109" t="s">
        <v>100</v>
      </c>
      <c r="AF60" s="181">
        <v>0.25</v>
      </c>
      <c r="AG60" s="183">
        <v>3.96</v>
      </c>
      <c r="AH60" s="160">
        <v>343960.62</v>
      </c>
      <c r="AI60" s="161">
        <v>1.7110209115913751E-5</v>
      </c>
      <c r="AJ60" s="107"/>
      <c r="AK60" s="107"/>
      <c r="AL60" s="108"/>
      <c r="AM60" s="109"/>
      <c r="AN60" s="109"/>
      <c r="AO60" s="104"/>
      <c r="AP60" s="105"/>
      <c r="AQ60" s="106"/>
      <c r="AR60" s="107"/>
      <c r="AS60" s="107"/>
      <c r="AT60" s="108"/>
      <c r="AU60" s="107"/>
      <c r="AV60" s="107"/>
      <c r="AW60" s="104"/>
      <c r="AX60" s="105"/>
      <c r="AY60" s="106"/>
      <c r="AZ60" s="107"/>
      <c r="BA60" s="107"/>
      <c r="BB60" s="108"/>
      <c r="BC60" s="109"/>
      <c r="BD60" s="109"/>
      <c r="BE60" s="104"/>
      <c r="BF60" s="105"/>
      <c r="BG60" s="106"/>
      <c r="BH60" s="107"/>
      <c r="BI60" s="107"/>
      <c r="BJ60" s="108"/>
      <c r="BK60" s="109"/>
      <c r="BL60" s="109"/>
      <c r="BM60" s="104"/>
      <c r="BN60" s="105"/>
      <c r="BO60" s="106"/>
      <c r="BP60" s="107"/>
      <c r="BQ60" s="107"/>
      <c r="BR60" s="108"/>
      <c r="BS60" s="109"/>
      <c r="BT60" s="109"/>
      <c r="BU60" s="104"/>
      <c r="BV60" s="105"/>
      <c r="BW60" s="106"/>
      <c r="BX60" s="107"/>
      <c r="BY60" s="107"/>
      <c r="BZ60" s="108"/>
      <c r="CA60" s="109"/>
    </row>
    <row r="61" spans="1:79" x14ac:dyDescent="0.2">
      <c r="A61" s="104" t="s">
        <v>326</v>
      </c>
      <c r="B61" s="105" t="s">
        <v>142</v>
      </c>
      <c r="C61" s="106" t="s">
        <v>145</v>
      </c>
      <c r="D61" s="107" t="s">
        <v>99</v>
      </c>
      <c r="E61" s="107">
        <v>0.9</v>
      </c>
      <c r="F61" s="181">
        <v>2.1</v>
      </c>
      <c r="G61" s="154">
        <v>231879593</v>
      </c>
      <c r="H61" s="109">
        <v>1.1534774909416673E-2</v>
      </c>
      <c r="I61" s="104"/>
      <c r="J61" s="105"/>
      <c r="K61" s="106"/>
      <c r="L61" s="107"/>
      <c r="M61" s="107"/>
      <c r="N61" s="108"/>
      <c r="O61" s="150"/>
      <c r="P61" s="154"/>
      <c r="Q61" s="104"/>
      <c r="R61" s="105"/>
      <c r="S61" s="106"/>
      <c r="T61" s="107"/>
      <c r="U61" s="107"/>
      <c r="V61" s="108"/>
      <c r="W61" s="150"/>
      <c r="X61" s="150"/>
      <c r="Y61" s="104"/>
      <c r="Z61" s="157"/>
      <c r="AA61" s="106"/>
      <c r="AB61" s="107" t="s">
        <v>364</v>
      </c>
      <c r="AC61" s="107" t="s">
        <v>388</v>
      </c>
      <c r="AD61" s="108" t="s">
        <v>382</v>
      </c>
      <c r="AE61" s="109" t="s">
        <v>100</v>
      </c>
      <c r="AF61" s="181">
        <v>0.28999999999999998</v>
      </c>
      <c r="AG61" s="183">
        <v>3.96</v>
      </c>
      <c r="AH61" s="160">
        <v>152608.03</v>
      </c>
      <c r="AI61" s="161">
        <v>7.591436784862196E-6</v>
      </c>
      <c r="AJ61" s="107"/>
      <c r="AK61" s="107"/>
      <c r="AL61" s="108"/>
      <c r="AM61" s="109"/>
      <c r="AN61" s="109"/>
      <c r="AO61" s="104"/>
      <c r="AP61" s="105"/>
      <c r="AQ61" s="106"/>
      <c r="AR61" s="107"/>
      <c r="AS61" s="107"/>
      <c r="AT61" s="108"/>
      <c r="AU61" s="107"/>
      <c r="AV61" s="107"/>
      <c r="AW61" s="104"/>
      <c r="AX61" s="105"/>
      <c r="AY61" s="106"/>
      <c r="AZ61" s="107"/>
      <c r="BA61" s="107"/>
      <c r="BB61" s="108"/>
      <c r="BC61" s="109"/>
      <c r="BD61" s="109"/>
      <c r="BE61" s="104"/>
      <c r="BF61" s="105"/>
      <c r="BG61" s="106"/>
      <c r="BH61" s="107"/>
      <c r="BI61" s="107"/>
      <c r="BJ61" s="108"/>
      <c r="BK61" s="109"/>
      <c r="BL61" s="109"/>
      <c r="BM61" s="104"/>
      <c r="BN61" s="105"/>
      <c r="BO61" s="106"/>
      <c r="BP61" s="107"/>
      <c r="BQ61" s="107"/>
      <c r="BR61" s="108"/>
      <c r="BS61" s="109"/>
      <c r="BT61" s="109"/>
      <c r="BU61" s="104"/>
      <c r="BV61" s="105"/>
      <c r="BW61" s="106"/>
      <c r="BX61" s="107"/>
      <c r="BY61" s="107"/>
      <c r="BZ61" s="108"/>
      <c r="CA61" s="109"/>
    </row>
    <row r="62" spans="1:79" x14ac:dyDescent="0.2">
      <c r="A62" s="104" t="s">
        <v>326</v>
      </c>
      <c r="B62" s="105" t="s">
        <v>142</v>
      </c>
      <c r="C62" s="106" t="s">
        <v>145</v>
      </c>
      <c r="D62" s="107" t="s">
        <v>99</v>
      </c>
      <c r="E62" s="107">
        <v>1.81</v>
      </c>
      <c r="F62" s="181">
        <v>1.95</v>
      </c>
      <c r="G62" s="154">
        <v>137119601</v>
      </c>
      <c r="H62" s="109">
        <v>6.8209699384974573E-3</v>
      </c>
      <c r="I62" s="104"/>
      <c r="J62" s="105"/>
      <c r="K62" s="106"/>
      <c r="L62" s="107"/>
      <c r="M62" s="107"/>
      <c r="N62" s="108"/>
      <c r="O62" s="150"/>
      <c r="P62" s="154"/>
      <c r="Q62" s="104"/>
      <c r="R62" s="105"/>
      <c r="S62" s="106"/>
      <c r="T62" s="107"/>
      <c r="U62" s="107"/>
      <c r="V62" s="108"/>
      <c r="W62" s="150"/>
      <c r="X62" s="150"/>
      <c r="Y62" s="104"/>
      <c r="Z62" s="157"/>
      <c r="AA62" s="106"/>
      <c r="AB62" s="107" t="s">
        <v>364</v>
      </c>
      <c r="AC62" s="107" t="s">
        <v>388</v>
      </c>
      <c r="AD62" s="108" t="s">
        <v>382</v>
      </c>
      <c r="AE62" s="109" t="s">
        <v>100</v>
      </c>
      <c r="AF62" s="181">
        <v>0.3</v>
      </c>
      <c r="AG62" s="183">
        <v>3.96</v>
      </c>
      <c r="AH62" s="160">
        <v>305197.40000000002</v>
      </c>
      <c r="AI62" s="161">
        <v>1.518194517988712E-5</v>
      </c>
      <c r="AJ62" s="107"/>
      <c r="AK62" s="107"/>
      <c r="AL62" s="108"/>
      <c r="AM62" s="109"/>
      <c r="AN62" s="109"/>
      <c r="AO62" s="104"/>
      <c r="AP62" s="105"/>
      <c r="AQ62" s="106"/>
      <c r="AR62" s="107"/>
      <c r="AS62" s="107"/>
      <c r="AT62" s="108"/>
      <c r="AU62" s="107"/>
      <c r="AV62" s="107"/>
      <c r="AW62" s="104"/>
      <c r="AX62" s="105"/>
      <c r="AY62" s="106"/>
      <c r="AZ62" s="107"/>
      <c r="BA62" s="107"/>
      <c r="BB62" s="108"/>
      <c r="BC62" s="109"/>
      <c r="BD62" s="109"/>
      <c r="BE62" s="104"/>
      <c r="BF62" s="105"/>
      <c r="BG62" s="106"/>
      <c r="BH62" s="107"/>
      <c r="BI62" s="107"/>
      <c r="BJ62" s="108"/>
      <c r="BK62" s="109"/>
      <c r="BL62" s="109"/>
      <c r="BM62" s="104"/>
      <c r="BN62" s="105"/>
      <c r="BO62" s="106"/>
      <c r="BP62" s="107"/>
      <c r="BQ62" s="107"/>
      <c r="BR62" s="108"/>
      <c r="BS62" s="109"/>
      <c r="BT62" s="109"/>
      <c r="BU62" s="104"/>
      <c r="BV62" s="105"/>
      <c r="BW62" s="106"/>
      <c r="BX62" s="107"/>
      <c r="BY62" s="107"/>
      <c r="BZ62" s="108"/>
      <c r="CA62" s="109"/>
    </row>
    <row r="63" spans="1:79" x14ac:dyDescent="0.2">
      <c r="A63" s="104" t="s">
        <v>332</v>
      </c>
      <c r="B63" s="105" t="s">
        <v>142</v>
      </c>
      <c r="C63" s="106" t="s">
        <v>145</v>
      </c>
      <c r="D63" s="107" t="s">
        <v>99</v>
      </c>
      <c r="E63" s="107">
        <v>1.4</v>
      </c>
      <c r="F63" s="181">
        <v>2.1800000000000002</v>
      </c>
      <c r="G63" s="154">
        <v>139897719</v>
      </c>
      <c r="H63" s="109">
        <v>6.9591665145186977E-3</v>
      </c>
      <c r="I63" s="104"/>
      <c r="J63" s="105"/>
      <c r="K63" s="106"/>
      <c r="L63" s="107"/>
      <c r="M63" s="107"/>
      <c r="N63" s="108"/>
      <c r="O63" s="150"/>
      <c r="P63" s="154"/>
      <c r="Q63" s="104"/>
      <c r="R63" s="105"/>
      <c r="S63" s="106"/>
      <c r="T63" s="107"/>
      <c r="U63" s="107"/>
      <c r="V63" s="108"/>
      <c r="W63" s="150"/>
      <c r="X63" s="150"/>
      <c r="Y63" s="104"/>
      <c r="Z63" s="157"/>
      <c r="AA63" s="106"/>
      <c r="AB63" s="107" t="s">
        <v>364</v>
      </c>
      <c r="AC63" s="107" t="s">
        <v>388</v>
      </c>
      <c r="AD63" s="108" t="s">
        <v>382</v>
      </c>
      <c r="AE63" s="109" t="s">
        <v>100</v>
      </c>
      <c r="AF63" s="181">
        <v>0.32</v>
      </c>
      <c r="AG63" s="183">
        <v>3.96</v>
      </c>
      <c r="AH63" s="160">
        <v>381156.14</v>
      </c>
      <c r="AI63" s="161">
        <v>1.8960488375252092E-5</v>
      </c>
      <c r="AJ63" s="107"/>
      <c r="AK63" s="107"/>
      <c r="AL63" s="108"/>
      <c r="AM63" s="109"/>
      <c r="AN63" s="109"/>
      <c r="AO63" s="104"/>
      <c r="AP63" s="105"/>
      <c r="AQ63" s="106"/>
      <c r="AR63" s="107"/>
      <c r="AS63" s="107"/>
      <c r="AT63" s="108"/>
      <c r="AU63" s="107"/>
      <c r="AV63" s="107"/>
      <c r="AW63" s="104"/>
      <c r="AX63" s="105"/>
      <c r="AY63" s="106"/>
      <c r="AZ63" s="107"/>
      <c r="BA63" s="107"/>
      <c r="BB63" s="108"/>
      <c r="BC63" s="109"/>
      <c r="BD63" s="109"/>
      <c r="BE63" s="104"/>
      <c r="BF63" s="105"/>
      <c r="BG63" s="106"/>
      <c r="BH63" s="107"/>
      <c r="BI63" s="107"/>
      <c r="BJ63" s="108"/>
      <c r="BK63" s="109"/>
      <c r="BL63" s="109"/>
      <c r="BM63" s="104"/>
      <c r="BN63" s="105"/>
      <c r="BO63" s="106"/>
      <c r="BP63" s="107"/>
      <c r="BQ63" s="107"/>
      <c r="BR63" s="108"/>
      <c r="BS63" s="109"/>
      <c r="BT63" s="109"/>
      <c r="BU63" s="104"/>
      <c r="BV63" s="105"/>
      <c r="BW63" s="106"/>
      <c r="BX63" s="107"/>
      <c r="BY63" s="107"/>
      <c r="BZ63" s="108"/>
      <c r="CA63" s="109"/>
    </row>
    <row r="64" spans="1:79" x14ac:dyDescent="0.2">
      <c r="A64" s="104" t="s">
        <v>337</v>
      </c>
      <c r="B64" s="105" t="s">
        <v>142</v>
      </c>
      <c r="C64" s="106" t="s">
        <v>128</v>
      </c>
      <c r="D64" s="107" t="s">
        <v>99</v>
      </c>
      <c r="E64" s="107">
        <v>1.43</v>
      </c>
      <c r="F64" s="181">
        <v>2.11</v>
      </c>
      <c r="G64" s="154">
        <v>20173855</v>
      </c>
      <c r="H64" s="109">
        <v>1.0035418532074536E-3</v>
      </c>
      <c r="I64" s="104"/>
      <c r="J64" s="105"/>
      <c r="K64" s="106"/>
      <c r="L64" s="107"/>
      <c r="M64" s="107"/>
      <c r="N64" s="108"/>
      <c r="O64" s="150"/>
      <c r="P64" s="154"/>
      <c r="Q64" s="104"/>
      <c r="R64" s="105"/>
      <c r="S64" s="106"/>
      <c r="T64" s="107"/>
      <c r="U64" s="107"/>
      <c r="V64" s="108"/>
      <c r="W64" s="150"/>
      <c r="X64" s="150"/>
      <c r="Y64" s="104"/>
      <c r="Z64" s="157"/>
      <c r="AA64" s="106"/>
      <c r="AB64" s="107" t="s">
        <v>364</v>
      </c>
      <c r="AC64" s="107" t="s">
        <v>388</v>
      </c>
      <c r="AD64" s="108" t="s">
        <v>382</v>
      </c>
      <c r="AE64" s="109" t="s">
        <v>100</v>
      </c>
      <c r="AF64" s="181">
        <v>0.34</v>
      </c>
      <c r="AG64" s="183">
        <v>3.96</v>
      </c>
      <c r="AH64" s="160">
        <v>152328.07999999999</v>
      </c>
      <c r="AI64" s="161">
        <v>7.5775109472520532E-6</v>
      </c>
      <c r="AJ64" s="107"/>
      <c r="AK64" s="107"/>
      <c r="AL64" s="108"/>
      <c r="AM64" s="109"/>
      <c r="AN64" s="109"/>
      <c r="AO64" s="104"/>
      <c r="AP64" s="105"/>
      <c r="AQ64" s="106"/>
      <c r="AR64" s="107"/>
      <c r="AS64" s="107"/>
      <c r="AT64" s="108"/>
      <c r="AU64" s="107"/>
      <c r="AV64" s="107"/>
      <c r="AW64" s="104"/>
      <c r="AX64" s="105"/>
      <c r="AY64" s="106"/>
      <c r="AZ64" s="107"/>
      <c r="BA64" s="107"/>
      <c r="BB64" s="108"/>
      <c r="BC64" s="109"/>
      <c r="BD64" s="109"/>
      <c r="BE64" s="104"/>
      <c r="BF64" s="105"/>
      <c r="BG64" s="106"/>
      <c r="BH64" s="107"/>
      <c r="BI64" s="107"/>
      <c r="BJ64" s="108"/>
      <c r="BK64" s="109"/>
      <c r="BL64" s="109"/>
      <c r="BM64" s="104"/>
      <c r="BN64" s="105"/>
      <c r="BO64" s="106"/>
      <c r="BP64" s="107"/>
      <c r="BQ64" s="107"/>
      <c r="BR64" s="108"/>
      <c r="BS64" s="109"/>
      <c r="BT64" s="109"/>
      <c r="BU64" s="104"/>
      <c r="BV64" s="105"/>
      <c r="BW64" s="106"/>
      <c r="BX64" s="107"/>
      <c r="BY64" s="107"/>
      <c r="BZ64" s="108"/>
      <c r="CA64" s="109"/>
    </row>
    <row r="65" spans="1:79" x14ac:dyDescent="0.2">
      <c r="A65" s="104" t="s">
        <v>341</v>
      </c>
      <c r="B65" s="105" t="s">
        <v>142</v>
      </c>
      <c r="C65" s="106" t="s">
        <v>156</v>
      </c>
      <c r="D65" s="107" t="s">
        <v>99</v>
      </c>
      <c r="E65" s="107">
        <v>0.83</v>
      </c>
      <c r="F65" s="181">
        <v>2.2400000000000002</v>
      </c>
      <c r="G65" s="154">
        <v>267104132</v>
      </c>
      <c r="H65" s="109">
        <v>1.3287008141312028E-2</v>
      </c>
      <c r="I65" s="104"/>
      <c r="J65" s="105"/>
      <c r="K65" s="106"/>
      <c r="L65" s="107"/>
      <c r="M65" s="107"/>
      <c r="N65" s="108"/>
      <c r="O65" s="150"/>
      <c r="P65" s="154"/>
      <c r="Q65" s="104"/>
      <c r="R65" s="105"/>
      <c r="S65" s="106"/>
      <c r="T65" s="107"/>
      <c r="U65" s="107"/>
      <c r="V65" s="108"/>
      <c r="W65" s="150"/>
      <c r="X65" s="150"/>
      <c r="Y65" s="104"/>
      <c r="Z65" s="157"/>
      <c r="AA65" s="106"/>
      <c r="AB65" s="107" t="s">
        <v>364</v>
      </c>
      <c r="AC65" s="107" t="s">
        <v>388</v>
      </c>
      <c r="AD65" s="108" t="s">
        <v>382</v>
      </c>
      <c r="AE65" s="109" t="s">
        <v>100</v>
      </c>
      <c r="AF65" s="181">
        <v>0.38</v>
      </c>
      <c r="AG65" s="183">
        <v>3.96</v>
      </c>
      <c r="AH65" s="160">
        <v>76052.06</v>
      </c>
      <c r="AI65" s="161">
        <v>3.7831851395768629E-6</v>
      </c>
      <c r="AJ65" s="107"/>
      <c r="AK65" s="107"/>
      <c r="AL65" s="108"/>
      <c r="AM65" s="109"/>
      <c r="AN65" s="109"/>
      <c r="AO65" s="104"/>
      <c r="AP65" s="105"/>
      <c r="AQ65" s="106"/>
      <c r="AR65" s="107"/>
      <c r="AS65" s="107"/>
      <c r="AT65" s="108"/>
      <c r="AU65" s="107"/>
      <c r="AV65" s="107"/>
      <c r="AW65" s="104"/>
      <c r="AX65" s="105"/>
      <c r="AY65" s="106"/>
      <c r="AZ65" s="107"/>
      <c r="BA65" s="107"/>
      <c r="BB65" s="108"/>
      <c r="BC65" s="109"/>
      <c r="BD65" s="109"/>
      <c r="BE65" s="104"/>
      <c r="BF65" s="105"/>
      <c r="BG65" s="106"/>
      <c r="BH65" s="107"/>
      <c r="BI65" s="107"/>
      <c r="BJ65" s="108"/>
      <c r="BK65" s="109"/>
      <c r="BL65" s="109"/>
      <c r="BM65" s="104"/>
      <c r="BN65" s="105"/>
      <c r="BO65" s="106"/>
      <c r="BP65" s="107"/>
      <c r="BQ65" s="107"/>
      <c r="BR65" s="108"/>
      <c r="BS65" s="109"/>
      <c r="BT65" s="109"/>
      <c r="BU65" s="104"/>
      <c r="BV65" s="105"/>
      <c r="BW65" s="106"/>
      <c r="BX65" s="107"/>
      <c r="BY65" s="107"/>
      <c r="BZ65" s="108"/>
      <c r="CA65" s="109"/>
    </row>
    <row r="66" spans="1:79" x14ac:dyDescent="0.2">
      <c r="A66" s="104" t="s">
        <v>341</v>
      </c>
      <c r="B66" s="105" t="s">
        <v>142</v>
      </c>
      <c r="C66" s="106" t="s">
        <v>156</v>
      </c>
      <c r="D66" s="107" t="s">
        <v>99</v>
      </c>
      <c r="E66" s="107">
        <v>2.36</v>
      </c>
      <c r="F66" s="181">
        <v>1.92</v>
      </c>
      <c r="G66" s="154">
        <v>53537588</v>
      </c>
      <c r="H66" s="109">
        <v>2.6632098960648392E-3</v>
      </c>
      <c r="I66" s="104"/>
      <c r="J66" s="105"/>
      <c r="K66" s="106"/>
      <c r="L66" s="107"/>
      <c r="M66" s="107"/>
      <c r="N66" s="108"/>
      <c r="O66" s="150"/>
      <c r="P66" s="154"/>
      <c r="Q66" s="104"/>
      <c r="R66" s="105"/>
      <c r="S66" s="106"/>
      <c r="T66" s="107"/>
      <c r="U66" s="107"/>
      <c r="V66" s="108"/>
      <c r="W66" s="150"/>
      <c r="X66" s="150"/>
      <c r="Y66" s="104"/>
      <c r="Z66" s="157"/>
      <c r="AA66" s="106"/>
      <c r="AB66" s="107" t="s">
        <v>364</v>
      </c>
      <c r="AC66" s="107" t="s">
        <v>388</v>
      </c>
      <c r="AD66" s="108" t="s">
        <v>382</v>
      </c>
      <c r="AE66" s="109" t="s">
        <v>100</v>
      </c>
      <c r="AF66" s="181">
        <v>0.39</v>
      </c>
      <c r="AG66" s="183">
        <v>3.96</v>
      </c>
      <c r="AH66" s="160">
        <v>37998.04</v>
      </c>
      <c r="AI66" s="161">
        <v>1.8901999875197574E-6</v>
      </c>
      <c r="AJ66" s="107"/>
      <c r="AK66" s="107"/>
      <c r="AL66" s="108"/>
      <c r="AM66" s="109"/>
      <c r="AN66" s="109"/>
      <c r="AO66" s="104"/>
      <c r="AP66" s="105"/>
      <c r="AQ66" s="106"/>
      <c r="AR66" s="107"/>
      <c r="AS66" s="107"/>
      <c r="AT66" s="108"/>
      <c r="AU66" s="107"/>
      <c r="AV66" s="107"/>
      <c r="AW66" s="104"/>
      <c r="AX66" s="105"/>
      <c r="AY66" s="106"/>
      <c r="AZ66" s="107"/>
      <c r="BA66" s="107"/>
      <c r="BB66" s="108"/>
      <c r="BC66" s="109"/>
      <c r="BD66" s="109"/>
      <c r="BE66" s="104"/>
      <c r="BF66" s="105"/>
      <c r="BG66" s="106"/>
      <c r="BH66" s="107"/>
      <c r="BI66" s="107"/>
      <c r="BJ66" s="108"/>
      <c r="BK66" s="109"/>
      <c r="BL66" s="109"/>
      <c r="BM66" s="104"/>
      <c r="BN66" s="105"/>
      <c r="BO66" s="106"/>
      <c r="BP66" s="107"/>
      <c r="BQ66" s="107"/>
      <c r="BR66" s="108"/>
      <c r="BS66" s="109"/>
      <c r="BT66" s="109"/>
      <c r="BU66" s="104"/>
      <c r="BV66" s="105"/>
      <c r="BW66" s="106"/>
      <c r="BX66" s="107"/>
      <c r="BY66" s="107"/>
      <c r="BZ66" s="108"/>
      <c r="CA66" s="109"/>
    </row>
    <row r="67" spans="1:79" x14ac:dyDescent="0.2">
      <c r="A67" s="104" t="s">
        <v>341</v>
      </c>
      <c r="B67" s="105" t="s">
        <v>142</v>
      </c>
      <c r="C67" s="106" t="s">
        <v>156</v>
      </c>
      <c r="D67" s="107" t="s">
        <v>99</v>
      </c>
      <c r="E67" s="107">
        <v>0.98</v>
      </c>
      <c r="F67" s="181">
        <v>2.0499999999999998</v>
      </c>
      <c r="G67" s="154">
        <v>296895466</v>
      </c>
      <c r="H67" s="109">
        <v>1.476896835823052E-2</v>
      </c>
      <c r="I67" s="104"/>
      <c r="J67" s="105"/>
      <c r="K67" s="106"/>
      <c r="L67" s="107"/>
      <c r="M67" s="107"/>
      <c r="N67" s="108"/>
      <c r="O67" s="150"/>
      <c r="P67" s="154"/>
      <c r="Q67" s="104"/>
      <c r="R67" s="105"/>
      <c r="S67" s="106"/>
      <c r="T67" s="107"/>
      <c r="U67" s="107"/>
      <c r="V67" s="108"/>
      <c r="W67" s="150"/>
      <c r="X67" s="150"/>
      <c r="Y67" s="104"/>
      <c r="Z67" s="157"/>
      <c r="AA67" s="106"/>
      <c r="AB67" s="107" t="s">
        <v>341</v>
      </c>
      <c r="AC67" s="107" t="s">
        <v>388</v>
      </c>
      <c r="AD67" s="108" t="s">
        <v>382</v>
      </c>
      <c r="AE67" s="109" t="s">
        <v>100</v>
      </c>
      <c r="AF67" s="181">
        <v>0.04</v>
      </c>
      <c r="AG67" s="183">
        <v>3.84</v>
      </c>
      <c r="AH67" s="160">
        <v>4628.4399999999996</v>
      </c>
      <c r="AI67" s="161">
        <v>2.3024047071578693E-7</v>
      </c>
      <c r="AJ67" s="107"/>
      <c r="AK67" s="107"/>
      <c r="AL67" s="108"/>
      <c r="AM67" s="109"/>
      <c r="AN67" s="109"/>
      <c r="AO67" s="104"/>
      <c r="AP67" s="105"/>
      <c r="AQ67" s="106"/>
      <c r="AR67" s="107"/>
      <c r="AS67" s="107"/>
      <c r="AT67" s="108"/>
      <c r="AU67" s="107"/>
      <c r="AV67" s="107"/>
      <c r="AW67" s="104"/>
      <c r="AX67" s="105"/>
      <c r="AY67" s="106"/>
      <c r="AZ67" s="107"/>
      <c r="BA67" s="107"/>
      <c r="BB67" s="108"/>
      <c r="BC67" s="109"/>
      <c r="BD67" s="109"/>
      <c r="BE67" s="104"/>
      <c r="BF67" s="105"/>
      <c r="BG67" s="106"/>
      <c r="BH67" s="107"/>
      <c r="BI67" s="107"/>
      <c r="BJ67" s="108"/>
      <c r="BK67" s="109"/>
      <c r="BL67" s="109"/>
      <c r="BM67" s="104"/>
      <c r="BN67" s="105"/>
      <c r="BO67" s="106"/>
      <c r="BP67" s="107"/>
      <c r="BQ67" s="107"/>
      <c r="BR67" s="108"/>
      <c r="BS67" s="109"/>
      <c r="BT67" s="109"/>
      <c r="BU67" s="104"/>
      <c r="BV67" s="105"/>
      <c r="BW67" s="106"/>
      <c r="BX67" s="107"/>
      <c r="BY67" s="107"/>
      <c r="BZ67" s="108"/>
      <c r="CA67" s="109"/>
    </row>
    <row r="68" spans="1:79" x14ac:dyDescent="0.2">
      <c r="A68" s="104" t="s">
        <v>341</v>
      </c>
      <c r="B68" s="105" t="s">
        <v>142</v>
      </c>
      <c r="C68" s="106" t="s">
        <v>156</v>
      </c>
      <c r="D68" s="107" t="s">
        <v>99</v>
      </c>
      <c r="E68" s="107">
        <v>1.24</v>
      </c>
      <c r="F68" s="181">
        <v>2.08</v>
      </c>
      <c r="G68" s="154">
        <v>4299172</v>
      </c>
      <c r="H68" s="109">
        <v>2.1386091236095408E-4</v>
      </c>
      <c r="I68" s="104"/>
      <c r="J68" s="105"/>
      <c r="K68" s="106"/>
      <c r="L68" s="107"/>
      <c r="M68" s="107"/>
      <c r="N68" s="108"/>
      <c r="O68" s="150"/>
      <c r="P68" s="154"/>
      <c r="Q68" s="104"/>
      <c r="R68" s="105"/>
      <c r="S68" s="106"/>
      <c r="T68" s="107"/>
      <c r="U68" s="107"/>
      <c r="V68" s="108"/>
      <c r="W68" s="150"/>
      <c r="X68" s="150"/>
      <c r="Y68" s="104"/>
      <c r="Z68" s="157"/>
      <c r="AA68" s="106"/>
      <c r="AB68" s="107" t="s">
        <v>341</v>
      </c>
      <c r="AC68" s="107" t="s">
        <v>388</v>
      </c>
      <c r="AD68" s="108" t="s">
        <v>382</v>
      </c>
      <c r="AE68" s="109" t="s">
        <v>100</v>
      </c>
      <c r="AF68" s="181">
        <v>0.14000000000000001</v>
      </c>
      <c r="AG68" s="183">
        <v>3.96</v>
      </c>
      <c r="AH68" s="160">
        <v>76761.259999999995</v>
      </c>
      <c r="AI68" s="161">
        <v>3.8184639235463884E-6</v>
      </c>
      <c r="AJ68" s="107"/>
      <c r="AK68" s="107"/>
      <c r="AL68" s="108"/>
      <c r="AM68" s="109"/>
      <c r="AN68" s="109"/>
      <c r="AO68" s="104"/>
      <c r="AP68" s="105"/>
      <c r="AQ68" s="106"/>
      <c r="AR68" s="107"/>
      <c r="AS68" s="107"/>
      <c r="AT68" s="108"/>
      <c r="AU68" s="107"/>
      <c r="AV68" s="107"/>
      <c r="AW68" s="104"/>
      <c r="AX68" s="105"/>
      <c r="AY68" s="106"/>
      <c r="AZ68" s="107"/>
      <c r="BA68" s="107"/>
      <c r="BB68" s="108"/>
      <c r="BC68" s="109"/>
      <c r="BD68" s="109"/>
      <c r="BE68" s="104"/>
      <c r="BF68" s="105"/>
      <c r="BG68" s="106"/>
      <c r="BH68" s="107"/>
      <c r="BI68" s="107"/>
      <c r="BJ68" s="108"/>
      <c r="BK68" s="109"/>
      <c r="BL68" s="109"/>
      <c r="BM68" s="104"/>
      <c r="BN68" s="105"/>
      <c r="BO68" s="106"/>
      <c r="BP68" s="107"/>
      <c r="BQ68" s="107"/>
      <c r="BR68" s="108"/>
      <c r="BS68" s="109"/>
      <c r="BT68" s="109"/>
      <c r="BU68" s="104"/>
      <c r="BV68" s="105"/>
      <c r="BW68" s="106"/>
      <c r="BX68" s="107"/>
      <c r="BY68" s="107"/>
      <c r="BZ68" s="108"/>
      <c r="CA68" s="109"/>
    </row>
    <row r="69" spans="1:79" x14ac:dyDescent="0.2">
      <c r="A69" s="104" t="s">
        <v>341</v>
      </c>
      <c r="B69" s="105" t="s">
        <v>142</v>
      </c>
      <c r="C69" s="106" t="s">
        <v>156</v>
      </c>
      <c r="D69" s="107" t="s">
        <v>99</v>
      </c>
      <c r="E69" s="107">
        <v>2.39</v>
      </c>
      <c r="F69" s="181">
        <v>1.92</v>
      </c>
      <c r="G69" s="154">
        <v>68600062</v>
      </c>
      <c r="H69" s="109">
        <v>3.412487764466743E-3</v>
      </c>
      <c r="I69" s="104"/>
      <c r="J69" s="105"/>
      <c r="K69" s="106"/>
      <c r="L69" s="107"/>
      <c r="M69" s="107"/>
      <c r="N69" s="108"/>
      <c r="O69" s="150"/>
      <c r="P69" s="154"/>
      <c r="Q69" s="104"/>
      <c r="R69" s="105"/>
      <c r="S69" s="106"/>
      <c r="T69" s="107"/>
      <c r="U69" s="107"/>
      <c r="V69" s="108"/>
      <c r="W69" s="150"/>
      <c r="X69" s="150"/>
      <c r="Y69" s="104"/>
      <c r="Z69" s="157"/>
      <c r="AA69" s="106"/>
      <c r="AB69" s="107" t="s">
        <v>341</v>
      </c>
      <c r="AC69" s="107" t="s">
        <v>388</v>
      </c>
      <c r="AD69" s="108" t="s">
        <v>382</v>
      </c>
      <c r="AE69" s="109" t="s">
        <v>100</v>
      </c>
      <c r="AF69" s="181">
        <v>0.18</v>
      </c>
      <c r="AG69" s="183">
        <v>3.96</v>
      </c>
      <c r="AH69" s="160">
        <v>76630.62</v>
      </c>
      <c r="AI69" s="161">
        <v>3.8119651996599532E-6</v>
      </c>
      <c r="AJ69" s="107"/>
      <c r="AK69" s="107"/>
      <c r="AL69" s="108"/>
      <c r="AM69" s="109"/>
      <c r="AN69" s="109"/>
      <c r="AO69" s="104"/>
      <c r="AP69" s="105"/>
      <c r="AQ69" s="106"/>
      <c r="AR69" s="107"/>
      <c r="AS69" s="107"/>
      <c r="AT69" s="108"/>
      <c r="AU69" s="107"/>
      <c r="AV69" s="107"/>
      <c r="AW69" s="104"/>
      <c r="AX69" s="105"/>
      <c r="AY69" s="106"/>
      <c r="AZ69" s="107"/>
      <c r="BA69" s="107"/>
      <c r="BB69" s="108"/>
      <c r="BC69" s="109"/>
      <c r="BD69" s="109"/>
      <c r="BE69" s="104"/>
      <c r="BF69" s="105"/>
      <c r="BG69" s="106"/>
      <c r="BH69" s="107"/>
      <c r="BI69" s="107"/>
      <c r="BJ69" s="108"/>
      <c r="BK69" s="109"/>
      <c r="BL69" s="109"/>
      <c r="BM69" s="104"/>
      <c r="BN69" s="105"/>
      <c r="BO69" s="106"/>
      <c r="BP69" s="107"/>
      <c r="BQ69" s="107"/>
      <c r="BR69" s="108"/>
      <c r="BS69" s="109"/>
      <c r="BT69" s="109"/>
      <c r="BU69" s="104"/>
      <c r="BV69" s="105"/>
      <c r="BW69" s="106"/>
      <c r="BX69" s="107"/>
      <c r="BY69" s="107"/>
      <c r="BZ69" s="108"/>
      <c r="CA69" s="109"/>
    </row>
    <row r="70" spans="1:79" x14ac:dyDescent="0.2">
      <c r="A70" s="104" t="s">
        <v>341</v>
      </c>
      <c r="B70" s="105" t="s">
        <v>142</v>
      </c>
      <c r="C70" s="106" t="s">
        <v>156</v>
      </c>
      <c r="D70" s="107" t="s">
        <v>99</v>
      </c>
      <c r="E70" s="107">
        <v>2.3199999999999998</v>
      </c>
      <c r="F70" s="181">
        <v>1.94</v>
      </c>
      <c r="G70" s="154">
        <v>6469137</v>
      </c>
      <c r="H70" s="109">
        <v>3.2180511526591756E-4</v>
      </c>
      <c r="I70" s="104"/>
      <c r="J70" s="105"/>
      <c r="K70" s="106"/>
      <c r="L70" s="107"/>
      <c r="M70" s="107"/>
      <c r="N70" s="108"/>
      <c r="O70" s="150"/>
      <c r="P70" s="154"/>
      <c r="Q70" s="104"/>
      <c r="R70" s="105"/>
      <c r="S70" s="106"/>
      <c r="T70" s="107"/>
      <c r="U70" s="107"/>
      <c r="V70" s="108"/>
      <c r="W70" s="150"/>
      <c r="X70" s="150"/>
      <c r="Y70" s="104"/>
      <c r="Z70" s="157"/>
      <c r="AA70" s="106"/>
      <c r="AB70" s="107" t="s">
        <v>341</v>
      </c>
      <c r="AC70" s="107" t="s">
        <v>388</v>
      </c>
      <c r="AD70" s="108" t="s">
        <v>382</v>
      </c>
      <c r="AE70" s="109" t="s">
        <v>100</v>
      </c>
      <c r="AF70" s="181">
        <v>0.2</v>
      </c>
      <c r="AG70" s="183">
        <v>3.96</v>
      </c>
      <c r="AH70" s="160">
        <v>38277.980000000003</v>
      </c>
      <c r="AI70" s="161">
        <v>1.9041258201554328E-6</v>
      </c>
      <c r="AJ70" s="107"/>
      <c r="AK70" s="107"/>
      <c r="AL70" s="108"/>
      <c r="AM70" s="109"/>
      <c r="AN70" s="109"/>
      <c r="AO70" s="104"/>
      <c r="AP70" s="105"/>
      <c r="AQ70" s="106"/>
      <c r="AR70" s="107"/>
      <c r="AS70" s="107"/>
      <c r="AT70" s="108"/>
      <c r="AU70" s="107"/>
      <c r="AV70" s="107"/>
      <c r="AW70" s="104"/>
      <c r="AX70" s="105"/>
      <c r="AY70" s="106"/>
      <c r="AZ70" s="107"/>
      <c r="BA70" s="107"/>
      <c r="BB70" s="108"/>
      <c r="BC70" s="109"/>
      <c r="BD70" s="109"/>
      <c r="BE70" s="104"/>
      <c r="BF70" s="105"/>
      <c r="BG70" s="106"/>
      <c r="BH70" s="107"/>
      <c r="BI70" s="107"/>
      <c r="BJ70" s="108"/>
      <c r="BK70" s="109"/>
      <c r="BL70" s="109"/>
      <c r="BM70" s="104"/>
      <c r="BN70" s="105"/>
      <c r="BO70" s="106"/>
      <c r="BP70" s="107"/>
      <c r="BQ70" s="107"/>
      <c r="BR70" s="108"/>
      <c r="BS70" s="109"/>
      <c r="BT70" s="109"/>
      <c r="BU70" s="104"/>
      <c r="BV70" s="105"/>
      <c r="BW70" s="106"/>
      <c r="BX70" s="107"/>
      <c r="BY70" s="107"/>
      <c r="BZ70" s="108"/>
      <c r="CA70" s="109"/>
    </row>
    <row r="71" spans="1:79" x14ac:dyDescent="0.2">
      <c r="A71" s="104" t="s">
        <v>351</v>
      </c>
      <c r="B71" s="105" t="s">
        <v>142</v>
      </c>
      <c r="C71" s="106" t="s">
        <v>145</v>
      </c>
      <c r="D71" s="107" t="s">
        <v>99</v>
      </c>
      <c r="E71" s="107">
        <v>0.92</v>
      </c>
      <c r="F71" s="181">
        <v>2.23</v>
      </c>
      <c r="G71" s="154">
        <v>13346488</v>
      </c>
      <c r="H71" s="109">
        <v>6.6391670314528588E-4</v>
      </c>
      <c r="I71" s="104"/>
      <c r="J71" s="105"/>
      <c r="K71" s="106"/>
      <c r="L71" s="107"/>
      <c r="M71" s="107"/>
      <c r="N71" s="108"/>
      <c r="O71" s="150"/>
      <c r="P71" s="154"/>
      <c r="Q71" s="104"/>
      <c r="R71" s="105"/>
      <c r="S71" s="106"/>
      <c r="T71" s="107"/>
      <c r="U71" s="107"/>
      <c r="V71" s="108"/>
      <c r="W71" s="150"/>
      <c r="X71" s="150"/>
      <c r="Y71" s="104"/>
      <c r="Z71" s="157"/>
      <c r="AA71" s="106"/>
      <c r="AB71" s="107" t="s">
        <v>341</v>
      </c>
      <c r="AC71" s="107" t="s">
        <v>388</v>
      </c>
      <c r="AD71" s="108" t="s">
        <v>382</v>
      </c>
      <c r="AE71" s="109" t="s">
        <v>100</v>
      </c>
      <c r="AF71" s="181">
        <v>0.27</v>
      </c>
      <c r="AG71" s="183">
        <v>3.96</v>
      </c>
      <c r="AH71" s="160">
        <v>76388</v>
      </c>
      <c r="AI71" s="161">
        <v>3.7998961417243539E-6</v>
      </c>
      <c r="AJ71" s="107"/>
      <c r="AK71" s="107"/>
      <c r="AL71" s="108"/>
      <c r="AM71" s="109"/>
      <c r="AN71" s="109"/>
      <c r="AO71" s="104"/>
      <c r="AP71" s="105"/>
      <c r="AQ71" s="106"/>
      <c r="AR71" s="107"/>
      <c r="AS71" s="107"/>
      <c r="AT71" s="108"/>
      <c r="AU71" s="107"/>
      <c r="AV71" s="107"/>
      <c r="AW71" s="104"/>
      <c r="AX71" s="105"/>
      <c r="AY71" s="106"/>
      <c r="AZ71" s="107"/>
      <c r="BA71" s="107"/>
      <c r="BB71" s="108"/>
      <c r="BC71" s="109"/>
      <c r="BD71" s="109"/>
      <c r="BE71" s="104"/>
      <c r="BF71" s="105"/>
      <c r="BG71" s="106"/>
      <c r="BH71" s="107"/>
      <c r="BI71" s="107"/>
      <c r="BJ71" s="108"/>
      <c r="BK71" s="109"/>
      <c r="BL71" s="109"/>
      <c r="BM71" s="104"/>
      <c r="BN71" s="105"/>
      <c r="BO71" s="106"/>
      <c r="BP71" s="107"/>
      <c r="BQ71" s="107"/>
      <c r="BR71" s="108"/>
      <c r="BS71" s="109"/>
      <c r="BT71" s="109"/>
      <c r="BU71" s="104"/>
      <c r="BV71" s="105"/>
      <c r="BW71" s="106"/>
      <c r="BX71" s="107"/>
      <c r="BY71" s="107"/>
      <c r="BZ71" s="108"/>
      <c r="CA71" s="109"/>
    </row>
    <row r="72" spans="1:79" x14ac:dyDescent="0.2">
      <c r="A72" s="104" t="s">
        <v>355</v>
      </c>
      <c r="B72" s="105" t="s">
        <v>142</v>
      </c>
      <c r="C72" s="106" t="s">
        <v>145</v>
      </c>
      <c r="D72" s="107" t="s">
        <v>100</v>
      </c>
      <c r="E72" s="107">
        <v>2.95</v>
      </c>
      <c r="F72" s="181">
        <v>4.7300000000000004</v>
      </c>
      <c r="G72" s="154">
        <v>30086286</v>
      </c>
      <c r="H72" s="109">
        <v>1.4966325081928798E-3</v>
      </c>
      <c r="I72" s="104"/>
      <c r="J72" s="105"/>
      <c r="K72" s="106"/>
      <c r="L72" s="107"/>
      <c r="M72" s="107"/>
      <c r="N72" s="108"/>
      <c r="O72" s="150"/>
      <c r="P72" s="154"/>
      <c r="Q72" s="104"/>
      <c r="R72" s="105"/>
      <c r="S72" s="106"/>
      <c r="T72" s="107"/>
      <c r="U72" s="107"/>
      <c r="V72" s="108"/>
      <c r="W72" s="150"/>
      <c r="X72" s="150"/>
      <c r="Y72" s="104"/>
      <c r="Z72" s="157"/>
      <c r="AA72" s="106"/>
      <c r="AB72" s="107" t="s">
        <v>341</v>
      </c>
      <c r="AC72" s="107" t="s">
        <v>388</v>
      </c>
      <c r="AD72" s="108" t="s">
        <v>382</v>
      </c>
      <c r="AE72" s="109" t="s">
        <v>100</v>
      </c>
      <c r="AF72" s="181">
        <v>0.28000000000000003</v>
      </c>
      <c r="AG72" s="183">
        <v>4</v>
      </c>
      <c r="AH72" s="160">
        <v>419882.04</v>
      </c>
      <c r="AI72" s="161">
        <v>2.0886895531604177E-5</v>
      </c>
      <c r="AJ72" s="107"/>
      <c r="AK72" s="107"/>
      <c r="AL72" s="108"/>
      <c r="AM72" s="109"/>
      <c r="AN72" s="109"/>
      <c r="AO72" s="104"/>
      <c r="AP72" s="105"/>
      <c r="AQ72" s="106"/>
      <c r="AR72" s="107"/>
      <c r="AS72" s="107"/>
      <c r="AT72" s="108"/>
      <c r="AU72" s="107"/>
      <c r="AV72" s="107"/>
      <c r="AW72" s="104"/>
      <c r="AX72" s="105"/>
      <c r="AY72" s="106"/>
      <c r="AZ72" s="107"/>
      <c r="BA72" s="107"/>
      <c r="BB72" s="108"/>
      <c r="BC72" s="109"/>
      <c r="BD72" s="109"/>
      <c r="BE72" s="104"/>
      <c r="BF72" s="105"/>
      <c r="BG72" s="106"/>
      <c r="BH72" s="107"/>
      <c r="BI72" s="107"/>
      <c r="BJ72" s="108"/>
      <c r="BK72" s="109"/>
      <c r="BL72" s="109"/>
      <c r="BM72" s="104"/>
      <c r="BN72" s="105"/>
      <c r="BO72" s="106"/>
      <c r="BP72" s="107"/>
      <c r="BQ72" s="107"/>
      <c r="BR72" s="108"/>
      <c r="BS72" s="109"/>
      <c r="BT72" s="109"/>
      <c r="BU72" s="104"/>
      <c r="BV72" s="105"/>
      <c r="BW72" s="106"/>
      <c r="BX72" s="107"/>
      <c r="BY72" s="107"/>
      <c r="BZ72" s="108"/>
      <c r="CA72" s="109"/>
    </row>
    <row r="73" spans="1:79" x14ac:dyDescent="0.2">
      <c r="A73" s="104" t="s">
        <v>364</v>
      </c>
      <c r="B73" s="105" t="s">
        <v>142</v>
      </c>
      <c r="C73" s="106" t="s">
        <v>209</v>
      </c>
      <c r="D73" s="107" t="s">
        <v>99</v>
      </c>
      <c r="E73" s="107">
        <v>0.74</v>
      </c>
      <c r="F73" s="181">
        <v>2</v>
      </c>
      <c r="G73" s="154">
        <v>270282622</v>
      </c>
      <c r="H73" s="109">
        <v>1.3445121092208192E-2</v>
      </c>
      <c r="I73" s="104"/>
      <c r="J73" s="105"/>
      <c r="K73" s="106"/>
      <c r="L73" s="107"/>
      <c r="M73" s="107"/>
      <c r="N73" s="108"/>
      <c r="O73" s="150"/>
      <c r="P73" s="154"/>
      <c r="Q73" s="104"/>
      <c r="R73" s="105"/>
      <c r="S73" s="106"/>
      <c r="T73" s="107"/>
      <c r="U73" s="107"/>
      <c r="V73" s="108"/>
      <c r="W73" s="150"/>
      <c r="X73" s="150"/>
      <c r="Y73" s="104"/>
      <c r="Z73" s="157"/>
      <c r="AA73" s="106"/>
      <c r="AB73" s="107" t="s">
        <v>341</v>
      </c>
      <c r="AC73" s="107" t="s">
        <v>388</v>
      </c>
      <c r="AD73" s="108" t="s">
        <v>382</v>
      </c>
      <c r="AE73" s="109" t="s">
        <v>100</v>
      </c>
      <c r="AF73" s="181">
        <v>0.28999999999999998</v>
      </c>
      <c r="AG73" s="183">
        <v>3.96</v>
      </c>
      <c r="AH73" s="160">
        <v>267068.71999999997</v>
      </c>
      <c r="AI73" s="161">
        <v>1.3285246468480927E-5</v>
      </c>
      <c r="AJ73" s="107"/>
      <c r="AK73" s="107"/>
      <c r="AL73" s="108"/>
      <c r="AM73" s="109"/>
      <c r="AN73" s="109"/>
      <c r="AO73" s="104"/>
      <c r="AP73" s="105"/>
      <c r="AQ73" s="106"/>
      <c r="AR73" s="107"/>
      <c r="AS73" s="107"/>
      <c r="AT73" s="108"/>
      <c r="AU73" s="107"/>
      <c r="AV73" s="107"/>
      <c r="AW73" s="104"/>
      <c r="AX73" s="105"/>
      <c r="AY73" s="106"/>
      <c r="AZ73" s="107"/>
      <c r="BA73" s="107"/>
      <c r="BB73" s="108"/>
      <c r="BC73" s="109"/>
      <c r="BD73" s="109"/>
      <c r="BE73" s="104"/>
      <c r="BF73" s="105"/>
      <c r="BG73" s="106"/>
      <c r="BH73" s="107"/>
      <c r="BI73" s="107"/>
      <c r="BJ73" s="108"/>
      <c r="BK73" s="109"/>
      <c r="BL73" s="109"/>
      <c r="BM73" s="104"/>
      <c r="BN73" s="105"/>
      <c r="BO73" s="106"/>
      <c r="BP73" s="107"/>
      <c r="BQ73" s="107"/>
      <c r="BR73" s="108"/>
      <c r="BS73" s="109"/>
      <c r="BT73" s="109"/>
      <c r="BU73" s="104"/>
      <c r="BV73" s="105"/>
      <c r="BW73" s="106"/>
      <c r="BX73" s="107"/>
      <c r="BY73" s="107"/>
      <c r="BZ73" s="108"/>
      <c r="CA73" s="109"/>
    </row>
    <row r="74" spans="1:79" x14ac:dyDescent="0.2">
      <c r="A74" s="104" t="s">
        <v>364</v>
      </c>
      <c r="B74" s="105" t="s">
        <v>142</v>
      </c>
      <c r="C74" s="106" t="s">
        <v>209</v>
      </c>
      <c r="D74" s="107" t="s">
        <v>99</v>
      </c>
      <c r="E74" s="107">
        <v>2.38</v>
      </c>
      <c r="F74" s="181">
        <v>1.93</v>
      </c>
      <c r="G74" s="154">
        <v>55642093</v>
      </c>
      <c r="H74" s="109">
        <v>2.767897812567875E-3</v>
      </c>
      <c r="I74" s="104"/>
      <c r="J74" s="105"/>
      <c r="K74" s="106"/>
      <c r="L74" s="107"/>
      <c r="M74" s="107"/>
      <c r="N74" s="108"/>
      <c r="O74" s="150"/>
      <c r="P74" s="154"/>
      <c r="Q74" s="104"/>
      <c r="R74" s="105"/>
      <c r="S74" s="106"/>
      <c r="T74" s="107"/>
      <c r="U74" s="107"/>
      <c r="V74" s="108"/>
      <c r="W74" s="150"/>
      <c r="X74" s="150"/>
      <c r="Y74" s="104"/>
      <c r="Z74" s="157"/>
      <c r="AA74" s="106"/>
      <c r="AB74" s="107" t="s">
        <v>341</v>
      </c>
      <c r="AC74" s="107" t="s">
        <v>388</v>
      </c>
      <c r="AD74" s="108" t="s">
        <v>382</v>
      </c>
      <c r="AE74" s="109" t="s">
        <v>100</v>
      </c>
      <c r="AF74" s="181">
        <v>0.51</v>
      </c>
      <c r="AG74" s="183">
        <v>4.08</v>
      </c>
      <c r="AH74" s="160">
        <v>75604.149999999994</v>
      </c>
      <c r="AI74" s="161">
        <v>3.7609038033802083E-6</v>
      </c>
      <c r="AJ74" s="107"/>
      <c r="AK74" s="107"/>
      <c r="AL74" s="108"/>
      <c r="AM74" s="109"/>
      <c r="AN74" s="109"/>
      <c r="AO74" s="104"/>
      <c r="AP74" s="105"/>
      <c r="AQ74" s="106"/>
      <c r="AR74" s="107"/>
      <c r="AS74" s="107"/>
      <c r="AT74" s="108"/>
      <c r="AU74" s="107"/>
      <c r="AV74" s="107"/>
      <c r="AW74" s="104"/>
      <c r="AX74" s="105"/>
      <c r="AY74" s="106"/>
      <c r="AZ74" s="107"/>
      <c r="BA74" s="107"/>
      <c r="BB74" s="108"/>
      <c r="BC74" s="109"/>
      <c r="BD74" s="109"/>
      <c r="BE74" s="104"/>
      <c r="BF74" s="105"/>
      <c r="BG74" s="106"/>
      <c r="BH74" s="107"/>
      <c r="BI74" s="107"/>
      <c r="BJ74" s="108"/>
      <c r="BK74" s="109"/>
      <c r="BL74" s="109"/>
      <c r="BM74" s="104"/>
      <c r="BN74" s="105"/>
      <c r="BO74" s="106"/>
      <c r="BP74" s="107"/>
      <c r="BQ74" s="107"/>
      <c r="BR74" s="108"/>
      <c r="BS74" s="109"/>
      <c r="BT74" s="109"/>
      <c r="BU74" s="104"/>
      <c r="BV74" s="105"/>
      <c r="BW74" s="106"/>
      <c r="BX74" s="107"/>
      <c r="BY74" s="107"/>
      <c r="BZ74" s="108"/>
      <c r="CA74" s="109"/>
    </row>
    <row r="75" spans="1:79" x14ac:dyDescent="0.2">
      <c r="A75" s="104" t="s">
        <v>364</v>
      </c>
      <c r="B75" s="105" t="s">
        <v>142</v>
      </c>
      <c r="C75" s="106" t="s">
        <v>209</v>
      </c>
      <c r="D75" s="107" t="s">
        <v>100</v>
      </c>
      <c r="E75" s="107">
        <v>1.58</v>
      </c>
      <c r="F75" s="181">
        <v>4.5199999999999996</v>
      </c>
      <c r="G75" s="154">
        <v>83839236</v>
      </c>
      <c r="H75" s="109">
        <v>4.1705555168775168E-3</v>
      </c>
      <c r="I75" s="104"/>
      <c r="J75" s="105"/>
      <c r="K75" s="106"/>
      <c r="L75" s="107"/>
      <c r="M75" s="107"/>
      <c r="N75" s="108"/>
      <c r="O75" s="150"/>
      <c r="P75" s="154"/>
      <c r="Q75" s="104"/>
      <c r="R75" s="105"/>
      <c r="S75" s="106"/>
      <c r="T75" s="107"/>
      <c r="U75" s="107"/>
      <c r="V75" s="108"/>
      <c r="W75" s="150"/>
      <c r="X75" s="150"/>
      <c r="Y75" s="104"/>
      <c r="Z75" s="157"/>
      <c r="AA75" s="106"/>
      <c r="AB75" s="107" t="s">
        <v>196</v>
      </c>
      <c r="AC75" s="107" t="s">
        <v>388</v>
      </c>
      <c r="AD75" s="108" t="s">
        <v>382</v>
      </c>
      <c r="AE75" s="109" t="s">
        <v>100</v>
      </c>
      <c r="AF75" s="181">
        <v>0.01</v>
      </c>
      <c r="AG75" s="183">
        <v>3.84</v>
      </c>
      <c r="AH75" s="160">
        <v>157665.73000000001</v>
      </c>
      <c r="AI75" s="161">
        <v>7.8430302019373655E-6</v>
      </c>
      <c r="AJ75" s="107"/>
      <c r="AK75" s="107"/>
      <c r="AL75" s="108"/>
      <c r="AM75" s="109"/>
      <c r="AN75" s="109"/>
      <c r="AO75" s="104"/>
      <c r="AP75" s="105"/>
      <c r="AQ75" s="106"/>
      <c r="AR75" s="107"/>
      <c r="AS75" s="107"/>
      <c r="AT75" s="108"/>
      <c r="AU75" s="107"/>
      <c r="AV75" s="107"/>
      <c r="AW75" s="104"/>
      <c r="AX75" s="105"/>
      <c r="AY75" s="106"/>
      <c r="AZ75" s="107"/>
      <c r="BA75" s="107"/>
      <c r="BB75" s="108"/>
      <c r="BC75" s="109"/>
      <c r="BD75" s="109"/>
      <c r="BE75" s="104"/>
      <c r="BF75" s="105"/>
      <c r="BG75" s="106"/>
      <c r="BH75" s="107"/>
      <c r="BI75" s="107"/>
      <c r="BJ75" s="108"/>
      <c r="BK75" s="109"/>
      <c r="BL75" s="109"/>
      <c r="BM75" s="104"/>
      <c r="BN75" s="105"/>
      <c r="BO75" s="106"/>
      <c r="BP75" s="107"/>
      <c r="BQ75" s="107"/>
      <c r="BR75" s="108"/>
      <c r="BS75" s="109"/>
      <c r="BT75" s="109"/>
      <c r="BU75" s="104"/>
      <c r="BV75" s="105"/>
      <c r="BW75" s="106"/>
      <c r="BX75" s="107"/>
      <c r="BY75" s="107"/>
      <c r="BZ75" s="108"/>
      <c r="CA75" s="109"/>
    </row>
    <row r="76" spans="1:79" x14ac:dyDescent="0.2">
      <c r="A76" s="104" t="s">
        <v>364</v>
      </c>
      <c r="B76" s="105" t="s">
        <v>142</v>
      </c>
      <c r="C76" s="106" t="s">
        <v>209</v>
      </c>
      <c r="D76" s="107" t="s">
        <v>99</v>
      </c>
      <c r="E76" s="107">
        <v>0.66</v>
      </c>
      <c r="F76" s="181">
        <v>2.35</v>
      </c>
      <c r="G76" s="154">
        <v>27039261</v>
      </c>
      <c r="H76" s="109">
        <v>1.3450592409482486E-3</v>
      </c>
      <c r="I76" s="104"/>
      <c r="J76" s="105"/>
      <c r="K76" s="106"/>
      <c r="L76" s="107"/>
      <c r="M76" s="107"/>
      <c r="N76" s="108"/>
      <c r="O76" s="150"/>
      <c r="P76" s="154"/>
      <c r="Q76" s="104"/>
      <c r="R76" s="105"/>
      <c r="S76" s="106"/>
      <c r="T76" s="107"/>
      <c r="U76" s="107"/>
      <c r="V76" s="108"/>
      <c r="W76" s="150"/>
      <c r="X76" s="150"/>
      <c r="Y76" s="104"/>
      <c r="Z76" s="157"/>
      <c r="AA76" s="106"/>
      <c r="AB76" s="107" t="s">
        <v>196</v>
      </c>
      <c r="AC76" s="107" t="s">
        <v>388</v>
      </c>
      <c r="AD76" s="108" t="s">
        <v>382</v>
      </c>
      <c r="AE76" s="109" t="s">
        <v>100</v>
      </c>
      <c r="AF76" s="181">
        <v>0.02</v>
      </c>
      <c r="AG76" s="183">
        <v>3.72</v>
      </c>
      <c r="AH76" s="160">
        <v>462937.77</v>
      </c>
      <c r="AI76" s="161">
        <v>2.3028688936199105E-5</v>
      </c>
      <c r="AJ76" s="107"/>
      <c r="AK76" s="107"/>
      <c r="AL76" s="108"/>
      <c r="AM76" s="109"/>
      <c r="AN76" s="109"/>
      <c r="AO76" s="104"/>
      <c r="AP76" s="105"/>
      <c r="AQ76" s="106"/>
      <c r="AR76" s="107"/>
      <c r="AS76" s="107"/>
      <c r="AT76" s="108"/>
      <c r="AU76" s="107"/>
      <c r="AV76" s="107"/>
      <c r="AW76" s="104"/>
      <c r="AX76" s="105"/>
      <c r="AY76" s="106"/>
      <c r="AZ76" s="107"/>
      <c r="BA76" s="107"/>
      <c r="BB76" s="108"/>
      <c r="BC76" s="109"/>
      <c r="BD76" s="109"/>
      <c r="BE76" s="104"/>
      <c r="BF76" s="105"/>
      <c r="BG76" s="106"/>
      <c r="BH76" s="107"/>
      <c r="BI76" s="107"/>
      <c r="BJ76" s="108"/>
      <c r="BK76" s="109"/>
      <c r="BL76" s="109"/>
      <c r="BM76" s="104"/>
      <c r="BN76" s="105"/>
      <c r="BO76" s="106"/>
      <c r="BP76" s="107"/>
      <c r="BQ76" s="107"/>
      <c r="BR76" s="108"/>
      <c r="BS76" s="109"/>
      <c r="BT76" s="109"/>
      <c r="BU76" s="104"/>
      <c r="BV76" s="105"/>
      <c r="BW76" s="106"/>
      <c r="BX76" s="107"/>
      <c r="BY76" s="107"/>
      <c r="BZ76" s="108"/>
      <c r="CA76" s="109"/>
    </row>
    <row r="77" spans="1:79" x14ac:dyDescent="0.2">
      <c r="A77" s="104" t="s">
        <v>364</v>
      </c>
      <c r="B77" s="105" t="s">
        <v>142</v>
      </c>
      <c r="C77" s="106" t="s">
        <v>209</v>
      </c>
      <c r="D77" s="107" t="s">
        <v>100</v>
      </c>
      <c r="E77" s="107">
        <v>2.75</v>
      </c>
      <c r="F77" s="181">
        <v>4.5</v>
      </c>
      <c r="G77" s="154">
        <v>397761692</v>
      </c>
      <c r="H77" s="109">
        <v>1.9786525952754812E-2</v>
      </c>
      <c r="I77" s="104"/>
      <c r="J77" s="105"/>
      <c r="K77" s="106"/>
      <c r="L77" s="107"/>
      <c r="M77" s="107"/>
      <c r="N77" s="108"/>
      <c r="O77" s="150"/>
      <c r="P77" s="154"/>
      <c r="Q77" s="104"/>
      <c r="R77" s="105"/>
      <c r="S77" s="106"/>
      <c r="T77" s="107"/>
      <c r="U77" s="107"/>
      <c r="V77" s="108"/>
      <c r="W77" s="150"/>
      <c r="X77" s="150"/>
      <c r="Y77" s="104"/>
      <c r="Z77" s="157"/>
      <c r="AA77" s="106"/>
      <c r="AB77" s="107" t="s">
        <v>196</v>
      </c>
      <c r="AC77" s="107" t="s">
        <v>388</v>
      </c>
      <c r="AD77" s="108" t="s">
        <v>382</v>
      </c>
      <c r="AE77" s="109" t="s">
        <v>100</v>
      </c>
      <c r="AF77" s="181">
        <v>0.04</v>
      </c>
      <c r="AG77" s="183">
        <v>3.88</v>
      </c>
      <c r="AH77" s="160">
        <v>57799.57</v>
      </c>
      <c r="AI77" s="161">
        <v>2.8752207094610537E-6</v>
      </c>
      <c r="AJ77" s="107"/>
      <c r="AK77" s="107"/>
      <c r="AL77" s="108"/>
      <c r="AM77" s="109"/>
      <c r="AN77" s="109"/>
      <c r="AO77" s="104"/>
      <c r="AP77" s="105"/>
      <c r="AQ77" s="106"/>
      <c r="AR77" s="107"/>
      <c r="AS77" s="107"/>
      <c r="AT77" s="108"/>
      <c r="AU77" s="107"/>
      <c r="AV77" s="107"/>
      <c r="AW77" s="104"/>
      <c r="AX77" s="105"/>
      <c r="AY77" s="106"/>
      <c r="AZ77" s="107"/>
      <c r="BA77" s="107"/>
      <c r="BB77" s="108"/>
      <c r="BC77" s="109"/>
      <c r="BD77" s="109"/>
      <c r="BE77" s="104"/>
      <c r="BF77" s="105"/>
      <c r="BG77" s="106"/>
      <c r="BH77" s="107"/>
      <c r="BI77" s="107"/>
      <c r="BJ77" s="108"/>
      <c r="BK77" s="109"/>
      <c r="BL77" s="109"/>
      <c r="BM77" s="104"/>
      <c r="BN77" s="105"/>
      <c r="BO77" s="106"/>
      <c r="BP77" s="107"/>
      <c r="BQ77" s="107"/>
      <c r="BR77" s="108"/>
      <c r="BS77" s="109"/>
      <c r="BT77" s="109"/>
      <c r="BU77" s="104"/>
      <c r="BV77" s="105"/>
      <c r="BW77" s="106"/>
      <c r="BX77" s="107"/>
      <c r="BY77" s="107"/>
      <c r="BZ77" s="108"/>
      <c r="CA77" s="109"/>
    </row>
    <row r="78" spans="1:79" x14ac:dyDescent="0.2">
      <c r="A78" s="104" t="s">
        <v>364</v>
      </c>
      <c r="B78" s="105" t="s">
        <v>142</v>
      </c>
      <c r="C78" s="106" t="s">
        <v>209</v>
      </c>
      <c r="D78" s="107" t="s">
        <v>99</v>
      </c>
      <c r="E78" s="107">
        <v>3.05</v>
      </c>
      <c r="F78" s="181">
        <v>1.9</v>
      </c>
      <c r="G78" s="154">
        <v>107332980</v>
      </c>
      <c r="H78" s="109">
        <v>5.3392441682305423E-3</v>
      </c>
      <c r="I78" s="104"/>
      <c r="J78" s="105"/>
      <c r="K78" s="106"/>
      <c r="L78" s="107"/>
      <c r="M78" s="107"/>
      <c r="N78" s="108"/>
      <c r="O78" s="150"/>
      <c r="P78" s="154"/>
      <c r="Q78" s="104"/>
      <c r="R78" s="105"/>
      <c r="S78" s="106"/>
      <c r="T78" s="107"/>
      <c r="U78" s="107"/>
      <c r="V78" s="108"/>
      <c r="W78" s="150"/>
      <c r="X78" s="150"/>
      <c r="Y78" s="104"/>
      <c r="Z78" s="157"/>
      <c r="AA78" s="106"/>
      <c r="AB78" s="107" t="s">
        <v>196</v>
      </c>
      <c r="AC78" s="107" t="s">
        <v>388</v>
      </c>
      <c r="AD78" s="108" t="s">
        <v>382</v>
      </c>
      <c r="AE78" s="109" t="s">
        <v>100</v>
      </c>
      <c r="AF78" s="181">
        <v>0.06</v>
      </c>
      <c r="AG78" s="183">
        <v>3.96</v>
      </c>
      <c r="AH78" s="160">
        <v>195850.39</v>
      </c>
      <c r="AI78" s="161">
        <v>9.7425140778809071E-6</v>
      </c>
      <c r="AJ78" s="107"/>
      <c r="AK78" s="107"/>
      <c r="AL78" s="108"/>
      <c r="AM78" s="109"/>
      <c r="AN78" s="109"/>
      <c r="AO78" s="104"/>
      <c r="AP78" s="105"/>
      <c r="AQ78" s="106"/>
      <c r="AR78" s="107"/>
      <c r="AS78" s="107"/>
      <c r="AT78" s="108"/>
      <c r="AU78" s="107"/>
      <c r="AV78" s="107"/>
      <c r="AW78" s="104"/>
      <c r="AX78" s="105"/>
      <c r="AY78" s="106"/>
      <c r="AZ78" s="107"/>
      <c r="BA78" s="107"/>
      <c r="BB78" s="108"/>
      <c r="BC78" s="109"/>
      <c r="BD78" s="109"/>
      <c r="BE78" s="104"/>
      <c r="BF78" s="105"/>
      <c r="BG78" s="106"/>
      <c r="BH78" s="107"/>
      <c r="BI78" s="107"/>
      <c r="BJ78" s="108"/>
      <c r="BK78" s="109"/>
      <c r="BL78" s="109"/>
      <c r="BM78" s="104"/>
      <c r="BN78" s="105"/>
      <c r="BO78" s="106"/>
      <c r="BP78" s="107"/>
      <c r="BQ78" s="107"/>
      <c r="BR78" s="108"/>
      <c r="BS78" s="109"/>
      <c r="BT78" s="109"/>
      <c r="BU78" s="104"/>
      <c r="BV78" s="105"/>
      <c r="BW78" s="106"/>
      <c r="BX78" s="107"/>
      <c r="BY78" s="107"/>
      <c r="BZ78" s="108"/>
      <c r="CA78" s="109"/>
    </row>
    <row r="79" spans="1:79" x14ac:dyDescent="0.2">
      <c r="A79" s="104" t="s">
        <v>364</v>
      </c>
      <c r="B79" s="105" t="s">
        <v>142</v>
      </c>
      <c r="C79" s="106" t="s">
        <v>209</v>
      </c>
      <c r="D79" s="107" t="s">
        <v>99</v>
      </c>
      <c r="E79" s="107">
        <v>3.52</v>
      </c>
      <c r="F79" s="181">
        <v>1.95</v>
      </c>
      <c r="G79" s="154">
        <v>53660938</v>
      </c>
      <c r="H79" s="109">
        <v>2.6693459016816704E-3</v>
      </c>
      <c r="I79" s="104"/>
      <c r="J79" s="105"/>
      <c r="K79" s="106"/>
      <c r="L79" s="107"/>
      <c r="M79" s="107"/>
      <c r="N79" s="108"/>
      <c r="O79" s="150"/>
      <c r="P79" s="154"/>
      <c r="Q79" s="104"/>
      <c r="R79" s="105"/>
      <c r="S79" s="106"/>
      <c r="T79" s="107"/>
      <c r="U79" s="107"/>
      <c r="V79" s="108"/>
      <c r="W79" s="150"/>
      <c r="X79" s="150"/>
      <c r="Y79" s="104"/>
      <c r="Z79" s="157"/>
      <c r="AA79" s="106"/>
      <c r="AB79" s="107" t="s">
        <v>196</v>
      </c>
      <c r="AC79" s="107" t="s">
        <v>388</v>
      </c>
      <c r="AD79" s="108" t="s">
        <v>382</v>
      </c>
      <c r="AE79" s="109" t="s">
        <v>100</v>
      </c>
      <c r="AF79" s="181">
        <v>7.0000000000000007E-2</v>
      </c>
      <c r="AG79" s="183">
        <v>3.84</v>
      </c>
      <c r="AH79" s="160">
        <v>142287.34</v>
      </c>
      <c r="AI79" s="161">
        <v>7.0780376674763334E-6</v>
      </c>
      <c r="AJ79" s="107"/>
      <c r="AK79" s="107"/>
      <c r="AL79" s="108"/>
      <c r="AM79" s="109"/>
      <c r="AN79" s="109"/>
      <c r="AO79" s="104"/>
      <c r="AP79" s="105"/>
      <c r="AQ79" s="106"/>
      <c r="AR79" s="107"/>
      <c r="AS79" s="107"/>
      <c r="AT79" s="108"/>
      <c r="AU79" s="107"/>
      <c r="AV79" s="107"/>
      <c r="AW79" s="104"/>
      <c r="AX79" s="105"/>
      <c r="AY79" s="106"/>
      <c r="AZ79" s="107"/>
      <c r="BA79" s="107"/>
      <c r="BB79" s="108"/>
      <c r="BC79" s="109"/>
      <c r="BD79" s="109"/>
      <c r="BE79" s="104"/>
      <c r="BF79" s="105"/>
      <c r="BG79" s="106"/>
      <c r="BH79" s="107"/>
      <c r="BI79" s="107"/>
      <c r="BJ79" s="108"/>
      <c r="BK79" s="109"/>
      <c r="BL79" s="109"/>
      <c r="BM79" s="104"/>
      <c r="BN79" s="105"/>
      <c r="BO79" s="106"/>
      <c r="BP79" s="107"/>
      <c r="BQ79" s="107"/>
      <c r="BR79" s="108"/>
      <c r="BS79" s="109"/>
      <c r="BT79" s="109"/>
      <c r="BU79" s="104"/>
      <c r="BV79" s="105"/>
      <c r="BW79" s="106"/>
      <c r="BX79" s="107"/>
      <c r="BY79" s="107"/>
      <c r="BZ79" s="108"/>
      <c r="CA79" s="109"/>
    </row>
    <row r="80" spans="1:79" x14ac:dyDescent="0.2">
      <c r="A80" s="104" t="s">
        <v>364</v>
      </c>
      <c r="B80" s="105" t="s">
        <v>142</v>
      </c>
      <c r="C80" s="106" t="s">
        <v>209</v>
      </c>
      <c r="D80" s="107" t="s">
        <v>99</v>
      </c>
      <c r="E80" s="107">
        <v>3.95</v>
      </c>
      <c r="F80" s="181">
        <v>1.94</v>
      </c>
      <c r="G80" s="154">
        <v>27163564</v>
      </c>
      <c r="H80" s="109">
        <v>1.3512426532400117E-3</v>
      </c>
      <c r="I80" s="104"/>
      <c r="J80" s="105"/>
      <c r="K80" s="106"/>
      <c r="L80" s="107"/>
      <c r="M80" s="107"/>
      <c r="N80" s="108"/>
      <c r="O80" s="150"/>
      <c r="P80" s="154"/>
      <c r="Q80" s="104"/>
      <c r="R80" s="105"/>
      <c r="S80" s="106"/>
      <c r="T80" s="107"/>
      <c r="U80" s="107"/>
      <c r="V80" s="108"/>
      <c r="W80" s="150"/>
      <c r="X80" s="150"/>
      <c r="Y80" s="104"/>
      <c r="Z80" s="157"/>
      <c r="AA80" s="106"/>
      <c r="AB80" s="107" t="s">
        <v>196</v>
      </c>
      <c r="AC80" s="107" t="s">
        <v>388</v>
      </c>
      <c r="AD80" s="108" t="s">
        <v>382</v>
      </c>
      <c r="AE80" s="109" t="s">
        <v>100</v>
      </c>
      <c r="AF80" s="181">
        <v>7.0000000000000007E-2</v>
      </c>
      <c r="AG80" s="183">
        <v>3.9</v>
      </c>
      <c r="AH80" s="160">
        <v>480238.45</v>
      </c>
      <c r="AI80" s="161">
        <v>2.3889305534358726E-5</v>
      </c>
      <c r="AJ80" s="107"/>
      <c r="AK80" s="107"/>
      <c r="AL80" s="108"/>
      <c r="AM80" s="109"/>
      <c r="AN80" s="109"/>
      <c r="AO80" s="104"/>
      <c r="AP80" s="105"/>
      <c r="AQ80" s="106"/>
      <c r="AR80" s="107"/>
      <c r="AS80" s="107"/>
      <c r="AT80" s="108"/>
      <c r="AU80" s="107"/>
      <c r="AV80" s="107"/>
      <c r="AW80" s="104"/>
      <c r="AX80" s="105"/>
      <c r="AY80" s="106"/>
      <c r="AZ80" s="107"/>
      <c r="BA80" s="107"/>
      <c r="BB80" s="108"/>
      <c r="BC80" s="109"/>
      <c r="BD80" s="109"/>
      <c r="BE80" s="104"/>
      <c r="BF80" s="105"/>
      <c r="BG80" s="106"/>
      <c r="BH80" s="107"/>
      <c r="BI80" s="107"/>
      <c r="BJ80" s="108"/>
      <c r="BK80" s="109"/>
      <c r="BL80" s="109"/>
      <c r="BM80" s="104"/>
      <c r="BN80" s="105"/>
      <c r="BO80" s="106"/>
      <c r="BP80" s="107"/>
      <c r="BQ80" s="107"/>
      <c r="BR80" s="108"/>
      <c r="BS80" s="109"/>
      <c r="BT80" s="109"/>
      <c r="BU80" s="104"/>
      <c r="BV80" s="105"/>
      <c r="BW80" s="106"/>
      <c r="BX80" s="107"/>
      <c r="BY80" s="107"/>
      <c r="BZ80" s="108"/>
      <c r="CA80" s="109"/>
    </row>
    <row r="81" spans="1:79" x14ac:dyDescent="0.2">
      <c r="A81" s="104" t="s">
        <v>364</v>
      </c>
      <c r="B81" s="105" t="s">
        <v>142</v>
      </c>
      <c r="C81" s="106" t="s">
        <v>209</v>
      </c>
      <c r="D81" s="107" t="s">
        <v>99</v>
      </c>
      <c r="E81" s="107">
        <v>2.4</v>
      </c>
      <c r="F81" s="181">
        <v>1.95</v>
      </c>
      <c r="G81" s="154">
        <v>27152413</v>
      </c>
      <c r="H81" s="109">
        <v>1.3506879503731022E-3</v>
      </c>
      <c r="I81" s="104"/>
      <c r="J81" s="105"/>
      <c r="K81" s="106"/>
      <c r="L81" s="107"/>
      <c r="M81" s="107"/>
      <c r="N81" s="108"/>
      <c r="O81" s="150"/>
      <c r="P81" s="154"/>
      <c r="Q81" s="104"/>
      <c r="R81" s="105"/>
      <c r="S81" s="106"/>
      <c r="T81" s="107"/>
      <c r="U81" s="107"/>
      <c r="V81" s="108"/>
      <c r="W81" s="150"/>
      <c r="X81" s="150"/>
      <c r="Y81" s="104"/>
      <c r="Z81" s="157"/>
      <c r="AA81" s="106"/>
      <c r="AB81" s="107" t="s">
        <v>196</v>
      </c>
      <c r="AC81" s="107" t="s">
        <v>388</v>
      </c>
      <c r="AD81" s="108" t="s">
        <v>382</v>
      </c>
      <c r="AE81" s="109" t="s">
        <v>100</v>
      </c>
      <c r="AF81" s="181">
        <v>0.09</v>
      </c>
      <c r="AG81" s="183">
        <v>3.84</v>
      </c>
      <c r="AH81" s="160">
        <v>49121.23</v>
      </c>
      <c r="AI81" s="161">
        <v>2.4435198281125702E-6</v>
      </c>
      <c r="AJ81" s="107"/>
      <c r="AK81" s="107"/>
      <c r="AL81" s="108"/>
      <c r="AM81" s="109"/>
      <c r="AN81" s="109"/>
      <c r="AO81" s="104"/>
      <c r="AP81" s="105"/>
      <c r="AQ81" s="106"/>
      <c r="AR81" s="107"/>
      <c r="AS81" s="107"/>
      <c r="AT81" s="108"/>
      <c r="AU81" s="107"/>
      <c r="AV81" s="107"/>
      <c r="AW81" s="104"/>
      <c r="AX81" s="105"/>
      <c r="AY81" s="106"/>
      <c r="AZ81" s="107"/>
      <c r="BA81" s="107"/>
      <c r="BB81" s="108"/>
      <c r="BC81" s="109"/>
      <c r="BD81" s="109"/>
      <c r="BE81" s="104"/>
      <c r="BF81" s="105"/>
      <c r="BG81" s="106"/>
      <c r="BH81" s="107"/>
      <c r="BI81" s="107"/>
      <c r="BJ81" s="108"/>
      <c r="BK81" s="109"/>
      <c r="BL81" s="109"/>
      <c r="BM81" s="104"/>
      <c r="BN81" s="105"/>
      <c r="BO81" s="106"/>
      <c r="BP81" s="107"/>
      <c r="BQ81" s="107"/>
      <c r="BR81" s="108"/>
      <c r="BS81" s="109"/>
      <c r="BT81" s="109"/>
      <c r="BU81" s="104"/>
      <c r="BV81" s="105"/>
      <c r="BW81" s="106"/>
      <c r="BX81" s="107"/>
      <c r="BY81" s="107"/>
      <c r="BZ81" s="108"/>
      <c r="CA81" s="109"/>
    </row>
    <row r="82" spans="1:79" x14ac:dyDescent="0.2">
      <c r="A82" s="104" t="s">
        <v>364</v>
      </c>
      <c r="B82" s="105" t="s">
        <v>142</v>
      </c>
      <c r="C82" s="106" t="s">
        <v>209</v>
      </c>
      <c r="D82" s="107" t="s">
        <v>100</v>
      </c>
      <c r="E82" s="107">
        <v>2.29</v>
      </c>
      <c r="F82" s="181">
        <v>4.51</v>
      </c>
      <c r="G82" s="154">
        <v>10280718</v>
      </c>
      <c r="H82" s="109">
        <v>5.1141097197452974E-4</v>
      </c>
      <c r="I82" s="104"/>
      <c r="J82" s="105"/>
      <c r="K82" s="106"/>
      <c r="L82" s="107"/>
      <c r="M82" s="107"/>
      <c r="N82" s="108"/>
      <c r="O82" s="150"/>
      <c r="P82" s="154"/>
      <c r="Q82" s="104"/>
      <c r="R82" s="105"/>
      <c r="S82" s="106"/>
      <c r="T82" s="107"/>
      <c r="U82" s="107"/>
      <c r="V82" s="108"/>
      <c r="W82" s="150"/>
      <c r="X82" s="150"/>
      <c r="Y82" s="104"/>
      <c r="Z82" s="157"/>
      <c r="AA82" s="106"/>
      <c r="AB82" s="107" t="s">
        <v>196</v>
      </c>
      <c r="AC82" s="107" t="s">
        <v>388</v>
      </c>
      <c r="AD82" s="108" t="s">
        <v>382</v>
      </c>
      <c r="AE82" s="109" t="s">
        <v>100</v>
      </c>
      <c r="AF82" s="181">
        <v>0.09</v>
      </c>
      <c r="AG82" s="183">
        <v>3.96</v>
      </c>
      <c r="AH82" s="160">
        <v>13922.66</v>
      </c>
      <c r="AI82" s="161">
        <v>6.925781868474371E-7</v>
      </c>
      <c r="AJ82" s="107"/>
      <c r="AK82" s="107"/>
      <c r="AL82" s="108"/>
      <c r="AM82" s="109"/>
      <c r="AN82" s="109"/>
      <c r="AO82" s="104"/>
      <c r="AP82" s="105"/>
      <c r="AQ82" s="106"/>
      <c r="AR82" s="107"/>
      <c r="AS82" s="107"/>
      <c r="AT82" s="108"/>
      <c r="AU82" s="107"/>
      <c r="AV82" s="107"/>
      <c r="AW82" s="104"/>
      <c r="AX82" s="105"/>
      <c r="AY82" s="106"/>
      <c r="AZ82" s="107"/>
      <c r="BA82" s="107"/>
      <c r="BB82" s="108"/>
      <c r="BC82" s="109"/>
      <c r="BD82" s="109"/>
      <c r="BE82" s="104"/>
      <c r="BF82" s="105"/>
      <c r="BG82" s="106"/>
      <c r="BH82" s="107"/>
      <c r="BI82" s="107"/>
      <c r="BJ82" s="108"/>
      <c r="BK82" s="109"/>
      <c r="BL82" s="109"/>
      <c r="BM82" s="104"/>
      <c r="BN82" s="105"/>
      <c r="BO82" s="106"/>
      <c r="BP82" s="107"/>
      <c r="BQ82" s="107"/>
      <c r="BR82" s="108"/>
      <c r="BS82" s="109"/>
      <c r="BT82" s="109"/>
      <c r="BU82" s="104"/>
      <c r="BV82" s="105"/>
      <c r="BW82" s="106"/>
      <c r="BX82" s="107"/>
      <c r="BY82" s="107"/>
      <c r="BZ82" s="108"/>
      <c r="CA82" s="109"/>
    </row>
    <row r="83" spans="1:79" x14ac:dyDescent="0.2">
      <c r="A83" s="104" t="s">
        <v>364</v>
      </c>
      <c r="B83" s="105" t="s">
        <v>142</v>
      </c>
      <c r="C83" s="106" t="s">
        <v>209</v>
      </c>
      <c r="D83" s="107" t="s">
        <v>99</v>
      </c>
      <c r="E83" s="107">
        <v>1.06</v>
      </c>
      <c r="F83" s="181">
        <v>1.97</v>
      </c>
      <c r="G83" s="154">
        <v>27280493</v>
      </c>
      <c r="H83" s="109">
        <v>1.3570592483009801E-3</v>
      </c>
      <c r="I83" s="104"/>
      <c r="J83" s="105"/>
      <c r="K83" s="106"/>
      <c r="L83" s="107"/>
      <c r="M83" s="107"/>
      <c r="N83" s="108"/>
      <c r="O83" s="150"/>
      <c r="P83" s="154"/>
      <c r="Q83" s="104"/>
      <c r="R83" s="105"/>
      <c r="S83" s="106"/>
      <c r="T83" s="107"/>
      <c r="U83" s="107"/>
      <c r="V83" s="108"/>
      <c r="W83" s="150"/>
      <c r="X83" s="150"/>
      <c r="Y83" s="104"/>
      <c r="Z83" s="157"/>
      <c r="AA83" s="106"/>
      <c r="AB83" s="107" t="s">
        <v>196</v>
      </c>
      <c r="AC83" s="107" t="s">
        <v>388</v>
      </c>
      <c r="AD83" s="108" t="s">
        <v>382</v>
      </c>
      <c r="AE83" s="109" t="s">
        <v>100</v>
      </c>
      <c r="AF83" s="181">
        <v>0.1</v>
      </c>
      <c r="AG83" s="183">
        <v>3.96</v>
      </c>
      <c r="AH83" s="160">
        <v>155706.1</v>
      </c>
      <c r="AI83" s="161">
        <v>7.7455493585642352E-6</v>
      </c>
      <c r="AJ83" s="107"/>
      <c r="AK83" s="107"/>
      <c r="AL83" s="108"/>
      <c r="AM83" s="109"/>
      <c r="AN83" s="109"/>
      <c r="AO83" s="104"/>
      <c r="AP83" s="105"/>
      <c r="AQ83" s="106"/>
      <c r="AR83" s="107"/>
      <c r="AS83" s="107"/>
      <c r="AT83" s="108"/>
      <c r="AU83" s="107"/>
      <c r="AV83" s="107"/>
      <c r="AW83" s="104"/>
      <c r="AX83" s="105"/>
      <c r="AY83" s="106"/>
      <c r="AZ83" s="107"/>
      <c r="BA83" s="107"/>
      <c r="BB83" s="108"/>
      <c r="BC83" s="109"/>
      <c r="BD83" s="109"/>
      <c r="BE83" s="104"/>
      <c r="BF83" s="105"/>
      <c r="BG83" s="106"/>
      <c r="BH83" s="107"/>
      <c r="BI83" s="107"/>
      <c r="BJ83" s="108"/>
      <c r="BK83" s="109"/>
      <c r="BL83" s="109"/>
      <c r="BM83" s="104"/>
      <c r="BN83" s="105"/>
      <c r="BO83" s="106"/>
      <c r="BP83" s="107"/>
      <c r="BQ83" s="107"/>
      <c r="BR83" s="108"/>
      <c r="BS83" s="109"/>
      <c r="BT83" s="109"/>
      <c r="BU83" s="104"/>
      <c r="BV83" s="105"/>
      <c r="BW83" s="106"/>
      <c r="BX83" s="107"/>
      <c r="BY83" s="107"/>
      <c r="BZ83" s="108"/>
      <c r="CA83" s="109"/>
    </row>
    <row r="84" spans="1:79" x14ac:dyDescent="0.2">
      <c r="A84" s="104" t="s">
        <v>378</v>
      </c>
      <c r="B84" s="105" t="s">
        <v>142</v>
      </c>
      <c r="C84" s="106" t="s">
        <v>145</v>
      </c>
      <c r="D84" s="107" t="s">
        <v>100</v>
      </c>
      <c r="E84" s="107">
        <v>4.21</v>
      </c>
      <c r="F84" s="181">
        <v>4.7699999999999996</v>
      </c>
      <c r="G84" s="154">
        <v>122346623</v>
      </c>
      <c r="H84" s="109">
        <v>6.0860929544251053E-3</v>
      </c>
      <c r="I84" s="104"/>
      <c r="J84" s="105"/>
      <c r="K84" s="106"/>
      <c r="L84" s="107"/>
      <c r="M84" s="107"/>
      <c r="N84" s="108"/>
      <c r="O84" s="150"/>
      <c r="P84" s="154"/>
      <c r="Q84" s="104"/>
      <c r="R84" s="105"/>
      <c r="S84" s="106"/>
      <c r="T84" s="107"/>
      <c r="U84" s="107"/>
      <c r="V84" s="108"/>
      <c r="W84" s="150"/>
      <c r="X84" s="150"/>
      <c r="Y84" s="104"/>
      <c r="Z84" s="157"/>
      <c r="AA84" s="106"/>
      <c r="AB84" s="107" t="s">
        <v>196</v>
      </c>
      <c r="AC84" s="107" t="s">
        <v>388</v>
      </c>
      <c r="AD84" s="108" t="s">
        <v>382</v>
      </c>
      <c r="AE84" s="109" t="s">
        <v>100</v>
      </c>
      <c r="AF84" s="181">
        <v>0.11</v>
      </c>
      <c r="AG84" s="183">
        <v>4.08</v>
      </c>
      <c r="AH84" s="160">
        <v>15359.72</v>
      </c>
      <c r="AI84" s="161">
        <v>7.6406413964929295E-7</v>
      </c>
      <c r="AJ84" s="107"/>
      <c r="AK84" s="107"/>
      <c r="AL84" s="108"/>
      <c r="AM84" s="109"/>
      <c r="AN84" s="109"/>
      <c r="AO84" s="104"/>
      <c r="AP84" s="105"/>
      <c r="AQ84" s="106"/>
      <c r="AR84" s="107"/>
      <c r="AS84" s="107"/>
      <c r="AT84" s="108"/>
      <c r="AU84" s="107"/>
      <c r="AV84" s="107"/>
      <c r="AW84" s="104"/>
      <c r="AX84" s="105"/>
      <c r="AY84" s="106"/>
      <c r="AZ84" s="107"/>
      <c r="BA84" s="107"/>
      <c r="BB84" s="108"/>
      <c r="BC84" s="109"/>
      <c r="BD84" s="109"/>
      <c r="BE84" s="104"/>
      <c r="BF84" s="105"/>
      <c r="BG84" s="106"/>
      <c r="BH84" s="107"/>
      <c r="BI84" s="107"/>
      <c r="BJ84" s="108"/>
      <c r="BK84" s="109"/>
      <c r="BL84" s="109"/>
      <c r="BM84" s="104"/>
      <c r="BN84" s="105"/>
      <c r="BO84" s="106"/>
      <c r="BP84" s="107"/>
      <c r="BQ84" s="107"/>
      <c r="BR84" s="108"/>
      <c r="BS84" s="109"/>
      <c r="BT84" s="109"/>
      <c r="BU84" s="104"/>
      <c r="BV84" s="105"/>
      <c r="BW84" s="106"/>
      <c r="BX84" s="107"/>
      <c r="BY84" s="107"/>
      <c r="BZ84" s="108"/>
      <c r="CA84" s="109"/>
    </row>
    <row r="85" spans="1:79" x14ac:dyDescent="0.2">
      <c r="A85" s="104"/>
      <c r="B85" s="105"/>
      <c r="C85" s="106"/>
      <c r="D85" s="107"/>
      <c r="E85" s="107"/>
      <c r="F85" s="150"/>
      <c r="G85" s="154"/>
      <c r="H85" s="109"/>
      <c r="I85" s="104"/>
      <c r="J85" s="105"/>
      <c r="K85" s="106"/>
      <c r="L85" s="107"/>
      <c r="M85" s="107"/>
      <c r="N85" s="108"/>
      <c r="O85" s="150"/>
      <c r="P85" s="154"/>
      <c r="Q85" s="104"/>
      <c r="R85" s="105"/>
      <c r="S85" s="106"/>
      <c r="T85" s="107"/>
      <c r="U85" s="107"/>
      <c r="V85" s="108"/>
      <c r="W85" s="150"/>
      <c r="X85" s="150"/>
      <c r="Y85" s="104"/>
      <c r="Z85" s="157"/>
      <c r="AA85" s="106"/>
      <c r="AB85" s="107" t="s">
        <v>196</v>
      </c>
      <c r="AC85" s="107" t="s">
        <v>388</v>
      </c>
      <c r="AD85" s="108" t="s">
        <v>382</v>
      </c>
      <c r="AE85" s="109" t="s">
        <v>100</v>
      </c>
      <c r="AF85" s="181">
        <v>0.16</v>
      </c>
      <c r="AG85" s="183">
        <v>3.96</v>
      </c>
      <c r="AH85" s="160">
        <v>233736.45</v>
      </c>
      <c r="AI85" s="161">
        <v>1.16271437313515E-5</v>
      </c>
      <c r="AJ85" s="107"/>
      <c r="AK85" s="107"/>
      <c r="AL85" s="108"/>
      <c r="AM85" s="109"/>
      <c r="AN85" s="109"/>
      <c r="AO85" s="104"/>
      <c r="AP85" s="105"/>
      <c r="AQ85" s="106"/>
      <c r="AR85" s="107"/>
      <c r="AS85" s="107"/>
      <c r="AT85" s="108"/>
      <c r="AU85" s="107"/>
      <c r="AV85" s="107"/>
      <c r="AW85" s="104"/>
      <c r="AX85" s="105"/>
      <c r="AY85" s="106"/>
      <c r="AZ85" s="107"/>
      <c r="BA85" s="107"/>
      <c r="BB85" s="108"/>
      <c r="BC85" s="109"/>
      <c r="BD85" s="109"/>
      <c r="BE85" s="104"/>
      <c r="BF85" s="105"/>
      <c r="BG85" s="106"/>
      <c r="BH85" s="107"/>
      <c r="BI85" s="107"/>
      <c r="BJ85" s="108"/>
      <c r="BK85" s="109"/>
      <c r="BL85" s="109"/>
      <c r="BM85" s="104"/>
      <c r="BN85" s="105"/>
      <c r="BO85" s="106"/>
      <c r="BP85" s="107"/>
      <c r="BQ85" s="107"/>
      <c r="BR85" s="108"/>
      <c r="BS85" s="109"/>
      <c r="BT85" s="109"/>
      <c r="BU85" s="104"/>
      <c r="BV85" s="105"/>
      <c r="BW85" s="106"/>
      <c r="BX85" s="107"/>
      <c r="BY85" s="107"/>
      <c r="BZ85" s="108"/>
      <c r="CA85" s="109"/>
    </row>
    <row r="86" spans="1:79" x14ac:dyDescent="0.2">
      <c r="A86" s="104"/>
      <c r="B86" s="105"/>
      <c r="C86" s="106"/>
      <c r="D86" s="107"/>
      <c r="E86" s="107"/>
      <c r="F86" s="150"/>
      <c r="G86" s="154"/>
      <c r="H86" s="109"/>
      <c r="I86" s="104"/>
      <c r="J86" s="105"/>
      <c r="K86" s="106"/>
      <c r="L86" s="107"/>
      <c r="M86" s="107"/>
      <c r="N86" s="108"/>
      <c r="O86" s="150"/>
      <c r="P86" s="154"/>
      <c r="Q86" s="104"/>
      <c r="R86" s="105"/>
      <c r="S86" s="106"/>
      <c r="T86" s="107"/>
      <c r="U86" s="107"/>
      <c r="V86" s="108"/>
      <c r="W86" s="150"/>
      <c r="X86" s="150"/>
      <c r="Y86" s="104"/>
      <c r="Z86" s="157"/>
      <c r="AA86" s="106"/>
      <c r="AB86" s="107" t="s">
        <v>196</v>
      </c>
      <c r="AC86" s="107" t="s">
        <v>388</v>
      </c>
      <c r="AD86" s="108" t="s">
        <v>382</v>
      </c>
      <c r="AE86" s="109" t="s">
        <v>100</v>
      </c>
      <c r="AF86" s="181">
        <v>0.21</v>
      </c>
      <c r="AG86" s="183">
        <v>3.96</v>
      </c>
      <c r="AH86" s="160">
        <v>77787.73</v>
      </c>
      <c r="AI86" s="161">
        <v>3.8695253148516663E-6</v>
      </c>
      <c r="AJ86" s="107"/>
      <c r="AK86" s="107"/>
      <c r="AL86" s="108"/>
      <c r="AM86" s="109"/>
      <c r="AN86" s="109"/>
      <c r="AO86" s="104"/>
      <c r="AP86" s="105"/>
      <c r="AQ86" s="106"/>
      <c r="AR86" s="107"/>
      <c r="AS86" s="107"/>
      <c r="AT86" s="108"/>
      <c r="AU86" s="107"/>
      <c r="AV86" s="107"/>
      <c r="AW86" s="104"/>
      <c r="AX86" s="105"/>
      <c r="AY86" s="106"/>
      <c r="AZ86" s="107"/>
      <c r="BA86" s="107"/>
      <c r="BB86" s="108"/>
      <c r="BC86" s="109"/>
      <c r="BD86" s="109"/>
      <c r="BE86" s="104"/>
      <c r="BF86" s="105"/>
      <c r="BG86" s="106"/>
      <c r="BH86" s="107"/>
      <c r="BI86" s="107"/>
      <c r="BJ86" s="108"/>
      <c r="BK86" s="109"/>
      <c r="BL86" s="109"/>
      <c r="BM86" s="104"/>
      <c r="BN86" s="105"/>
      <c r="BO86" s="106"/>
      <c r="BP86" s="107"/>
      <c r="BQ86" s="107"/>
      <c r="BR86" s="108"/>
      <c r="BS86" s="109"/>
      <c r="BT86" s="109"/>
      <c r="BU86" s="104"/>
      <c r="BV86" s="105"/>
      <c r="BW86" s="106"/>
      <c r="BX86" s="107"/>
      <c r="BY86" s="107"/>
      <c r="BZ86" s="108"/>
      <c r="CA86" s="109"/>
    </row>
    <row r="87" spans="1:79" x14ac:dyDescent="0.2">
      <c r="A87" s="104"/>
      <c r="B87" s="105"/>
      <c r="C87" s="106"/>
      <c r="D87" s="107"/>
      <c r="E87" s="107"/>
      <c r="F87" s="150"/>
      <c r="G87" s="154"/>
      <c r="H87" s="109"/>
      <c r="I87" s="104"/>
      <c r="J87" s="105"/>
      <c r="K87" s="106"/>
      <c r="L87" s="107"/>
      <c r="M87" s="107"/>
      <c r="N87" s="108"/>
      <c r="O87" s="150"/>
      <c r="P87" s="154"/>
      <c r="Q87" s="104"/>
      <c r="R87" s="105"/>
      <c r="S87" s="106"/>
      <c r="T87" s="107"/>
      <c r="U87" s="107"/>
      <c r="V87" s="108"/>
      <c r="W87" s="150"/>
      <c r="X87" s="150"/>
      <c r="Y87" s="104"/>
      <c r="Z87" s="157"/>
      <c r="AA87" s="106"/>
      <c r="AB87" s="107" t="s">
        <v>196</v>
      </c>
      <c r="AC87" s="107" t="s">
        <v>388</v>
      </c>
      <c r="AD87" s="108" t="s">
        <v>382</v>
      </c>
      <c r="AE87" s="109" t="s">
        <v>100</v>
      </c>
      <c r="AF87" s="181">
        <v>0.26</v>
      </c>
      <c r="AG87" s="183">
        <v>3.96</v>
      </c>
      <c r="AH87" s="160">
        <v>77955.7</v>
      </c>
      <c r="AI87" s="161">
        <v>3.8778808184126451E-6</v>
      </c>
      <c r="AJ87" s="107"/>
      <c r="AK87" s="107"/>
      <c r="AL87" s="108"/>
      <c r="AM87" s="109"/>
      <c r="AN87" s="109"/>
      <c r="AO87" s="104"/>
      <c r="AP87" s="105"/>
      <c r="AQ87" s="106"/>
      <c r="AR87" s="107"/>
      <c r="AS87" s="107"/>
      <c r="AT87" s="108"/>
      <c r="AU87" s="107"/>
      <c r="AV87" s="107"/>
      <c r="AW87" s="104"/>
      <c r="AX87" s="105"/>
      <c r="AY87" s="106"/>
      <c r="AZ87" s="107"/>
      <c r="BA87" s="107"/>
      <c r="BB87" s="108"/>
      <c r="BC87" s="109"/>
      <c r="BD87" s="109"/>
      <c r="BE87" s="104"/>
      <c r="BF87" s="105"/>
      <c r="BG87" s="106"/>
      <c r="BH87" s="107"/>
      <c r="BI87" s="107"/>
      <c r="BJ87" s="108"/>
      <c r="BK87" s="109"/>
      <c r="BL87" s="109"/>
      <c r="BM87" s="104"/>
      <c r="BN87" s="105"/>
      <c r="BO87" s="106"/>
      <c r="BP87" s="107"/>
      <c r="BQ87" s="107"/>
      <c r="BR87" s="108"/>
      <c r="BS87" s="109"/>
      <c r="BT87" s="109"/>
      <c r="BU87" s="104"/>
      <c r="BV87" s="105"/>
      <c r="BW87" s="106"/>
      <c r="BX87" s="107"/>
      <c r="BY87" s="107"/>
      <c r="BZ87" s="108"/>
      <c r="CA87" s="109"/>
    </row>
    <row r="88" spans="1:79" x14ac:dyDescent="0.2">
      <c r="A88" s="104"/>
      <c r="B88" s="105"/>
      <c r="C88" s="106"/>
      <c r="D88" s="107"/>
      <c r="E88" s="107"/>
      <c r="F88" s="150"/>
      <c r="G88" s="154"/>
      <c r="H88" s="109"/>
      <c r="I88" s="104"/>
      <c r="J88" s="105"/>
      <c r="K88" s="106"/>
      <c r="L88" s="107"/>
      <c r="M88" s="107"/>
      <c r="N88" s="108"/>
      <c r="O88" s="150"/>
      <c r="P88" s="154"/>
      <c r="Q88" s="104"/>
      <c r="R88" s="105"/>
      <c r="S88" s="106"/>
      <c r="T88" s="107"/>
      <c r="U88" s="107"/>
      <c r="V88" s="108"/>
      <c r="W88" s="150"/>
      <c r="X88" s="150"/>
      <c r="Y88" s="104"/>
      <c r="Z88" s="157"/>
      <c r="AA88" s="106"/>
      <c r="AB88" s="107" t="s">
        <v>196</v>
      </c>
      <c r="AC88" s="107" t="s">
        <v>388</v>
      </c>
      <c r="AD88" s="108" t="s">
        <v>382</v>
      </c>
      <c r="AE88" s="109" t="s">
        <v>100</v>
      </c>
      <c r="AF88" s="181">
        <v>0.27</v>
      </c>
      <c r="AG88" s="183">
        <v>3.96</v>
      </c>
      <c r="AH88" s="160">
        <v>166493.35999999999</v>
      </c>
      <c r="AI88" s="161">
        <v>8.2821581920350901E-6</v>
      </c>
      <c r="AJ88" s="107"/>
      <c r="AK88" s="107"/>
      <c r="AL88" s="108"/>
      <c r="AM88" s="109"/>
      <c r="AN88" s="109"/>
      <c r="AO88" s="104"/>
      <c r="AP88" s="105"/>
      <c r="AQ88" s="106"/>
      <c r="AR88" s="107"/>
      <c r="AS88" s="107"/>
      <c r="AT88" s="108"/>
      <c r="AU88" s="107"/>
      <c r="AV88" s="107"/>
      <c r="AW88" s="104"/>
      <c r="AX88" s="105"/>
      <c r="AY88" s="106"/>
      <c r="AZ88" s="107"/>
      <c r="BA88" s="107"/>
      <c r="BB88" s="108"/>
      <c r="BC88" s="109"/>
      <c r="BD88" s="109"/>
      <c r="BE88" s="104"/>
      <c r="BF88" s="105"/>
      <c r="BG88" s="106"/>
      <c r="BH88" s="107"/>
      <c r="BI88" s="107"/>
      <c r="BJ88" s="108"/>
      <c r="BK88" s="109"/>
      <c r="BL88" s="109"/>
      <c r="BM88" s="104"/>
      <c r="BN88" s="105"/>
      <c r="BO88" s="106"/>
      <c r="BP88" s="107"/>
      <c r="BQ88" s="107"/>
      <c r="BR88" s="108"/>
      <c r="BS88" s="109"/>
      <c r="BT88" s="109"/>
      <c r="BU88" s="104"/>
      <c r="BV88" s="105"/>
      <c r="BW88" s="106"/>
      <c r="BX88" s="107"/>
      <c r="BY88" s="107"/>
      <c r="BZ88" s="108"/>
      <c r="CA88" s="109"/>
    </row>
    <row r="89" spans="1:79" x14ac:dyDescent="0.2">
      <c r="A89" s="104"/>
      <c r="B89" s="105"/>
      <c r="C89" s="106"/>
      <c r="D89" s="107"/>
      <c r="E89" s="107"/>
      <c r="F89" s="150"/>
      <c r="G89" s="154"/>
      <c r="H89" s="109"/>
      <c r="I89" s="104"/>
      <c r="J89" s="105"/>
      <c r="K89" s="106"/>
      <c r="L89" s="107"/>
      <c r="M89" s="107"/>
      <c r="N89" s="108"/>
      <c r="O89" s="150"/>
      <c r="P89" s="154"/>
      <c r="Q89" s="104"/>
      <c r="R89" s="105"/>
      <c r="S89" s="106"/>
      <c r="T89" s="107"/>
      <c r="U89" s="107"/>
      <c r="V89" s="108"/>
      <c r="W89" s="150"/>
      <c r="X89" s="150"/>
      <c r="Y89" s="104"/>
      <c r="Z89" s="157"/>
      <c r="AA89" s="106"/>
      <c r="AB89" s="107" t="s">
        <v>204</v>
      </c>
      <c r="AC89" s="107" t="s">
        <v>388</v>
      </c>
      <c r="AD89" s="108" t="s">
        <v>382</v>
      </c>
      <c r="AE89" s="109" t="s">
        <v>100</v>
      </c>
      <c r="AF89" s="181">
        <v>0.01</v>
      </c>
      <c r="AG89" s="183">
        <v>3.84</v>
      </c>
      <c r="AH89" s="160">
        <v>34713.33</v>
      </c>
      <c r="AI89" s="161">
        <v>1.7268035253939346E-6</v>
      </c>
      <c r="AJ89" s="107"/>
      <c r="AK89" s="107"/>
      <c r="AL89" s="108"/>
      <c r="AM89" s="109"/>
      <c r="AN89" s="109"/>
      <c r="AO89" s="104"/>
      <c r="AP89" s="105"/>
      <c r="AQ89" s="106"/>
      <c r="AR89" s="107"/>
      <c r="AS89" s="107"/>
      <c r="AT89" s="108"/>
      <c r="AU89" s="107"/>
      <c r="AV89" s="107"/>
      <c r="AW89" s="104"/>
      <c r="AX89" s="105"/>
      <c r="AY89" s="106"/>
      <c r="AZ89" s="107"/>
      <c r="BA89" s="107"/>
      <c r="BB89" s="108"/>
      <c r="BC89" s="109"/>
      <c r="BD89" s="109"/>
      <c r="BE89" s="104"/>
      <c r="BF89" s="105"/>
      <c r="BG89" s="106"/>
      <c r="BH89" s="107"/>
      <c r="BI89" s="107"/>
      <c r="BJ89" s="108"/>
      <c r="BK89" s="109"/>
      <c r="BL89" s="109"/>
      <c r="BM89" s="104"/>
      <c r="BN89" s="105"/>
      <c r="BO89" s="106"/>
      <c r="BP89" s="107"/>
      <c r="BQ89" s="107"/>
      <c r="BR89" s="108"/>
      <c r="BS89" s="109"/>
      <c r="BT89" s="109"/>
      <c r="BU89" s="104"/>
      <c r="BV89" s="105"/>
      <c r="BW89" s="106"/>
      <c r="BX89" s="107"/>
      <c r="BY89" s="107"/>
      <c r="BZ89" s="108"/>
      <c r="CA89" s="109"/>
    </row>
    <row r="90" spans="1:79" x14ac:dyDescent="0.2">
      <c r="A90" s="104"/>
      <c r="B90" s="105"/>
      <c r="C90" s="106"/>
      <c r="D90" s="107"/>
      <c r="E90" s="107"/>
      <c r="F90" s="150"/>
      <c r="G90" s="154"/>
      <c r="H90" s="109"/>
      <c r="I90" s="104"/>
      <c r="J90" s="105"/>
      <c r="K90" s="106"/>
      <c r="L90" s="107"/>
      <c r="M90" s="107"/>
      <c r="N90" s="108"/>
      <c r="O90" s="150"/>
      <c r="P90" s="154"/>
      <c r="Q90" s="104"/>
      <c r="R90" s="105"/>
      <c r="S90" s="106"/>
      <c r="T90" s="107"/>
      <c r="U90" s="107"/>
      <c r="V90" s="108"/>
      <c r="W90" s="150"/>
      <c r="X90" s="150"/>
      <c r="Y90" s="104"/>
      <c r="Z90" s="157"/>
      <c r="AA90" s="106"/>
      <c r="AB90" s="107" t="s">
        <v>204</v>
      </c>
      <c r="AC90" s="107" t="s">
        <v>388</v>
      </c>
      <c r="AD90" s="108" t="s">
        <v>382</v>
      </c>
      <c r="AE90" s="109" t="s">
        <v>100</v>
      </c>
      <c r="AF90" s="181">
        <v>0.02</v>
      </c>
      <c r="AG90" s="183">
        <v>3.6</v>
      </c>
      <c r="AH90" s="160">
        <v>385784.59</v>
      </c>
      <c r="AI90" s="161">
        <v>1.9190728845967877E-5</v>
      </c>
      <c r="AJ90" s="107"/>
      <c r="AK90" s="107"/>
      <c r="AL90" s="108"/>
      <c r="AM90" s="109"/>
      <c r="AN90" s="109"/>
      <c r="AO90" s="104"/>
      <c r="AP90" s="105"/>
      <c r="AQ90" s="106"/>
      <c r="AR90" s="107"/>
      <c r="AS90" s="107"/>
      <c r="AT90" s="108"/>
      <c r="AU90" s="107"/>
      <c r="AV90" s="107"/>
      <c r="AW90" s="104"/>
      <c r="AX90" s="105"/>
      <c r="AY90" s="106"/>
      <c r="AZ90" s="107"/>
      <c r="BA90" s="107"/>
      <c r="BB90" s="108"/>
      <c r="BC90" s="109"/>
      <c r="BD90" s="109"/>
      <c r="BE90" s="104"/>
      <c r="BF90" s="105"/>
      <c r="BG90" s="106"/>
      <c r="BH90" s="107"/>
      <c r="BI90" s="107"/>
      <c r="BJ90" s="108"/>
      <c r="BK90" s="109"/>
      <c r="BL90" s="109"/>
      <c r="BM90" s="104"/>
      <c r="BN90" s="105"/>
      <c r="BO90" s="106"/>
      <c r="BP90" s="107"/>
      <c r="BQ90" s="107"/>
      <c r="BR90" s="108"/>
      <c r="BS90" s="109"/>
      <c r="BT90" s="109"/>
      <c r="BU90" s="104"/>
      <c r="BV90" s="105"/>
      <c r="BW90" s="106"/>
      <c r="BX90" s="107"/>
      <c r="BY90" s="107"/>
      <c r="BZ90" s="108"/>
      <c r="CA90" s="109"/>
    </row>
    <row r="91" spans="1:79" x14ac:dyDescent="0.2">
      <c r="A91" s="104"/>
      <c r="B91" s="105"/>
      <c r="C91" s="106"/>
      <c r="D91" s="107"/>
      <c r="E91" s="107"/>
      <c r="F91" s="150"/>
      <c r="G91" s="154"/>
      <c r="H91" s="109"/>
      <c r="I91" s="104"/>
      <c r="J91" s="105"/>
      <c r="K91" s="106"/>
      <c r="L91" s="107"/>
      <c r="M91" s="107"/>
      <c r="N91" s="108"/>
      <c r="O91" s="150"/>
      <c r="P91" s="154"/>
      <c r="Q91" s="104"/>
      <c r="R91" s="105"/>
      <c r="S91" s="106"/>
      <c r="T91" s="107"/>
      <c r="U91" s="107"/>
      <c r="V91" s="108"/>
      <c r="W91" s="150"/>
      <c r="X91" s="150"/>
      <c r="Y91" s="104"/>
      <c r="Z91" s="157"/>
      <c r="AA91" s="106"/>
      <c r="AB91" s="107" t="s">
        <v>204</v>
      </c>
      <c r="AC91" s="107" t="s">
        <v>388</v>
      </c>
      <c r="AD91" s="108" t="s">
        <v>382</v>
      </c>
      <c r="AE91" s="109" t="s">
        <v>100</v>
      </c>
      <c r="AF91" s="181">
        <v>0.05</v>
      </c>
      <c r="AG91" s="183">
        <v>3.84</v>
      </c>
      <c r="AH91" s="160">
        <v>269625.56</v>
      </c>
      <c r="AI91" s="161">
        <v>1.341243576177442E-5</v>
      </c>
      <c r="AJ91" s="107"/>
      <c r="AK91" s="107"/>
      <c r="AL91" s="108"/>
      <c r="AM91" s="109"/>
      <c r="AN91" s="109"/>
      <c r="AO91" s="104"/>
      <c r="AP91" s="105"/>
      <c r="AQ91" s="106"/>
      <c r="AR91" s="107"/>
      <c r="AS91" s="107"/>
      <c r="AT91" s="108"/>
      <c r="AU91" s="107"/>
      <c r="AV91" s="107"/>
      <c r="AW91" s="104"/>
      <c r="AX91" s="105"/>
      <c r="AY91" s="106"/>
      <c r="AZ91" s="107"/>
      <c r="BA91" s="107"/>
      <c r="BB91" s="108"/>
      <c r="BC91" s="109"/>
      <c r="BD91" s="109"/>
      <c r="BE91" s="104"/>
      <c r="BF91" s="105"/>
      <c r="BG91" s="106"/>
      <c r="BH91" s="107"/>
      <c r="BI91" s="107"/>
      <c r="BJ91" s="108"/>
      <c r="BK91" s="109"/>
      <c r="BL91" s="109"/>
      <c r="BM91" s="104"/>
      <c r="BN91" s="105"/>
      <c r="BO91" s="106"/>
      <c r="BP91" s="107"/>
      <c r="BQ91" s="107"/>
      <c r="BR91" s="108"/>
      <c r="BS91" s="109"/>
      <c r="BT91" s="109"/>
      <c r="BU91" s="104"/>
      <c r="BV91" s="105"/>
      <c r="BW91" s="106"/>
      <c r="BX91" s="107"/>
      <c r="BY91" s="107"/>
      <c r="BZ91" s="108"/>
      <c r="CA91" s="109"/>
    </row>
    <row r="92" spans="1:79" x14ac:dyDescent="0.2">
      <c r="A92" s="104"/>
      <c r="B92" s="105"/>
      <c r="C92" s="106"/>
      <c r="D92" s="107"/>
      <c r="E92" s="107"/>
      <c r="F92" s="150"/>
      <c r="G92" s="154"/>
      <c r="H92" s="109"/>
      <c r="I92" s="104"/>
      <c r="J92" s="105"/>
      <c r="K92" s="106"/>
      <c r="L92" s="107"/>
      <c r="M92" s="107"/>
      <c r="N92" s="108"/>
      <c r="O92" s="150"/>
      <c r="P92" s="154"/>
      <c r="Q92" s="104"/>
      <c r="R92" s="105"/>
      <c r="S92" s="106"/>
      <c r="T92" s="107"/>
      <c r="U92" s="107"/>
      <c r="V92" s="108"/>
      <c r="W92" s="150"/>
      <c r="X92" s="150"/>
      <c r="Y92" s="104"/>
      <c r="Z92" s="157"/>
      <c r="AA92" s="106"/>
      <c r="AB92" s="107" t="s">
        <v>204</v>
      </c>
      <c r="AC92" s="107" t="s">
        <v>388</v>
      </c>
      <c r="AD92" s="108" t="s">
        <v>382</v>
      </c>
      <c r="AE92" s="109" t="s">
        <v>100</v>
      </c>
      <c r="AF92" s="181">
        <v>7.0000000000000007E-2</v>
      </c>
      <c r="AG92" s="183">
        <v>3.6</v>
      </c>
      <c r="AH92" s="160">
        <v>76985.22</v>
      </c>
      <c r="AI92" s="161">
        <v>3.8296045916447157E-6</v>
      </c>
      <c r="AJ92" s="107"/>
      <c r="AK92" s="107"/>
      <c r="AL92" s="108"/>
      <c r="AM92" s="109"/>
      <c r="AN92" s="109"/>
      <c r="AO92" s="104"/>
      <c r="AP92" s="105"/>
      <c r="AQ92" s="106"/>
      <c r="AR92" s="107"/>
      <c r="AS92" s="107"/>
      <c r="AT92" s="108"/>
      <c r="AU92" s="107"/>
      <c r="AV92" s="107"/>
      <c r="AW92" s="104"/>
      <c r="AX92" s="105"/>
      <c r="AY92" s="106"/>
      <c r="AZ92" s="107"/>
      <c r="BA92" s="107"/>
      <c r="BB92" s="108"/>
      <c r="BC92" s="109"/>
      <c r="BD92" s="109"/>
      <c r="BE92" s="104"/>
      <c r="BF92" s="105"/>
      <c r="BG92" s="106"/>
      <c r="BH92" s="107"/>
      <c r="BI92" s="107"/>
      <c r="BJ92" s="108"/>
      <c r="BK92" s="109"/>
      <c r="BL92" s="109"/>
      <c r="BM92" s="104"/>
      <c r="BN92" s="105"/>
      <c r="BO92" s="106"/>
      <c r="BP92" s="107"/>
      <c r="BQ92" s="107"/>
      <c r="BR92" s="108"/>
      <c r="BS92" s="109"/>
      <c r="BT92" s="109"/>
      <c r="BU92" s="104"/>
      <c r="BV92" s="105"/>
      <c r="BW92" s="106"/>
      <c r="BX92" s="107"/>
      <c r="BY92" s="107"/>
      <c r="BZ92" s="108"/>
      <c r="CA92" s="109"/>
    </row>
    <row r="93" spans="1:79" x14ac:dyDescent="0.2">
      <c r="A93" s="104"/>
      <c r="B93" s="105"/>
      <c r="C93" s="106"/>
      <c r="D93" s="107"/>
      <c r="E93" s="107"/>
      <c r="F93" s="150"/>
      <c r="G93" s="154"/>
      <c r="H93" s="109"/>
      <c r="I93" s="104"/>
      <c r="J93" s="105"/>
      <c r="K93" s="106"/>
      <c r="L93" s="107"/>
      <c r="M93" s="107"/>
      <c r="N93" s="108"/>
      <c r="O93" s="150"/>
      <c r="P93" s="154"/>
      <c r="Q93" s="104"/>
      <c r="R93" s="105"/>
      <c r="S93" s="106"/>
      <c r="T93" s="107"/>
      <c r="U93" s="107"/>
      <c r="V93" s="108"/>
      <c r="W93" s="150"/>
      <c r="X93" s="150"/>
      <c r="Y93" s="104"/>
      <c r="Z93" s="157"/>
      <c r="AA93" s="106"/>
      <c r="AB93" s="107" t="s">
        <v>204</v>
      </c>
      <c r="AC93" s="107" t="s">
        <v>388</v>
      </c>
      <c r="AD93" s="108" t="s">
        <v>382</v>
      </c>
      <c r="AE93" s="109" t="s">
        <v>100</v>
      </c>
      <c r="AF93" s="181">
        <v>0.09</v>
      </c>
      <c r="AG93" s="183">
        <v>3.96</v>
      </c>
      <c r="AH93" s="160">
        <v>134616.82</v>
      </c>
      <c r="AI93" s="161">
        <v>6.6964697975447902E-6</v>
      </c>
      <c r="AJ93" s="107"/>
      <c r="AK93" s="107"/>
      <c r="AL93" s="108"/>
      <c r="AM93" s="109"/>
      <c r="AN93" s="109"/>
      <c r="AO93" s="104"/>
      <c r="AP93" s="105"/>
      <c r="AQ93" s="106"/>
      <c r="AR93" s="107"/>
      <c r="AS93" s="107"/>
      <c r="AT93" s="108"/>
      <c r="AU93" s="107"/>
      <c r="AV93" s="107"/>
      <c r="AW93" s="104"/>
      <c r="AX93" s="105"/>
      <c r="AY93" s="106"/>
      <c r="AZ93" s="107"/>
      <c r="BA93" s="107"/>
      <c r="BB93" s="108"/>
      <c r="BC93" s="109"/>
      <c r="BD93" s="109"/>
      <c r="BE93" s="104"/>
      <c r="BF93" s="105"/>
      <c r="BG93" s="106"/>
      <c r="BH93" s="107"/>
      <c r="BI93" s="107"/>
      <c r="BJ93" s="108"/>
      <c r="BK93" s="109"/>
      <c r="BL93" s="109"/>
      <c r="BM93" s="104"/>
      <c r="BN93" s="105"/>
      <c r="BO93" s="106"/>
      <c r="BP93" s="107"/>
      <c r="BQ93" s="107"/>
      <c r="BR93" s="108"/>
      <c r="BS93" s="109"/>
      <c r="BT93" s="109"/>
      <c r="BU93" s="104"/>
      <c r="BV93" s="105"/>
      <c r="BW93" s="106"/>
      <c r="BX93" s="107"/>
      <c r="BY93" s="107"/>
      <c r="BZ93" s="108"/>
      <c r="CA93" s="109"/>
    </row>
    <row r="94" spans="1:79" x14ac:dyDescent="0.2">
      <c r="A94" s="104"/>
      <c r="B94" s="105"/>
      <c r="C94" s="106"/>
      <c r="D94" s="107"/>
      <c r="E94" s="107"/>
      <c r="F94" s="150"/>
      <c r="G94" s="154"/>
      <c r="H94" s="109"/>
      <c r="I94" s="104"/>
      <c r="J94" s="105"/>
      <c r="K94" s="106"/>
      <c r="L94" s="107"/>
      <c r="M94" s="107"/>
      <c r="N94" s="108"/>
      <c r="O94" s="150"/>
      <c r="P94" s="154"/>
      <c r="Q94" s="104"/>
      <c r="R94" s="105"/>
      <c r="S94" s="106"/>
      <c r="T94" s="107"/>
      <c r="U94" s="107"/>
      <c r="V94" s="108"/>
      <c r="W94" s="150"/>
      <c r="X94" s="150"/>
      <c r="Y94" s="104"/>
      <c r="Z94" s="157"/>
      <c r="AA94" s="106"/>
      <c r="AB94" s="107" t="s">
        <v>204</v>
      </c>
      <c r="AC94" s="107" t="s">
        <v>388</v>
      </c>
      <c r="AD94" s="108" t="s">
        <v>382</v>
      </c>
      <c r="AE94" s="109" t="s">
        <v>100</v>
      </c>
      <c r="AF94" s="181">
        <v>0.17</v>
      </c>
      <c r="AG94" s="183">
        <v>3.96</v>
      </c>
      <c r="AH94" s="160">
        <v>153373.22</v>
      </c>
      <c r="AI94" s="161">
        <v>7.6295007333690696E-6</v>
      </c>
      <c r="AJ94" s="107"/>
      <c r="AK94" s="107"/>
      <c r="AL94" s="108"/>
      <c r="AM94" s="109"/>
      <c r="AN94" s="109"/>
      <c r="AO94" s="104"/>
      <c r="AP94" s="105"/>
      <c r="AQ94" s="106"/>
      <c r="AR94" s="107"/>
      <c r="AS94" s="107"/>
      <c r="AT94" s="108"/>
      <c r="AU94" s="107"/>
      <c r="AV94" s="107"/>
      <c r="AW94" s="104"/>
      <c r="AX94" s="105"/>
      <c r="AY94" s="106"/>
      <c r="AZ94" s="107"/>
      <c r="BA94" s="107"/>
      <c r="BB94" s="108"/>
      <c r="BC94" s="109"/>
      <c r="BD94" s="109"/>
      <c r="BE94" s="104"/>
      <c r="BF94" s="105"/>
      <c r="BG94" s="106"/>
      <c r="BH94" s="107"/>
      <c r="BI94" s="107"/>
      <c r="BJ94" s="108"/>
      <c r="BK94" s="109"/>
      <c r="BL94" s="109"/>
      <c r="BM94" s="104"/>
      <c r="BN94" s="105"/>
      <c r="BO94" s="106"/>
      <c r="BP94" s="107"/>
      <c r="BQ94" s="107"/>
      <c r="BR94" s="108"/>
      <c r="BS94" s="109"/>
      <c r="BT94" s="109"/>
      <c r="BU94" s="104"/>
      <c r="BV94" s="105"/>
      <c r="BW94" s="106"/>
      <c r="BX94" s="107"/>
      <c r="BY94" s="107"/>
      <c r="BZ94" s="108"/>
      <c r="CA94" s="109"/>
    </row>
    <row r="95" spans="1:79" x14ac:dyDescent="0.2">
      <c r="A95" s="104"/>
      <c r="B95" s="105"/>
      <c r="C95" s="106"/>
      <c r="D95" s="107"/>
      <c r="E95" s="107"/>
      <c r="F95" s="150"/>
      <c r="G95" s="154"/>
      <c r="H95" s="109"/>
      <c r="I95" s="104"/>
      <c r="J95" s="105"/>
      <c r="K95" s="106"/>
      <c r="L95" s="107"/>
      <c r="M95" s="107"/>
      <c r="N95" s="108"/>
      <c r="O95" s="150"/>
      <c r="P95" s="154"/>
      <c r="Q95" s="104"/>
      <c r="R95" s="105"/>
      <c r="S95" s="106"/>
      <c r="T95" s="107"/>
      <c r="U95" s="107"/>
      <c r="V95" s="108"/>
      <c r="W95" s="150"/>
      <c r="X95" s="150"/>
      <c r="Y95" s="104"/>
      <c r="Z95" s="157"/>
      <c r="AA95" s="106"/>
      <c r="AB95" s="107" t="s">
        <v>204</v>
      </c>
      <c r="AC95" s="107" t="s">
        <v>388</v>
      </c>
      <c r="AD95" s="108" t="s">
        <v>382</v>
      </c>
      <c r="AE95" s="109" t="s">
        <v>100</v>
      </c>
      <c r="AF95" s="181">
        <v>0.18</v>
      </c>
      <c r="AG95" s="183">
        <v>3.96</v>
      </c>
      <c r="AH95" s="160">
        <v>153298.56</v>
      </c>
      <c r="AI95" s="161">
        <v>7.6257871789944495E-6</v>
      </c>
      <c r="AJ95" s="107"/>
      <c r="AK95" s="107"/>
      <c r="AL95" s="108"/>
      <c r="AM95" s="109"/>
      <c r="AN95" s="109"/>
      <c r="AO95" s="104"/>
      <c r="AP95" s="105"/>
      <c r="AQ95" s="106"/>
      <c r="AR95" s="107"/>
      <c r="AS95" s="107"/>
      <c r="AT95" s="108"/>
      <c r="AU95" s="107"/>
      <c r="AV95" s="107"/>
      <c r="AW95" s="104"/>
      <c r="AX95" s="105"/>
      <c r="AY95" s="106"/>
      <c r="AZ95" s="107"/>
      <c r="BA95" s="107"/>
      <c r="BB95" s="108"/>
      <c r="BC95" s="109"/>
      <c r="BD95" s="109"/>
      <c r="BE95" s="104"/>
      <c r="BF95" s="105"/>
      <c r="BG95" s="106"/>
      <c r="BH95" s="107"/>
      <c r="BI95" s="107"/>
      <c r="BJ95" s="108"/>
      <c r="BK95" s="109"/>
      <c r="BL95" s="109"/>
      <c r="BM95" s="104"/>
      <c r="BN95" s="105"/>
      <c r="BO95" s="106"/>
      <c r="BP95" s="107"/>
      <c r="BQ95" s="107"/>
      <c r="BR95" s="108"/>
      <c r="BS95" s="109"/>
      <c r="BT95" s="109"/>
      <c r="BU95" s="104"/>
      <c r="BV95" s="105"/>
      <c r="BW95" s="106"/>
      <c r="BX95" s="107"/>
      <c r="BY95" s="107"/>
      <c r="BZ95" s="108"/>
      <c r="CA95" s="109"/>
    </row>
    <row r="96" spans="1:79" x14ac:dyDescent="0.2">
      <c r="A96" s="104"/>
      <c r="B96" s="105"/>
      <c r="C96" s="106"/>
      <c r="D96" s="107"/>
      <c r="E96" s="107"/>
      <c r="F96" s="150"/>
      <c r="G96" s="154"/>
      <c r="H96" s="109"/>
      <c r="I96" s="104"/>
      <c r="J96" s="105"/>
      <c r="K96" s="106"/>
      <c r="L96" s="107"/>
      <c r="M96" s="107"/>
      <c r="N96" s="108"/>
      <c r="O96" s="150"/>
      <c r="P96" s="154"/>
      <c r="Q96" s="104"/>
      <c r="R96" s="105"/>
      <c r="S96" s="106"/>
      <c r="T96" s="107"/>
      <c r="U96" s="107"/>
      <c r="V96" s="108"/>
      <c r="W96" s="150"/>
      <c r="X96" s="150"/>
      <c r="Y96" s="104"/>
      <c r="Z96" s="157"/>
      <c r="AA96" s="106"/>
      <c r="AB96" s="107" t="s">
        <v>204</v>
      </c>
      <c r="AC96" s="107" t="s">
        <v>388</v>
      </c>
      <c r="AD96" s="108" t="s">
        <v>382</v>
      </c>
      <c r="AE96" s="109" t="s">
        <v>100</v>
      </c>
      <c r="AF96" s="181">
        <v>0.22</v>
      </c>
      <c r="AG96" s="183">
        <v>3.96</v>
      </c>
      <c r="AH96" s="160">
        <v>3919.25</v>
      </c>
      <c r="AI96" s="161">
        <v>1.9496168674626117E-7</v>
      </c>
      <c r="AJ96" s="107"/>
      <c r="AK96" s="107"/>
      <c r="AL96" s="108"/>
      <c r="AM96" s="109"/>
      <c r="AN96" s="109"/>
      <c r="AO96" s="104"/>
      <c r="AP96" s="105"/>
      <c r="AQ96" s="106"/>
      <c r="AR96" s="107"/>
      <c r="AS96" s="107"/>
      <c r="AT96" s="108"/>
      <c r="AU96" s="107"/>
      <c r="AV96" s="107"/>
      <c r="AW96" s="104"/>
      <c r="AX96" s="105"/>
      <c r="AY96" s="106"/>
      <c r="AZ96" s="107"/>
      <c r="BA96" s="107"/>
      <c r="BB96" s="108"/>
      <c r="BC96" s="109"/>
      <c r="BD96" s="109"/>
      <c r="BE96" s="104"/>
      <c r="BF96" s="105"/>
      <c r="BG96" s="106"/>
      <c r="BH96" s="107"/>
      <c r="BI96" s="107"/>
      <c r="BJ96" s="108"/>
      <c r="BK96" s="109"/>
      <c r="BL96" s="109"/>
      <c r="BM96" s="104"/>
      <c r="BN96" s="105"/>
      <c r="BO96" s="106"/>
      <c r="BP96" s="107"/>
      <c r="BQ96" s="107"/>
      <c r="BR96" s="108"/>
      <c r="BS96" s="109"/>
      <c r="BT96" s="109"/>
      <c r="BU96" s="104"/>
      <c r="BV96" s="105"/>
      <c r="BW96" s="106"/>
      <c r="BX96" s="107"/>
      <c r="BY96" s="107"/>
      <c r="BZ96" s="108"/>
      <c r="CA96" s="109"/>
    </row>
    <row r="97" spans="1:79" x14ac:dyDescent="0.2">
      <c r="A97" s="104"/>
      <c r="B97" s="105"/>
      <c r="C97" s="106"/>
      <c r="D97" s="107"/>
      <c r="E97" s="107"/>
      <c r="F97" s="150"/>
      <c r="G97" s="154"/>
      <c r="H97" s="109"/>
      <c r="I97" s="104"/>
      <c r="J97" s="105"/>
      <c r="K97" s="106"/>
      <c r="L97" s="107"/>
      <c r="M97" s="107"/>
      <c r="N97" s="108"/>
      <c r="O97" s="150"/>
      <c r="P97" s="154"/>
      <c r="Q97" s="104"/>
      <c r="R97" s="105"/>
      <c r="S97" s="106"/>
      <c r="T97" s="107"/>
      <c r="U97" s="107"/>
      <c r="V97" s="108"/>
      <c r="W97" s="150"/>
      <c r="X97" s="150"/>
      <c r="Y97" s="104"/>
      <c r="Z97" s="157"/>
      <c r="AA97" s="106"/>
      <c r="AB97" s="107" t="s">
        <v>204</v>
      </c>
      <c r="AC97" s="107" t="s">
        <v>388</v>
      </c>
      <c r="AD97" s="108" t="s">
        <v>382</v>
      </c>
      <c r="AE97" s="109" t="s">
        <v>100</v>
      </c>
      <c r="AF97" s="181">
        <v>0.25</v>
      </c>
      <c r="AG97" s="183">
        <v>3.96</v>
      </c>
      <c r="AH97" s="160">
        <v>19969.5</v>
      </c>
      <c r="AI97" s="161">
        <v>9.9337622052780806E-7</v>
      </c>
      <c r="AJ97" s="107"/>
      <c r="AK97" s="107"/>
      <c r="AL97" s="108"/>
      <c r="AM97" s="109"/>
      <c r="AN97" s="109"/>
      <c r="AO97" s="104"/>
      <c r="AP97" s="105"/>
      <c r="AQ97" s="106"/>
      <c r="AR97" s="107"/>
      <c r="AS97" s="107"/>
      <c r="AT97" s="108"/>
      <c r="AU97" s="107"/>
      <c r="AV97" s="107"/>
      <c r="AW97" s="104"/>
      <c r="AX97" s="105"/>
      <c r="AY97" s="106"/>
      <c r="AZ97" s="107"/>
      <c r="BA97" s="107"/>
      <c r="BB97" s="108"/>
      <c r="BC97" s="109"/>
      <c r="BD97" s="109"/>
      <c r="BE97" s="104"/>
      <c r="BF97" s="105"/>
      <c r="BG97" s="106"/>
      <c r="BH97" s="107"/>
      <c r="BI97" s="107"/>
      <c r="BJ97" s="108"/>
      <c r="BK97" s="109"/>
      <c r="BL97" s="109"/>
      <c r="BM97" s="104"/>
      <c r="BN97" s="105"/>
      <c r="BO97" s="106"/>
      <c r="BP97" s="107"/>
      <c r="BQ97" s="107"/>
      <c r="BR97" s="108"/>
      <c r="BS97" s="109"/>
      <c r="BT97" s="109"/>
      <c r="BU97" s="104"/>
      <c r="BV97" s="105"/>
      <c r="BW97" s="106"/>
      <c r="BX97" s="107"/>
      <c r="BY97" s="107"/>
      <c r="BZ97" s="108"/>
      <c r="CA97" s="109"/>
    </row>
    <row r="98" spans="1:79" x14ac:dyDescent="0.2">
      <c r="A98" s="104"/>
      <c r="B98" s="105"/>
      <c r="C98" s="106"/>
      <c r="D98" s="107"/>
      <c r="E98" s="107"/>
      <c r="F98" s="150"/>
      <c r="G98" s="154"/>
      <c r="H98" s="109"/>
      <c r="I98" s="104"/>
      <c r="J98" s="105"/>
      <c r="K98" s="106"/>
      <c r="L98" s="107"/>
      <c r="M98" s="107"/>
      <c r="N98" s="108"/>
      <c r="O98" s="150"/>
      <c r="P98" s="154"/>
      <c r="Q98" s="104"/>
      <c r="R98" s="105"/>
      <c r="S98" s="106"/>
      <c r="T98" s="107"/>
      <c r="U98" s="107"/>
      <c r="V98" s="108"/>
      <c r="W98" s="150"/>
      <c r="X98" s="150"/>
      <c r="Y98" s="104"/>
      <c r="Z98" s="157"/>
      <c r="AA98" s="106"/>
      <c r="AB98" s="107" t="s">
        <v>204</v>
      </c>
      <c r="AC98" s="107" t="s">
        <v>388</v>
      </c>
      <c r="AD98" s="108" t="s">
        <v>382</v>
      </c>
      <c r="AE98" s="109" t="s">
        <v>100</v>
      </c>
      <c r="AF98" s="181">
        <v>0.26</v>
      </c>
      <c r="AG98" s="183">
        <v>3.96</v>
      </c>
      <c r="AH98" s="160">
        <v>19092.330000000002</v>
      </c>
      <c r="AI98" s="161">
        <v>9.4974193797177048E-7</v>
      </c>
      <c r="AJ98" s="107"/>
      <c r="AK98" s="107"/>
      <c r="AL98" s="108"/>
      <c r="AM98" s="109"/>
      <c r="AN98" s="109"/>
      <c r="AO98" s="104"/>
      <c r="AP98" s="105"/>
      <c r="AQ98" s="106"/>
      <c r="AR98" s="107"/>
      <c r="AS98" s="107"/>
      <c r="AT98" s="108"/>
      <c r="AU98" s="107"/>
      <c r="AV98" s="107"/>
      <c r="AW98" s="104"/>
      <c r="AX98" s="105"/>
      <c r="AY98" s="106"/>
      <c r="AZ98" s="107"/>
      <c r="BA98" s="107"/>
      <c r="BB98" s="108"/>
      <c r="BC98" s="109"/>
      <c r="BD98" s="109"/>
      <c r="BE98" s="104"/>
      <c r="BF98" s="105"/>
      <c r="BG98" s="106"/>
      <c r="BH98" s="107"/>
      <c r="BI98" s="107"/>
      <c r="BJ98" s="108"/>
      <c r="BK98" s="109"/>
      <c r="BL98" s="109"/>
      <c r="BM98" s="104"/>
      <c r="BN98" s="105"/>
      <c r="BO98" s="106"/>
      <c r="BP98" s="107"/>
      <c r="BQ98" s="107"/>
      <c r="BR98" s="108"/>
      <c r="BS98" s="109"/>
      <c r="BT98" s="109"/>
      <c r="BU98" s="104"/>
      <c r="BV98" s="105"/>
      <c r="BW98" s="106"/>
      <c r="BX98" s="107"/>
      <c r="BY98" s="107"/>
      <c r="BZ98" s="108"/>
      <c r="CA98" s="109"/>
    </row>
    <row r="99" spans="1:79" x14ac:dyDescent="0.2">
      <c r="A99" s="104"/>
      <c r="B99" s="105"/>
      <c r="C99" s="106"/>
      <c r="D99" s="107"/>
      <c r="E99" s="107"/>
      <c r="F99" s="150"/>
      <c r="G99" s="154"/>
      <c r="H99" s="109"/>
      <c r="I99" s="104"/>
      <c r="J99" s="105"/>
      <c r="K99" s="106"/>
      <c r="L99" s="107"/>
      <c r="M99" s="107"/>
      <c r="N99" s="108"/>
      <c r="O99" s="150"/>
      <c r="P99" s="154"/>
      <c r="Q99" s="104"/>
      <c r="R99" s="105"/>
      <c r="S99" s="106"/>
      <c r="T99" s="107"/>
      <c r="U99" s="107"/>
      <c r="V99" s="108"/>
      <c r="W99" s="150"/>
      <c r="X99" s="150"/>
      <c r="Y99" s="104"/>
      <c r="Z99" s="157"/>
      <c r="AA99" s="106"/>
      <c r="AB99" s="107" t="s">
        <v>204</v>
      </c>
      <c r="AC99" s="107" t="s">
        <v>388</v>
      </c>
      <c r="AD99" s="108" t="s">
        <v>382</v>
      </c>
      <c r="AE99" s="109" t="s">
        <v>100</v>
      </c>
      <c r="AF99" s="181">
        <v>0.3</v>
      </c>
      <c r="AG99" s="183">
        <v>3.96</v>
      </c>
      <c r="AH99" s="160">
        <v>124688.06</v>
      </c>
      <c r="AI99" s="161">
        <v>6.2025668518182345E-6</v>
      </c>
      <c r="AJ99" s="107"/>
      <c r="AK99" s="107"/>
      <c r="AL99" s="108"/>
      <c r="AM99" s="109"/>
      <c r="AN99" s="109"/>
      <c r="AO99" s="104"/>
      <c r="AP99" s="105"/>
      <c r="AQ99" s="106"/>
      <c r="AR99" s="107"/>
      <c r="AS99" s="107"/>
      <c r="AT99" s="108"/>
      <c r="AU99" s="107"/>
      <c r="AV99" s="107"/>
      <c r="AW99" s="104"/>
      <c r="AX99" s="105"/>
      <c r="AY99" s="106"/>
      <c r="AZ99" s="107"/>
      <c r="BA99" s="107"/>
      <c r="BB99" s="108"/>
      <c r="BC99" s="109"/>
      <c r="BD99" s="109"/>
      <c r="BE99" s="104"/>
      <c r="BF99" s="105"/>
      <c r="BG99" s="106"/>
      <c r="BH99" s="107"/>
      <c r="BI99" s="107"/>
      <c r="BJ99" s="108"/>
      <c r="BK99" s="109"/>
      <c r="BL99" s="109"/>
      <c r="BM99" s="104"/>
      <c r="BN99" s="105"/>
      <c r="BO99" s="106"/>
      <c r="BP99" s="107"/>
      <c r="BQ99" s="107"/>
      <c r="BR99" s="108"/>
      <c r="BS99" s="109"/>
      <c r="BT99" s="109"/>
      <c r="BU99" s="104"/>
      <c r="BV99" s="105"/>
      <c r="BW99" s="106"/>
      <c r="BX99" s="107"/>
      <c r="BY99" s="107"/>
      <c r="BZ99" s="108"/>
      <c r="CA99" s="109"/>
    </row>
    <row r="100" spans="1:79" x14ac:dyDescent="0.2">
      <c r="A100" s="104"/>
      <c r="B100" s="105"/>
      <c r="C100" s="106"/>
      <c r="D100" s="107"/>
      <c r="E100" s="107"/>
      <c r="F100" s="150"/>
      <c r="G100" s="154"/>
      <c r="H100" s="109"/>
      <c r="I100" s="104"/>
      <c r="J100" s="105"/>
      <c r="K100" s="106"/>
      <c r="L100" s="107"/>
      <c r="M100" s="107"/>
      <c r="N100" s="108"/>
      <c r="O100" s="150"/>
      <c r="P100" s="154"/>
      <c r="Q100" s="104"/>
      <c r="R100" s="105"/>
      <c r="S100" s="106"/>
      <c r="T100" s="107"/>
      <c r="U100" s="107"/>
      <c r="V100" s="108"/>
      <c r="W100" s="150"/>
      <c r="X100" s="150"/>
      <c r="Y100" s="104"/>
      <c r="Z100" s="157"/>
      <c r="AA100" s="106"/>
      <c r="AB100" s="107" t="s">
        <v>204</v>
      </c>
      <c r="AC100" s="107" t="s">
        <v>388</v>
      </c>
      <c r="AD100" s="108" t="s">
        <v>382</v>
      </c>
      <c r="AE100" s="109" t="s">
        <v>100</v>
      </c>
      <c r="AF100" s="181">
        <v>0.35</v>
      </c>
      <c r="AG100" s="183">
        <v>3.96</v>
      </c>
      <c r="AH100" s="160">
        <v>76126.720000000001</v>
      </c>
      <c r="AI100" s="161">
        <v>3.7868986989259504E-6</v>
      </c>
      <c r="AJ100" s="107"/>
      <c r="AK100" s="107"/>
      <c r="AL100" s="108"/>
      <c r="AM100" s="109"/>
      <c r="AN100" s="109"/>
      <c r="AO100" s="104"/>
      <c r="AP100" s="105"/>
      <c r="AQ100" s="106"/>
      <c r="AR100" s="107"/>
      <c r="AS100" s="107"/>
      <c r="AT100" s="108"/>
      <c r="AU100" s="107"/>
      <c r="AV100" s="107"/>
      <c r="AW100" s="104"/>
      <c r="AX100" s="105"/>
      <c r="AY100" s="106"/>
      <c r="AZ100" s="107"/>
      <c r="BA100" s="107"/>
      <c r="BB100" s="108"/>
      <c r="BC100" s="109"/>
      <c r="BD100" s="109"/>
      <c r="BE100" s="104"/>
      <c r="BF100" s="105"/>
      <c r="BG100" s="106"/>
      <c r="BH100" s="107"/>
      <c r="BI100" s="107"/>
      <c r="BJ100" s="108"/>
      <c r="BK100" s="109"/>
      <c r="BL100" s="109"/>
      <c r="BM100" s="104"/>
      <c r="BN100" s="105"/>
      <c r="BO100" s="106"/>
      <c r="BP100" s="107"/>
      <c r="BQ100" s="107"/>
      <c r="BR100" s="108"/>
      <c r="BS100" s="109"/>
      <c r="BT100" s="109"/>
      <c r="BU100" s="104"/>
      <c r="BV100" s="105"/>
      <c r="BW100" s="106"/>
      <c r="BX100" s="107"/>
      <c r="BY100" s="107"/>
      <c r="BZ100" s="108"/>
      <c r="CA100" s="109"/>
    </row>
    <row r="101" spans="1:79" x14ac:dyDescent="0.2">
      <c r="A101" s="104"/>
      <c r="B101" s="105"/>
      <c r="C101" s="106"/>
      <c r="D101" s="107"/>
      <c r="E101" s="107"/>
      <c r="F101" s="150"/>
      <c r="G101" s="154"/>
      <c r="H101" s="109"/>
      <c r="I101" s="104"/>
      <c r="J101" s="105"/>
      <c r="K101" s="106"/>
      <c r="L101" s="107"/>
      <c r="M101" s="107"/>
      <c r="N101" s="108"/>
      <c r="O101" s="150"/>
      <c r="P101" s="154"/>
      <c r="Q101" s="104"/>
      <c r="R101" s="105"/>
      <c r="S101" s="106"/>
      <c r="T101" s="107"/>
      <c r="U101" s="107"/>
      <c r="V101" s="108"/>
      <c r="W101" s="150"/>
      <c r="X101" s="150"/>
      <c r="Y101" s="104"/>
      <c r="Z101" s="157"/>
      <c r="AA101" s="106"/>
      <c r="AB101" s="107" t="s">
        <v>204</v>
      </c>
      <c r="AC101" s="107" t="s">
        <v>388</v>
      </c>
      <c r="AD101" s="108" t="s">
        <v>382</v>
      </c>
      <c r="AE101" s="109" t="s">
        <v>100</v>
      </c>
      <c r="AF101" s="181">
        <v>0.38</v>
      </c>
      <c r="AG101" s="183">
        <v>4.08</v>
      </c>
      <c r="AH101" s="160">
        <v>53003.16</v>
      </c>
      <c r="AI101" s="161">
        <v>2.6366247351842876E-6</v>
      </c>
      <c r="AJ101" s="107"/>
      <c r="AK101" s="107"/>
      <c r="AL101" s="108"/>
      <c r="AM101" s="109"/>
      <c r="AN101" s="109"/>
      <c r="AO101" s="104"/>
      <c r="AP101" s="105"/>
      <c r="AQ101" s="106"/>
      <c r="AR101" s="107"/>
      <c r="AS101" s="107"/>
      <c r="AT101" s="108"/>
      <c r="AU101" s="107"/>
      <c r="AV101" s="107"/>
      <c r="AW101" s="104"/>
      <c r="AX101" s="105"/>
      <c r="AY101" s="106"/>
      <c r="AZ101" s="107"/>
      <c r="BA101" s="107"/>
      <c r="BB101" s="108"/>
      <c r="BC101" s="109"/>
      <c r="BD101" s="109"/>
      <c r="BE101" s="104"/>
      <c r="BF101" s="105"/>
      <c r="BG101" s="106"/>
      <c r="BH101" s="107"/>
      <c r="BI101" s="107"/>
      <c r="BJ101" s="108"/>
      <c r="BK101" s="109"/>
      <c r="BL101" s="109"/>
      <c r="BM101" s="104"/>
      <c r="BN101" s="105"/>
      <c r="BO101" s="106"/>
      <c r="BP101" s="107"/>
      <c r="BQ101" s="107"/>
      <c r="BR101" s="108"/>
      <c r="BS101" s="109"/>
      <c r="BT101" s="109"/>
      <c r="BU101" s="104"/>
      <c r="BV101" s="105"/>
      <c r="BW101" s="106"/>
      <c r="BX101" s="107"/>
      <c r="BY101" s="107"/>
      <c r="BZ101" s="108"/>
      <c r="CA101" s="109"/>
    </row>
    <row r="102" spans="1:79" x14ac:dyDescent="0.2">
      <c r="A102" s="104"/>
      <c r="B102" s="105"/>
      <c r="C102" s="106"/>
      <c r="D102" s="107"/>
      <c r="E102" s="107"/>
      <c r="F102" s="150"/>
      <c r="G102" s="154"/>
      <c r="H102" s="109"/>
      <c r="I102" s="104"/>
      <c r="J102" s="105"/>
      <c r="K102" s="106"/>
      <c r="L102" s="107"/>
      <c r="M102" s="107"/>
      <c r="N102" s="108"/>
      <c r="O102" s="150"/>
      <c r="P102" s="154"/>
      <c r="Q102" s="104"/>
      <c r="R102" s="105"/>
      <c r="S102" s="106"/>
      <c r="T102" s="107"/>
      <c r="U102" s="107"/>
      <c r="V102" s="108"/>
      <c r="W102" s="150"/>
      <c r="X102" s="150"/>
      <c r="Y102" s="104"/>
      <c r="Z102" s="157"/>
      <c r="AA102" s="106"/>
      <c r="AB102" s="107" t="s">
        <v>247</v>
      </c>
      <c r="AC102" s="107" t="s">
        <v>388</v>
      </c>
      <c r="AD102" s="108" t="s">
        <v>156</v>
      </c>
      <c r="AE102" s="109" t="s">
        <v>100</v>
      </c>
      <c r="AF102" s="181">
        <v>0.02</v>
      </c>
      <c r="AG102" s="183">
        <v>3.84</v>
      </c>
      <c r="AH102" s="160">
        <v>57855.56</v>
      </c>
      <c r="AI102" s="161">
        <v>2.8780058739984018E-6</v>
      </c>
      <c r="AJ102" s="107"/>
      <c r="AK102" s="107"/>
      <c r="AL102" s="108"/>
      <c r="AM102" s="109"/>
      <c r="AN102" s="109"/>
      <c r="AO102" s="104"/>
      <c r="AP102" s="105"/>
      <c r="AQ102" s="106"/>
      <c r="AR102" s="107"/>
      <c r="AS102" s="107"/>
      <c r="AT102" s="108"/>
      <c r="AU102" s="107"/>
      <c r="AV102" s="107"/>
      <c r="AW102" s="104"/>
      <c r="AX102" s="105"/>
      <c r="AY102" s="106"/>
      <c r="AZ102" s="107"/>
      <c r="BA102" s="107"/>
      <c r="BB102" s="108"/>
      <c r="BC102" s="109"/>
      <c r="BD102" s="109"/>
      <c r="BE102" s="104"/>
      <c r="BF102" s="105"/>
      <c r="BG102" s="106"/>
      <c r="BH102" s="107"/>
      <c r="BI102" s="107"/>
      <c r="BJ102" s="108"/>
      <c r="BK102" s="109"/>
      <c r="BL102" s="109"/>
      <c r="BM102" s="104"/>
      <c r="BN102" s="105"/>
      <c r="BO102" s="106"/>
      <c r="BP102" s="107"/>
      <c r="BQ102" s="107"/>
      <c r="BR102" s="108"/>
      <c r="BS102" s="109"/>
      <c r="BT102" s="109"/>
      <c r="BU102" s="104"/>
      <c r="BV102" s="105"/>
      <c r="BW102" s="106"/>
      <c r="BX102" s="107"/>
      <c r="BY102" s="107"/>
      <c r="BZ102" s="108"/>
      <c r="CA102" s="109"/>
    </row>
    <row r="103" spans="1:79" x14ac:dyDescent="0.2">
      <c r="A103" s="104"/>
      <c r="B103" s="105"/>
      <c r="C103" s="106"/>
      <c r="D103" s="107"/>
      <c r="E103" s="107"/>
      <c r="F103" s="150"/>
      <c r="G103" s="154"/>
      <c r="H103" s="109"/>
      <c r="I103" s="104"/>
      <c r="J103" s="105"/>
      <c r="K103" s="106"/>
      <c r="L103" s="107"/>
      <c r="M103" s="107"/>
      <c r="N103" s="108"/>
      <c r="O103" s="150"/>
      <c r="P103" s="154"/>
      <c r="Q103" s="104"/>
      <c r="R103" s="105"/>
      <c r="S103" s="106"/>
      <c r="T103" s="107"/>
      <c r="U103" s="107"/>
      <c r="V103" s="108"/>
      <c r="W103" s="150"/>
      <c r="X103" s="150"/>
      <c r="Y103" s="104"/>
      <c r="Z103" s="157"/>
      <c r="AA103" s="106"/>
      <c r="AB103" s="107" t="s">
        <v>247</v>
      </c>
      <c r="AC103" s="107" t="s">
        <v>388</v>
      </c>
      <c r="AD103" s="108" t="s">
        <v>156</v>
      </c>
      <c r="AE103" s="109" t="s">
        <v>100</v>
      </c>
      <c r="AF103" s="181">
        <v>0.11</v>
      </c>
      <c r="AG103" s="183">
        <v>4.0199999999999996</v>
      </c>
      <c r="AH103" s="160">
        <v>192155.1</v>
      </c>
      <c r="AI103" s="161">
        <v>9.558693059232973E-6</v>
      </c>
      <c r="AJ103" s="107"/>
      <c r="AK103" s="107"/>
      <c r="AL103" s="108"/>
      <c r="AM103" s="109"/>
      <c r="AN103" s="109"/>
      <c r="AO103" s="104"/>
      <c r="AP103" s="105"/>
      <c r="AQ103" s="106"/>
      <c r="AR103" s="107"/>
      <c r="AS103" s="107"/>
      <c r="AT103" s="108"/>
      <c r="AU103" s="107"/>
      <c r="AV103" s="107"/>
      <c r="AW103" s="104"/>
      <c r="AX103" s="105"/>
      <c r="AY103" s="106"/>
      <c r="AZ103" s="107"/>
      <c r="BA103" s="107"/>
      <c r="BB103" s="108"/>
      <c r="BC103" s="109"/>
      <c r="BD103" s="109"/>
      <c r="BE103" s="104"/>
      <c r="BF103" s="105"/>
      <c r="BG103" s="106"/>
      <c r="BH103" s="107"/>
      <c r="BI103" s="107"/>
      <c r="BJ103" s="108"/>
      <c r="BK103" s="109"/>
      <c r="BL103" s="109"/>
      <c r="BM103" s="104"/>
      <c r="BN103" s="105"/>
      <c r="BO103" s="106"/>
      <c r="BP103" s="107"/>
      <c r="BQ103" s="107"/>
      <c r="BR103" s="108"/>
      <c r="BS103" s="109"/>
      <c r="BT103" s="109"/>
      <c r="BU103" s="104"/>
      <c r="BV103" s="105"/>
      <c r="BW103" s="106"/>
      <c r="BX103" s="107"/>
      <c r="BY103" s="107"/>
      <c r="BZ103" s="108"/>
      <c r="CA103" s="109"/>
    </row>
    <row r="104" spans="1:79" x14ac:dyDescent="0.2">
      <c r="A104" s="104"/>
      <c r="B104" s="105"/>
      <c r="C104" s="106"/>
      <c r="D104" s="107"/>
      <c r="E104" s="107"/>
      <c r="F104" s="150"/>
      <c r="G104" s="154"/>
      <c r="H104" s="109"/>
      <c r="I104" s="104"/>
      <c r="J104" s="105"/>
      <c r="K104" s="106"/>
      <c r="L104" s="107"/>
      <c r="M104" s="107"/>
      <c r="N104" s="108"/>
      <c r="O104" s="150"/>
      <c r="P104" s="154"/>
      <c r="Q104" s="104"/>
      <c r="R104" s="105"/>
      <c r="S104" s="106"/>
      <c r="T104" s="107"/>
      <c r="U104" s="107"/>
      <c r="V104" s="108"/>
      <c r="W104" s="150"/>
      <c r="X104" s="150"/>
      <c r="Y104" s="104"/>
      <c r="Z104" s="157"/>
      <c r="AA104" s="106"/>
      <c r="AB104" s="107" t="s">
        <v>247</v>
      </c>
      <c r="AC104" s="107" t="s">
        <v>388</v>
      </c>
      <c r="AD104" s="108" t="s">
        <v>156</v>
      </c>
      <c r="AE104" s="109" t="s">
        <v>100</v>
      </c>
      <c r="AF104" s="181">
        <v>0.21</v>
      </c>
      <c r="AG104" s="183">
        <v>4.08</v>
      </c>
      <c r="AH104" s="160">
        <v>19129.66</v>
      </c>
      <c r="AI104" s="161">
        <v>9.5159871764631423E-7</v>
      </c>
      <c r="AJ104" s="107"/>
      <c r="AK104" s="107"/>
      <c r="AL104" s="108"/>
      <c r="AM104" s="109"/>
      <c r="AN104" s="109"/>
      <c r="AO104" s="104"/>
      <c r="AP104" s="105"/>
      <c r="AQ104" s="106"/>
      <c r="AR104" s="107"/>
      <c r="AS104" s="107"/>
      <c r="AT104" s="108"/>
      <c r="AU104" s="107"/>
      <c r="AV104" s="107"/>
      <c r="AW104" s="104"/>
      <c r="AX104" s="105"/>
      <c r="AY104" s="106"/>
      <c r="AZ104" s="107"/>
      <c r="BA104" s="107"/>
      <c r="BB104" s="108"/>
      <c r="BC104" s="109"/>
      <c r="BD104" s="109"/>
      <c r="BE104" s="104"/>
      <c r="BF104" s="105"/>
      <c r="BG104" s="106"/>
      <c r="BH104" s="107"/>
      <c r="BI104" s="107"/>
      <c r="BJ104" s="108"/>
      <c r="BK104" s="109"/>
      <c r="BL104" s="109"/>
      <c r="BM104" s="104"/>
      <c r="BN104" s="105"/>
      <c r="BO104" s="106"/>
      <c r="BP104" s="107"/>
      <c r="BQ104" s="107"/>
      <c r="BR104" s="108"/>
      <c r="BS104" s="109"/>
      <c r="BT104" s="109"/>
      <c r="BU104" s="104"/>
      <c r="BV104" s="105"/>
      <c r="BW104" s="106"/>
      <c r="BX104" s="107"/>
      <c r="BY104" s="107"/>
      <c r="BZ104" s="108"/>
      <c r="CA104" s="109"/>
    </row>
    <row r="105" spans="1:79" x14ac:dyDescent="0.2">
      <c r="A105" s="104"/>
      <c r="B105" s="105"/>
      <c r="C105" s="106"/>
      <c r="D105" s="107"/>
      <c r="E105" s="107"/>
      <c r="F105" s="150"/>
      <c r="G105" s="154"/>
      <c r="H105" s="109"/>
      <c r="I105" s="104"/>
      <c r="J105" s="105"/>
      <c r="K105" s="106"/>
      <c r="L105" s="107"/>
      <c r="M105" s="107"/>
      <c r="N105" s="108"/>
      <c r="O105" s="150"/>
      <c r="P105" s="154"/>
      <c r="Q105" s="104"/>
      <c r="R105" s="105"/>
      <c r="S105" s="106"/>
      <c r="T105" s="107"/>
      <c r="U105" s="107"/>
      <c r="V105" s="108"/>
      <c r="W105" s="150"/>
      <c r="X105" s="150"/>
      <c r="Y105" s="104"/>
      <c r="Z105" s="157"/>
      <c r="AA105" s="106"/>
      <c r="AB105" s="107" t="s">
        <v>254</v>
      </c>
      <c r="AC105" s="107" t="s">
        <v>388</v>
      </c>
      <c r="AD105" s="108" t="s">
        <v>382</v>
      </c>
      <c r="AE105" s="109" t="s">
        <v>100</v>
      </c>
      <c r="AF105" s="181">
        <v>0.02</v>
      </c>
      <c r="AG105" s="183">
        <v>3.96</v>
      </c>
      <c r="AH105" s="160">
        <v>115729.78</v>
      </c>
      <c r="AI105" s="161">
        <v>5.7569401378340751E-6</v>
      </c>
      <c r="AJ105" s="107"/>
      <c r="AK105" s="107"/>
      <c r="AL105" s="108"/>
      <c r="AM105" s="109"/>
      <c r="AN105" s="109"/>
      <c r="AO105" s="104"/>
      <c r="AP105" s="105"/>
      <c r="AQ105" s="106"/>
      <c r="AR105" s="107"/>
      <c r="AS105" s="107"/>
      <c r="AT105" s="108"/>
      <c r="AU105" s="107"/>
      <c r="AV105" s="107"/>
      <c r="AW105" s="104"/>
      <c r="AX105" s="105"/>
      <c r="AY105" s="106"/>
      <c r="AZ105" s="107"/>
      <c r="BA105" s="107"/>
      <c r="BB105" s="108"/>
      <c r="BC105" s="109"/>
      <c r="BD105" s="109"/>
      <c r="BE105" s="104"/>
      <c r="BF105" s="105"/>
      <c r="BG105" s="106"/>
      <c r="BH105" s="107"/>
      <c r="BI105" s="107"/>
      <c r="BJ105" s="108"/>
      <c r="BK105" s="109"/>
      <c r="BL105" s="109"/>
      <c r="BM105" s="104"/>
      <c r="BN105" s="105"/>
      <c r="BO105" s="106"/>
      <c r="BP105" s="107"/>
      <c r="BQ105" s="107"/>
      <c r="BR105" s="108"/>
      <c r="BS105" s="109"/>
      <c r="BT105" s="109"/>
      <c r="BU105" s="104"/>
      <c r="BV105" s="105"/>
      <c r="BW105" s="106"/>
      <c r="BX105" s="107"/>
      <c r="BY105" s="107"/>
      <c r="BZ105" s="108"/>
      <c r="CA105" s="109"/>
    </row>
    <row r="106" spans="1:79" x14ac:dyDescent="0.2">
      <c r="A106" s="104"/>
      <c r="B106" s="105"/>
      <c r="C106" s="106"/>
      <c r="D106" s="107"/>
      <c r="E106" s="107"/>
      <c r="F106" s="150"/>
      <c r="G106" s="154"/>
      <c r="H106" s="109"/>
      <c r="I106" s="104"/>
      <c r="J106" s="105"/>
      <c r="K106" s="106"/>
      <c r="L106" s="107"/>
      <c r="M106" s="107"/>
      <c r="N106" s="108"/>
      <c r="O106" s="150"/>
      <c r="P106" s="154"/>
      <c r="Q106" s="104"/>
      <c r="R106" s="105"/>
      <c r="S106" s="106"/>
      <c r="T106" s="107"/>
      <c r="U106" s="107"/>
      <c r="V106" s="108"/>
      <c r="W106" s="150"/>
      <c r="X106" s="150"/>
      <c r="Y106" s="104"/>
      <c r="Z106" s="157"/>
      <c r="AA106" s="106"/>
      <c r="AB106" s="107" t="s">
        <v>254</v>
      </c>
      <c r="AC106" s="107" t="s">
        <v>388</v>
      </c>
      <c r="AD106" s="108" t="s">
        <v>382</v>
      </c>
      <c r="AE106" s="109" t="s">
        <v>100</v>
      </c>
      <c r="AF106" s="181">
        <v>0.03</v>
      </c>
      <c r="AG106" s="183">
        <v>3.84</v>
      </c>
      <c r="AH106" s="160">
        <v>154231.72</v>
      </c>
      <c r="AI106" s="161">
        <v>7.6722066260878357E-6</v>
      </c>
      <c r="AJ106" s="107"/>
      <c r="AK106" s="107"/>
      <c r="AL106" s="108"/>
      <c r="AM106" s="109"/>
      <c r="AN106" s="109"/>
      <c r="AO106" s="104"/>
      <c r="AP106" s="105"/>
      <c r="AQ106" s="106"/>
      <c r="AR106" s="107"/>
      <c r="AS106" s="107"/>
      <c r="AT106" s="108"/>
      <c r="AU106" s="107"/>
      <c r="AV106" s="107"/>
      <c r="AW106" s="104"/>
      <c r="AX106" s="105"/>
      <c r="AY106" s="106"/>
      <c r="AZ106" s="107"/>
      <c r="BA106" s="107"/>
      <c r="BB106" s="108"/>
      <c r="BC106" s="109"/>
      <c r="BD106" s="109"/>
      <c r="BE106" s="104"/>
      <c r="BF106" s="105"/>
      <c r="BG106" s="106"/>
      <c r="BH106" s="107"/>
      <c r="BI106" s="107"/>
      <c r="BJ106" s="108"/>
      <c r="BK106" s="109"/>
      <c r="BL106" s="109"/>
      <c r="BM106" s="104"/>
      <c r="BN106" s="105"/>
      <c r="BO106" s="106"/>
      <c r="BP106" s="107"/>
      <c r="BQ106" s="107"/>
      <c r="BR106" s="108"/>
      <c r="BS106" s="109"/>
      <c r="BT106" s="109"/>
      <c r="BU106" s="104"/>
      <c r="BV106" s="105"/>
      <c r="BW106" s="106"/>
      <c r="BX106" s="107"/>
      <c r="BY106" s="107"/>
      <c r="BZ106" s="108"/>
      <c r="CA106" s="109"/>
    </row>
    <row r="107" spans="1:79" x14ac:dyDescent="0.2">
      <c r="A107" s="104"/>
      <c r="B107" s="105"/>
      <c r="C107" s="106"/>
      <c r="D107" s="107"/>
      <c r="E107" s="107"/>
      <c r="F107" s="150"/>
      <c r="G107" s="154"/>
      <c r="H107" s="109"/>
      <c r="I107" s="104"/>
      <c r="J107" s="105"/>
      <c r="K107" s="106"/>
      <c r="L107" s="107"/>
      <c r="M107" s="107"/>
      <c r="N107" s="108"/>
      <c r="O107" s="150"/>
      <c r="P107" s="154"/>
      <c r="Q107" s="104"/>
      <c r="R107" s="105"/>
      <c r="S107" s="106"/>
      <c r="T107" s="107"/>
      <c r="U107" s="107"/>
      <c r="V107" s="108"/>
      <c r="W107" s="150"/>
      <c r="X107" s="150"/>
      <c r="Y107" s="104"/>
      <c r="Z107" s="157"/>
      <c r="AA107" s="106"/>
      <c r="AB107" s="107" t="s">
        <v>254</v>
      </c>
      <c r="AC107" s="107" t="s">
        <v>388</v>
      </c>
      <c r="AD107" s="108" t="s">
        <v>382</v>
      </c>
      <c r="AE107" s="109" t="s">
        <v>100</v>
      </c>
      <c r="AF107" s="181">
        <v>0.03</v>
      </c>
      <c r="AG107" s="183">
        <v>3.96</v>
      </c>
      <c r="AH107" s="160">
        <v>154213.04999999999</v>
      </c>
      <c r="AI107" s="161">
        <v>7.6712782362505642E-6</v>
      </c>
      <c r="AJ107" s="107"/>
      <c r="AK107" s="107"/>
      <c r="AL107" s="108"/>
      <c r="AM107" s="109"/>
      <c r="AN107" s="109"/>
      <c r="AO107" s="104"/>
      <c r="AP107" s="105"/>
      <c r="AQ107" s="106"/>
      <c r="AR107" s="107"/>
      <c r="AS107" s="107"/>
      <c r="AT107" s="108"/>
      <c r="AU107" s="107"/>
      <c r="AV107" s="107"/>
      <c r="AW107" s="104"/>
      <c r="AX107" s="105"/>
      <c r="AY107" s="106"/>
      <c r="AZ107" s="107"/>
      <c r="BA107" s="107"/>
      <c r="BB107" s="108"/>
      <c r="BC107" s="109"/>
      <c r="BD107" s="109"/>
      <c r="BE107" s="104"/>
      <c r="BF107" s="105"/>
      <c r="BG107" s="106"/>
      <c r="BH107" s="107"/>
      <c r="BI107" s="107"/>
      <c r="BJ107" s="108"/>
      <c r="BK107" s="109"/>
      <c r="BL107" s="109"/>
      <c r="BM107" s="104"/>
      <c r="BN107" s="105"/>
      <c r="BO107" s="106"/>
      <c r="BP107" s="107"/>
      <c r="BQ107" s="107"/>
      <c r="BR107" s="108"/>
      <c r="BS107" s="109"/>
      <c r="BT107" s="109"/>
      <c r="BU107" s="104"/>
      <c r="BV107" s="105"/>
      <c r="BW107" s="106"/>
      <c r="BX107" s="107"/>
      <c r="BY107" s="107"/>
      <c r="BZ107" s="108"/>
      <c r="CA107" s="109"/>
    </row>
    <row r="108" spans="1:79" x14ac:dyDescent="0.2">
      <c r="A108" s="104"/>
      <c r="B108" s="105"/>
      <c r="C108" s="106"/>
      <c r="D108" s="107"/>
      <c r="E108" s="107"/>
      <c r="F108" s="150"/>
      <c r="G108" s="154"/>
      <c r="H108" s="109"/>
      <c r="I108" s="104"/>
      <c r="J108" s="105"/>
      <c r="K108" s="106"/>
      <c r="L108" s="107"/>
      <c r="M108" s="107"/>
      <c r="N108" s="108"/>
      <c r="O108" s="150"/>
      <c r="P108" s="154"/>
      <c r="Q108" s="104"/>
      <c r="R108" s="105"/>
      <c r="S108" s="106"/>
      <c r="T108" s="107"/>
      <c r="U108" s="107"/>
      <c r="V108" s="108"/>
      <c r="W108" s="150"/>
      <c r="X108" s="150"/>
      <c r="Y108" s="104"/>
      <c r="Z108" s="157"/>
      <c r="AA108" s="106"/>
      <c r="AB108" s="107" t="s">
        <v>254</v>
      </c>
      <c r="AC108" s="107" t="s">
        <v>388</v>
      </c>
      <c r="AD108" s="108" t="s">
        <v>382</v>
      </c>
      <c r="AE108" s="109" t="s">
        <v>100</v>
      </c>
      <c r="AF108" s="181">
        <v>0.04</v>
      </c>
      <c r="AG108" s="183">
        <v>3.96</v>
      </c>
      <c r="AH108" s="160">
        <v>192659.01</v>
      </c>
      <c r="AI108" s="161">
        <v>9.5837595599669753E-6</v>
      </c>
      <c r="AJ108" s="107"/>
      <c r="AK108" s="107"/>
      <c r="AL108" s="108"/>
      <c r="AM108" s="109"/>
      <c r="AN108" s="109"/>
      <c r="AO108" s="104"/>
      <c r="AP108" s="105"/>
      <c r="AQ108" s="106"/>
      <c r="AR108" s="107"/>
      <c r="AS108" s="107"/>
      <c r="AT108" s="108"/>
      <c r="AU108" s="107"/>
      <c r="AV108" s="107"/>
      <c r="AW108" s="104"/>
      <c r="AX108" s="105"/>
      <c r="AY108" s="106"/>
      <c r="AZ108" s="107"/>
      <c r="BA108" s="107"/>
      <c r="BB108" s="108"/>
      <c r="BC108" s="109"/>
      <c r="BD108" s="109"/>
      <c r="BE108" s="104"/>
      <c r="BF108" s="105"/>
      <c r="BG108" s="106"/>
      <c r="BH108" s="107"/>
      <c r="BI108" s="107"/>
      <c r="BJ108" s="108"/>
      <c r="BK108" s="109"/>
      <c r="BL108" s="109"/>
      <c r="BM108" s="104"/>
      <c r="BN108" s="105"/>
      <c r="BO108" s="106"/>
      <c r="BP108" s="107"/>
      <c r="BQ108" s="107"/>
      <c r="BR108" s="108"/>
      <c r="BS108" s="109"/>
      <c r="BT108" s="109"/>
      <c r="BU108" s="104"/>
      <c r="BV108" s="105"/>
      <c r="BW108" s="106"/>
      <c r="BX108" s="107"/>
      <c r="BY108" s="107"/>
      <c r="BZ108" s="108"/>
      <c r="CA108" s="109"/>
    </row>
    <row r="109" spans="1:79" x14ac:dyDescent="0.2">
      <c r="A109" s="104"/>
      <c r="B109" s="105"/>
      <c r="C109" s="106"/>
      <c r="D109" s="107"/>
      <c r="E109" s="107"/>
      <c r="F109" s="150"/>
      <c r="G109" s="154"/>
      <c r="H109" s="109"/>
      <c r="I109" s="104"/>
      <c r="J109" s="105"/>
      <c r="K109" s="106"/>
      <c r="L109" s="107"/>
      <c r="M109" s="107"/>
      <c r="N109" s="108"/>
      <c r="O109" s="150"/>
      <c r="P109" s="154"/>
      <c r="Q109" s="104"/>
      <c r="R109" s="105"/>
      <c r="S109" s="106"/>
      <c r="T109" s="107"/>
      <c r="U109" s="107"/>
      <c r="V109" s="108"/>
      <c r="W109" s="150"/>
      <c r="X109" s="150"/>
      <c r="Y109" s="104"/>
      <c r="Z109" s="157"/>
      <c r="AA109" s="106"/>
      <c r="AB109" s="107" t="s">
        <v>254</v>
      </c>
      <c r="AC109" s="107" t="s">
        <v>388</v>
      </c>
      <c r="AD109" s="108" t="s">
        <v>382</v>
      </c>
      <c r="AE109" s="109" t="s">
        <v>100</v>
      </c>
      <c r="AF109" s="181">
        <v>0.05</v>
      </c>
      <c r="AG109" s="183">
        <v>3.84</v>
      </c>
      <c r="AH109" s="160">
        <v>77041.210000000006</v>
      </c>
      <c r="AI109" s="161">
        <v>3.8323897561820643E-6</v>
      </c>
      <c r="AJ109" s="107"/>
      <c r="AK109" s="107"/>
      <c r="AL109" s="108"/>
      <c r="AM109" s="109"/>
      <c r="AN109" s="109"/>
      <c r="AO109" s="104"/>
      <c r="AP109" s="105"/>
      <c r="AQ109" s="106"/>
      <c r="AR109" s="107"/>
      <c r="AS109" s="107"/>
      <c r="AT109" s="108"/>
      <c r="AU109" s="107"/>
      <c r="AV109" s="107"/>
      <c r="AW109" s="104"/>
      <c r="AX109" s="105"/>
      <c r="AY109" s="106"/>
      <c r="AZ109" s="107"/>
      <c r="BA109" s="107"/>
      <c r="BB109" s="108"/>
      <c r="BC109" s="109"/>
      <c r="BD109" s="109"/>
      <c r="BE109" s="104"/>
      <c r="BF109" s="105"/>
      <c r="BG109" s="106"/>
      <c r="BH109" s="107"/>
      <c r="BI109" s="107"/>
      <c r="BJ109" s="108"/>
      <c r="BK109" s="109"/>
      <c r="BL109" s="109"/>
      <c r="BM109" s="104"/>
      <c r="BN109" s="105"/>
      <c r="BO109" s="106"/>
      <c r="BP109" s="107"/>
      <c r="BQ109" s="107"/>
      <c r="BR109" s="108"/>
      <c r="BS109" s="109"/>
      <c r="BT109" s="109"/>
      <c r="BU109" s="104"/>
      <c r="BV109" s="105"/>
      <c r="BW109" s="106"/>
      <c r="BX109" s="107"/>
      <c r="BY109" s="107"/>
      <c r="BZ109" s="108"/>
      <c r="CA109" s="109"/>
    </row>
    <row r="110" spans="1:79" x14ac:dyDescent="0.2">
      <c r="A110" s="104"/>
      <c r="B110" s="105"/>
      <c r="C110" s="106"/>
      <c r="D110" s="107"/>
      <c r="E110" s="107"/>
      <c r="F110" s="150"/>
      <c r="G110" s="154"/>
      <c r="H110" s="109"/>
      <c r="I110" s="104"/>
      <c r="J110" s="105"/>
      <c r="K110" s="106"/>
      <c r="L110" s="107"/>
      <c r="M110" s="107"/>
      <c r="N110" s="108"/>
      <c r="O110" s="150"/>
      <c r="P110" s="154"/>
      <c r="Q110" s="104"/>
      <c r="R110" s="105"/>
      <c r="S110" s="106"/>
      <c r="T110" s="107"/>
      <c r="U110" s="107"/>
      <c r="V110" s="108"/>
      <c r="W110" s="150"/>
      <c r="X110" s="150"/>
      <c r="Y110" s="104"/>
      <c r="Z110" s="157"/>
      <c r="AA110" s="106"/>
      <c r="AB110" s="107" t="s">
        <v>254</v>
      </c>
      <c r="AC110" s="107" t="s">
        <v>388</v>
      </c>
      <c r="AD110" s="108" t="s">
        <v>382</v>
      </c>
      <c r="AE110" s="109" t="s">
        <v>100</v>
      </c>
      <c r="AF110" s="181">
        <v>7.0000000000000007E-2</v>
      </c>
      <c r="AG110" s="183">
        <v>3.84</v>
      </c>
      <c r="AH110" s="160">
        <v>119313.09</v>
      </c>
      <c r="AI110" s="161">
        <v>5.9351908224328452E-6</v>
      </c>
      <c r="AJ110" s="107"/>
      <c r="AK110" s="107"/>
      <c r="AL110" s="108"/>
      <c r="AM110" s="109"/>
      <c r="AN110" s="109"/>
      <c r="AO110" s="104"/>
      <c r="AP110" s="105"/>
      <c r="AQ110" s="106"/>
      <c r="AR110" s="107"/>
      <c r="AS110" s="107"/>
      <c r="AT110" s="108"/>
      <c r="AU110" s="107"/>
      <c r="AV110" s="107"/>
      <c r="AW110" s="104"/>
      <c r="AX110" s="105"/>
      <c r="AY110" s="106"/>
      <c r="AZ110" s="107"/>
      <c r="BA110" s="107"/>
      <c r="BB110" s="108"/>
      <c r="BC110" s="109"/>
      <c r="BD110" s="109"/>
      <c r="BE110" s="104"/>
      <c r="BF110" s="105"/>
      <c r="BG110" s="106"/>
      <c r="BH110" s="107"/>
      <c r="BI110" s="107"/>
      <c r="BJ110" s="108"/>
      <c r="BK110" s="109"/>
      <c r="BL110" s="109"/>
      <c r="BM110" s="104"/>
      <c r="BN110" s="105"/>
      <c r="BO110" s="106"/>
      <c r="BP110" s="107"/>
      <c r="BQ110" s="107"/>
      <c r="BR110" s="108"/>
      <c r="BS110" s="109"/>
      <c r="BT110" s="109"/>
      <c r="BU110" s="104"/>
      <c r="BV110" s="105"/>
      <c r="BW110" s="106"/>
      <c r="BX110" s="107"/>
      <c r="BY110" s="107"/>
      <c r="BZ110" s="108"/>
      <c r="CA110" s="109"/>
    </row>
    <row r="111" spans="1:79" x14ac:dyDescent="0.2">
      <c r="A111" s="104"/>
      <c r="B111" s="105"/>
      <c r="C111" s="106"/>
      <c r="D111" s="107"/>
      <c r="E111" s="107"/>
      <c r="F111" s="150"/>
      <c r="G111" s="154"/>
      <c r="H111" s="109"/>
      <c r="I111" s="104"/>
      <c r="J111" s="105"/>
      <c r="K111" s="106"/>
      <c r="L111" s="107"/>
      <c r="M111" s="107"/>
      <c r="N111" s="108"/>
      <c r="O111" s="150"/>
      <c r="P111" s="154"/>
      <c r="Q111" s="104"/>
      <c r="R111" s="105"/>
      <c r="S111" s="106"/>
      <c r="T111" s="107"/>
      <c r="U111" s="107"/>
      <c r="V111" s="108"/>
      <c r="W111" s="150"/>
      <c r="X111" s="150"/>
      <c r="Y111" s="104"/>
      <c r="Z111" s="157"/>
      <c r="AA111" s="106"/>
      <c r="AB111" s="107" t="s">
        <v>254</v>
      </c>
      <c r="AC111" s="107" t="s">
        <v>388</v>
      </c>
      <c r="AD111" s="108" t="s">
        <v>382</v>
      </c>
      <c r="AE111" s="109" t="s">
        <v>100</v>
      </c>
      <c r="AF111" s="181">
        <v>0.1</v>
      </c>
      <c r="AG111" s="183">
        <v>3.96</v>
      </c>
      <c r="AH111" s="160">
        <v>46135.14</v>
      </c>
      <c r="AI111" s="161">
        <v>2.2949775884596946E-6</v>
      </c>
      <c r="AJ111" s="107"/>
      <c r="AK111" s="107"/>
      <c r="AL111" s="108"/>
      <c r="AM111" s="109"/>
      <c r="AN111" s="109"/>
      <c r="AO111" s="104"/>
      <c r="AP111" s="105"/>
      <c r="AQ111" s="106"/>
      <c r="AR111" s="107"/>
      <c r="AS111" s="107"/>
      <c r="AT111" s="108"/>
      <c r="AU111" s="107"/>
      <c r="AV111" s="107"/>
      <c r="AW111" s="104"/>
      <c r="AX111" s="105"/>
      <c r="AY111" s="106"/>
      <c r="AZ111" s="107"/>
      <c r="BA111" s="107"/>
      <c r="BB111" s="108"/>
      <c r="BC111" s="109"/>
      <c r="BD111" s="109"/>
      <c r="BE111" s="104"/>
      <c r="BF111" s="105"/>
      <c r="BG111" s="106"/>
      <c r="BH111" s="107"/>
      <c r="BI111" s="107"/>
      <c r="BJ111" s="108"/>
      <c r="BK111" s="109"/>
      <c r="BL111" s="109"/>
      <c r="BM111" s="104"/>
      <c r="BN111" s="105"/>
      <c r="BO111" s="106"/>
      <c r="BP111" s="107"/>
      <c r="BQ111" s="107"/>
      <c r="BR111" s="108"/>
      <c r="BS111" s="109"/>
      <c r="BT111" s="109"/>
      <c r="BU111" s="104"/>
      <c r="BV111" s="105"/>
      <c r="BW111" s="106"/>
      <c r="BX111" s="107"/>
      <c r="BY111" s="107"/>
      <c r="BZ111" s="108"/>
      <c r="CA111" s="109"/>
    </row>
    <row r="112" spans="1:79" x14ac:dyDescent="0.2">
      <c r="A112" s="104"/>
      <c r="B112" s="105"/>
      <c r="C112" s="106"/>
      <c r="D112" s="107"/>
      <c r="E112" s="107"/>
      <c r="F112" s="150"/>
      <c r="G112" s="154"/>
      <c r="H112" s="109"/>
      <c r="I112" s="104"/>
      <c r="J112" s="105"/>
      <c r="K112" s="106"/>
      <c r="L112" s="107"/>
      <c r="M112" s="107"/>
      <c r="N112" s="108"/>
      <c r="O112" s="150"/>
      <c r="P112" s="154"/>
      <c r="Q112" s="104"/>
      <c r="R112" s="105"/>
      <c r="S112" s="106"/>
      <c r="T112" s="107"/>
      <c r="U112" s="107"/>
      <c r="V112" s="108"/>
      <c r="W112" s="150"/>
      <c r="X112" s="150"/>
      <c r="Y112" s="104"/>
      <c r="Z112" s="157"/>
      <c r="AA112" s="106"/>
      <c r="AB112" s="107" t="s">
        <v>254</v>
      </c>
      <c r="AC112" s="107" t="s">
        <v>388</v>
      </c>
      <c r="AD112" s="108" t="s">
        <v>382</v>
      </c>
      <c r="AE112" s="109" t="s">
        <v>100</v>
      </c>
      <c r="AF112" s="181">
        <v>0.14000000000000001</v>
      </c>
      <c r="AG112" s="183">
        <v>3.96</v>
      </c>
      <c r="AH112" s="160">
        <v>4143.2</v>
      </c>
      <c r="AI112" s="161">
        <v>2.0610235484458853E-7</v>
      </c>
      <c r="AJ112" s="107"/>
      <c r="AK112" s="107"/>
      <c r="AL112" s="108"/>
      <c r="AM112" s="109"/>
      <c r="AN112" s="109"/>
      <c r="AO112" s="104"/>
      <c r="AP112" s="105"/>
      <c r="AQ112" s="106"/>
      <c r="AR112" s="107"/>
      <c r="AS112" s="107"/>
      <c r="AT112" s="108"/>
      <c r="AU112" s="107"/>
      <c r="AV112" s="107"/>
      <c r="AW112" s="104"/>
      <c r="AX112" s="105"/>
      <c r="AY112" s="106"/>
      <c r="AZ112" s="107"/>
      <c r="BA112" s="107"/>
      <c r="BB112" s="108"/>
      <c r="BC112" s="109"/>
      <c r="BD112" s="109"/>
      <c r="BE112" s="104"/>
      <c r="BF112" s="105"/>
      <c r="BG112" s="106"/>
      <c r="BH112" s="107"/>
      <c r="BI112" s="107"/>
      <c r="BJ112" s="108"/>
      <c r="BK112" s="109"/>
      <c r="BL112" s="109"/>
      <c r="BM112" s="104"/>
      <c r="BN112" s="105"/>
      <c r="BO112" s="106"/>
      <c r="BP112" s="107"/>
      <c r="BQ112" s="107"/>
      <c r="BR112" s="108"/>
      <c r="BS112" s="109"/>
      <c r="BT112" s="109"/>
      <c r="BU112" s="104"/>
      <c r="BV112" s="105"/>
      <c r="BW112" s="106"/>
      <c r="BX112" s="107"/>
      <c r="BY112" s="107"/>
      <c r="BZ112" s="108"/>
      <c r="CA112" s="109"/>
    </row>
    <row r="113" spans="1:79" x14ac:dyDescent="0.2">
      <c r="A113" s="104"/>
      <c r="B113" s="105"/>
      <c r="C113" s="106"/>
      <c r="D113" s="107"/>
      <c r="E113" s="107"/>
      <c r="F113" s="150"/>
      <c r="G113" s="154"/>
      <c r="H113" s="109"/>
      <c r="I113" s="104"/>
      <c r="J113" s="105"/>
      <c r="K113" s="106"/>
      <c r="L113" s="107"/>
      <c r="M113" s="107"/>
      <c r="N113" s="108"/>
      <c r="O113" s="150"/>
      <c r="P113" s="154"/>
      <c r="Q113" s="104"/>
      <c r="R113" s="105"/>
      <c r="S113" s="106"/>
      <c r="T113" s="107"/>
      <c r="U113" s="107"/>
      <c r="V113" s="108"/>
      <c r="W113" s="150"/>
      <c r="X113" s="150"/>
      <c r="Y113" s="104"/>
      <c r="Z113" s="157"/>
      <c r="AA113" s="106"/>
      <c r="AB113" s="107" t="s">
        <v>254</v>
      </c>
      <c r="AC113" s="107" t="s">
        <v>388</v>
      </c>
      <c r="AD113" s="108" t="s">
        <v>382</v>
      </c>
      <c r="AE113" s="109" t="s">
        <v>100</v>
      </c>
      <c r="AF113" s="181">
        <v>0.2</v>
      </c>
      <c r="AG113" s="183">
        <v>4.08</v>
      </c>
      <c r="AH113" s="160">
        <v>76555.97</v>
      </c>
      <c r="AI113" s="161">
        <v>3.8082516452853331E-6</v>
      </c>
      <c r="AJ113" s="107"/>
      <c r="AK113" s="107"/>
      <c r="AL113" s="108"/>
      <c r="AM113" s="109"/>
      <c r="AN113" s="109"/>
      <c r="AO113" s="104"/>
      <c r="AP113" s="105"/>
      <c r="AQ113" s="106"/>
      <c r="AR113" s="107"/>
      <c r="AS113" s="107"/>
      <c r="AT113" s="108"/>
      <c r="AU113" s="107"/>
      <c r="AV113" s="107"/>
      <c r="AW113" s="104"/>
      <c r="AX113" s="105"/>
      <c r="AY113" s="106"/>
      <c r="AZ113" s="107"/>
      <c r="BA113" s="107"/>
      <c r="BB113" s="108"/>
      <c r="BC113" s="109"/>
      <c r="BD113" s="109"/>
      <c r="BE113" s="104"/>
      <c r="BF113" s="105"/>
      <c r="BG113" s="106"/>
      <c r="BH113" s="107"/>
      <c r="BI113" s="107"/>
      <c r="BJ113" s="108"/>
      <c r="BK113" s="109"/>
      <c r="BL113" s="109"/>
      <c r="BM113" s="104"/>
      <c r="BN113" s="105"/>
      <c r="BO113" s="106"/>
      <c r="BP113" s="107"/>
      <c r="BQ113" s="107"/>
      <c r="BR113" s="108"/>
      <c r="BS113" s="109"/>
      <c r="BT113" s="109"/>
      <c r="BU113" s="104"/>
      <c r="BV113" s="105"/>
      <c r="BW113" s="106"/>
      <c r="BX113" s="107"/>
      <c r="BY113" s="107"/>
      <c r="BZ113" s="108"/>
      <c r="CA113" s="109"/>
    </row>
    <row r="114" spans="1:79" x14ac:dyDescent="0.2">
      <c r="A114" s="104"/>
      <c r="B114" s="105"/>
      <c r="C114" s="106"/>
      <c r="D114" s="107"/>
      <c r="E114" s="107"/>
      <c r="F114" s="150"/>
      <c r="G114" s="154"/>
      <c r="H114" s="109"/>
      <c r="I114" s="104"/>
      <c r="J114" s="105"/>
      <c r="K114" s="106"/>
      <c r="L114" s="107"/>
      <c r="M114" s="107"/>
      <c r="N114" s="108"/>
      <c r="O114" s="150"/>
      <c r="P114" s="154"/>
      <c r="Q114" s="104"/>
      <c r="R114" s="105"/>
      <c r="S114" s="106"/>
      <c r="T114" s="107"/>
      <c r="U114" s="107"/>
      <c r="V114" s="108"/>
      <c r="W114" s="150"/>
      <c r="X114" s="150"/>
      <c r="Y114" s="104"/>
      <c r="Z114" s="157"/>
      <c r="AA114" s="106"/>
      <c r="AB114" s="107" t="s">
        <v>211</v>
      </c>
      <c r="AC114" s="107" t="s">
        <v>388</v>
      </c>
      <c r="AD114" s="108" t="s">
        <v>382</v>
      </c>
      <c r="AE114" s="109" t="s">
        <v>100</v>
      </c>
      <c r="AF114" s="181">
        <v>0.01</v>
      </c>
      <c r="AG114" s="183">
        <v>3.96</v>
      </c>
      <c r="AH114" s="160">
        <v>30868.74</v>
      </c>
      <c r="AI114" s="161">
        <v>1.5355553930222933E-6</v>
      </c>
      <c r="AJ114" s="107"/>
      <c r="AK114" s="107"/>
      <c r="AL114" s="108"/>
      <c r="AM114" s="109"/>
      <c r="AN114" s="109"/>
      <c r="AO114" s="104"/>
      <c r="AP114" s="105"/>
      <c r="AQ114" s="106"/>
      <c r="AR114" s="107"/>
      <c r="AS114" s="107"/>
      <c r="AT114" s="108"/>
      <c r="AU114" s="107"/>
      <c r="AV114" s="107"/>
      <c r="AW114" s="104"/>
      <c r="AX114" s="105"/>
      <c r="AY114" s="106"/>
      <c r="AZ114" s="107"/>
      <c r="BA114" s="107"/>
      <c r="BB114" s="108"/>
      <c r="BC114" s="109"/>
      <c r="BD114" s="109"/>
      <c r="BE114" s="104"/>
      <c r="BF114" s="105"/>
      <c r="BG114" s="106"/>
      <c r="BH114" s="107"/>
      <c r="BI114" s="107"/>
      <c r="BJ114" s="108"/>
      <c r="BK114" s="109"/>
      <c r="BL114" s="109"/>
      <c r="BM114" s="104"/>
      <c r="BN114" s="105"/>
      <c r="BO114" s="106"/>
      <c r="BP114" s="107"/>
      <c r="BQ114" s="107"/>
      <c r="BR114" s="108"/>
      <c r="BS114" s="109"/>
      <c r="BT114" s="109"/>
      <c r="BU114" s="104"/>
      <c r="BV114" s="105"/>
      <c r="BW114" s="106"/>
      <c r="BX114" s="107"/>
      <c r="BY114" s="107"/>
      <c r="BZ114" s="108"/>
      <c r="CA114" s="109"/>
    </row>
    <row r="115" spans="1:79" x14ac:dyDescent="0.2">
      <c r="A115" s="104"/>
      <c r="B115" s="105"/>
      <c r="C115" s="106"/>
      <c r="D115" s="107"/>
      <c r="E115" s="107"/>
      <c r="F115" s="150"/>
      <c r="G115" s="154"/>
      <c r="H115" s="109"/>
      <c r="I115" s="104"/>
      <c r="J115" s="105"/>
      <c r="K115" s="106"/>
      <c r="L115" s="107"/>
      <c r="M115" s="107"/>
      <c r="N115" s="108"/>
      <c r="O115" s="150"/>
      <c r="P115" s="154"/>
      <c r="Q115" s="104"/>
      <c r="R115" s="105"/>
      <c r="S115" s="106"/>
      <c r="T115" s="107"/>
      <c r="U115" s="107"/>
      <c r="V115" s="108"/>
      <c r="W115" s="150"/>
      <c r="X115" s="150"/>
      <c r="Y115" s="104"/>
      <c r="Z115" s="157"/>
      <c r="AA115" s="106"/>
      <c r="AB115" s="107" t="s">
        <v>211</v>
      </c>
      <c r="AC115" s="107" t="s">
        <v>388</v>
      </c>
      <c r="AD115" s="108" t="s">
        <v>382</v>
      </c>
      <c r="AE115" s="109" t="s">
        <v>100</v>
      </c>
      <c r="AF115" s="181">
        <v>0.04</v>
      </c>
      <c r="AG115" s="183">
        <v>3.96</v>
      </c>
      <c r="AH115" s="160">
        <v>154175.73000000001</v>
      </c>
      <c r="AI115" s="161">
        <v>7.669421461550488E-6</v>
      </c>
      <c r="AJ115" s="107"/>
      <c r="AK115" s="107"/>
      <c r="AL115" s="108"/>
      <c r="AM115" s="109"/>
      <c r="AN115" s="109"/>
      <c r="AO115" s="104"/>
      <c r="AP115" s="105"/>
      <c r="AQ115" s="106"/>
      <c r="AR115" s="107"/>
      <c r="AS115" s="107"/>
      <c r="AT115" s="108"/>
      <c r="AU115" s="107"/>
      <c r="AV115" s="107"/>
      <c r="AW115" s="104"/>
      <c r="AX115" s="105"/>
      <c r="AY115" s="106"/>
      <c r="AZ115" s="107"/>
      <c r="BA115" s="107"/>
      <c r="BB115" s="108"/>
      <c r="BC115" s="109"/>
      <c r="BD115" s="109"/>
      <c r="BE115" s="104"/>
      <c r="BF115" s="105"/>
      <c r="BG115" s="106"/>
      <c r="BH115" s="107"/>
      <c r="BI115" s="107"/>
      <c r="BJ115" s="108"/>
      <c r="BK115" s="109"/>
      <c r="BL115" s="109"/>
      <c r="BM115" s="104"/>
      <c r="BN115" s="105"/>
      <c r="BO115" s="106"/>
      <c r="BP115" s="107"/>
      <c r="BQ115" s="107"/>
      <c r="BR115" s="108"/>
      <c r="BS115" s="109"/>
      <c r="BT115" s="109"/>
      <c r="BU115" s="104"/>
      <c r="BV115" s="105"/>
      <c r="BW115" s="106"/>
      <c r="BX115" s="107"/>
      <c r="BY115" s="107"/>
      <c r="BZ115" s="108"/>
      <c r="CA115" s="109"/>
    </row>
    <row r="116" spans="1:79" x14ac:dyDescent="0.2">
      <c r="A116" s="104"/>
      <c r="B116" s="105"/>
      <c r="C116" s="106"/>
      <c r="D116" s="107"/>
      <c r="E116" s="107"/>
      <c r="F116" s="150"/>
      <c r="G116" s="154"/>
      <c r="H116" s="109"/>
      <c r="I116" s="104"/>
      <c r="J116" s="105"/>
      <c r="K116" s="106"/>
      <c r="L116" s="107"/>
      <c r="M116" s="107"/>
      <c r="N116" s="108"/>
      <c r="O116" s="150"/>
      <c r="P116" s="154"/>
      <c r="Q116" s="104"/>
      <c r="R116" s="105"/>
      <c r="S116" s="106"/>
      <c r="T116" s="107"/>
      <c r="U116" s="107"/>
      <c r="V116" s="108"/>
      <c r="W116" s="150"/>
      <c r="X116" s="150"/>
      <c r="Y116" s="104"/>
      <c r="Z116" s="157"/>
      <c r="AA116" s="106"/>
      <c r="AB116" s="107" t="s">
        <v>211</v>
      </c>
      <c r="AC116" s="107" t="s">
        <v>388</v>
      </c>
      <c r="AD116" s="108" t="s">
        <v>382</v>
      </c>
      <c r="AE116" s="109" t="s">
        <v>100</v>
      </c>
      <c r="AF116" s="181">
        <v>7.0000000000000007E-2</v>
      </c>
      <c r="AG116" s="183">
        <v>3.84</v>
      </c>
      <c r="AH116" s="160">
        <v>346424.15</v>
      </c>
      <c r="AI116" s="161">
        <v>1.7232756460020885E-5</v>
      </c>
      <c r="AJ116" s="107"/>
      <c r="AK116" s="107"/>
      <c r="AL116" s="108"/>
      <c r="AM116" s="109"/>
      <c r="AN116" s="109"/>
      <c r="AO116" s="104"/>
      <c r="AP116" s="105"/>
      <c r="AQ116" s="106"/>
      <c r="AR116" s="107"/>
      <c r="AS116" s="107"/>
      <c r="AT116" s="108"/>
      <c r="AU116" s="107"/>
      <c r="AV116" s="107"/>
      <c r="AW116" s="104"/>
      <c r="AX116" s="105"/>
      <c r="AY116" s="106"/>
      <c r="AZ116" s="107"/>
      <c r="BA116" s="107"/>
      <c r="BB116" s="108"/>
      <c r="BC116" s="109"/>
      <c r="BD116" s="109"/>
      <c r="BE116" s="104"/>
      <c r="BF116" s="105"/>
      <c r="BG116" s="106"/>
      <c r="BH116" s="107"/>
      <c r="BI116" s="107"/>
      <c r="BJ116" s="108"/>
      <c r="BK116" s="109"/>
      <c r="BL116" s="109"/>
      <c r="BM116" s="104"/>
      <c r="BN116" s="105"/>
      <c r="BO116" s="106"/>
      <c r="BP116" s="107"/>
      <c r="BQ116" s="107"/>
      <c r="BR116" s="108"/>
      <c r="BS116" s="109"/>
      <c r="BT116" s="109"/>
      <c r="BU116" s="104"/>
      <c r="BV116" s="105"/>
      <c r="BW116" s="106"/>
      <c r="BX116" s="107"/>
      <c r="BY116" s="107"/>
      <c r="BZ116" s="108"/>
      <c r="CA116" s="109"/>
    </row>
    <row r="117" spans="1:79" x14ac:dyDescent="0.2">
      <c r="A117" s="104"/>
      <c r="B117" s="105"/>
      <c r="C117" s="106"/>
      <c r="D117" s="107"/>
      <c r="E117" s="107"/>
      <c r="F117" s="150"/>
      <c r="G117" s="154"/>
      <c r="H117" s="109"/>
      <c r="I117" s="104"/>
      <c r="J117" s="105"/>
      <c r="K117" s="106"/>
      <c r="L117" s="107"/>
      <c r="M117" s="107"/>
      <c r="N117" s="108"/>
      <c r="O117" s="150"/>
      <c r="P117" s="154"/>
      <c r="Q117" s="104"/>
      <c r="R117" s="105"/>
      <c r="S117" s="106"/>
      <c r="T117" s="107"/>
      <c r="U117" s="107"/>
      <c r="V117" s="108"/>
      <c r="W117" s="150"/>
      <c r="X117" s="150"/>
      <c r="Y117" s="104"/>
      <c r="Z117" s="157"/>
      <c r="AA117" s="106"/>
      <c r="AB117" s="107" t="s">
        <v>211</v>
      </c>
      <c r="AC117" s="107" t="s">
        <v>388</v>
      </c>
      <c r="AD117" s="108" t="s">
        <v>382</v>
      </c>
      <c r="AE117" s="109" t="s">
        <v>100</v>
      </c>
      <c r="AF117" s="181">
        <v>0.1</v>
      </c>
      <c r="AG117" s="183">
        <v>3.96</v>
      </c>
      <c r="AH117" s="160">
        <v>76891.899999999994</v>
      </c>
      <c r="AI117" s="161">
        <v>3.824962647432824E-6</v>
      </c>
      <c r="AJ117" s="107"/>
      <c r="AK117" s="107"/>
      <c r="AL117" s="108"/>
      <c r="AM117" s="109"/>
      <c r="AN117" s="109"/>
      <c r="AO117" s="104"/>
      <c r="AP117" s="105"/>
      <c r="AQ117" s="106"/>
      <c r="AR117" s="107"/>
      <c r="AS117" s="107"/>
      <c r="AT117" s="108"/>
      <c r="AU117" s="107"/>
      <c r="AV117" s="107"/>
      <c r="AW117" s="104"/>
      <c r="AX117" s="105"/>
      <c r="AY117" s="106"/>
      <c r="AZ117" s="107"/>
      <c r="BA117" s="107"/>
      <c r="BB117" s="108"/>
      <c r="BC117" s="109"/>
      <c r="BD117" s="109"/>
      <c r="BE117" s="104"/>
      <c r="BF117" s="105"/>
      <c r="BG117" s="106"/>
      <c r="BH117" s="107"/>
      <c r="BI117" s="107"/>
      <c r="BJ117" s="108"/>
      <c r="BK117" s="109"/>
      <c r="BL117" s="109"/>
      <c r="BM117" s="104"/>
      <c r="BN117" s="105"/>
      <c r="BO117" s="106"/>
      <c r="BP117" s="107"/>
      <c r="BQ117" s="107"/>
      <c r="BR117" s="108"/>
      <c r="BS117" s="109"/>
      <c r="BT117" s="109"/>
      <c r="BU117" s="104"/>
      <c r="BV117" s="105"/>
      <c r="BW117" s="106"/>
      <c r="BX117" s="107"/>
      <c r="BY117" s="107"/>
      <c r="BZ117" s="108"/>
      <c r="CA117" s="109"/>
    </row>
    <row r="118" spans="1:79" x14ac:dyDescent="0.2">
      <c r="A118" s="104"/>
      <c r="B118" s="105"/>
      <c r="C118" s="106"/>
      <c r="D118" s="107"/>
      <c r="E118" s="107"/>
      <c r="F118" s="150"/>
      <c r="G118" s="154"/>
      <c r="H118" s="109"/>
      <c r="I118" s="104"/>
      <c r="J118" s="105"/>
      <c r="K118" s="106"/>
      <c r="L118" s="107"/>
      <c r="M118" s="107"/>
      <c r="N118" s="108"/>
      <c r="O118" s="150"/>
      <c r="P118" s="154"/>
      <c r="Q118" s="104"/>
      <c r="R118" s="105"/>
      <c r="S118" s="106"/>
      <c r="T118" s="107"/>
      <c r="U118" s="107"/>
      <c r="V118" s="108"/>
      <c r="W118" s="150"/>
      <c r="X118" s="150"/>
      <c r="Y118" s="104"/>
      <c r="Z118" s="157"/>
      <c r="AA118" s="106"/>
      <c r="AB118" s="107" t="s">
        <v>211</v>
      </c>
      <c r="AC118" s="107" t="s">
        <v>388</v>
      </c>
      <c r="AD118" s="108" t="s">
        <v>382</v>
      </c>
      <c r="AE118" s="109" t="s">
        <v>100</v>
      </c>
      <c r="AF118" s="181">
        <v>0.12</v>
      </c>
      <c r="AG118" s="183">
        <v>3.96</v>
      </c>
      <c r="AH118" s="160">
        <v>140178.42000000001</v>
      </c>
      <c r="AI118" s="161">
        <v>6.9731297153539629E-6</v>
      </c>
      <c r="AJ118" s="107"/>
      <c r="AK118" s="107"/>
      <c r="AL118" s="108"/>
      <c r="AM118" s="109"/>
      <c r="AN118" s="109"/>
      <c r="AO118" s="104"/>
      <c r="AP118" s="105"/>
      <c r="AQ118" s="106"/>
      <c r="AR118" s="107"/>
      <c r="AS118" s="107"/>
      <c r="AT118" s="108"/>
      <c r="AU118" s="107"/>
      <c r="AV118" s="107"/>
      <c r="AW118" s="104"/>
      <c r="AX118" s="105"/>
      <c r="AY118" s="106"/>
      <c r="AZ118" s="107"/>
      <c r="BA118" s="107"/>
      <c r="BB118" s="108"/>
      <c r="BC118" s="109"/>
      <c r="BD118" s="109"/>
      <c r="BE118" s="104"/>
      <c r="BF118" s="105"/>
      <c r="BG118" s="106"/>
      <c r="BH118" s="107"/>
      <c r="BI118" s="107"/>
      <c r="BJ118" s="108"/>
      <c r="BK118" s="109"/>
      <c r="BL118" s="109"/>
      <c r="BM118" s="104"/>
      <c r="BN118" s="105"/>
      <c r="BO118" s="106"/>
      <c r="BP118" s="107"/>
      <c r="BQ118" s="107"/>
      <c r="BR118" s="108"/>
      <c r="BS118" s="109"/>
      <c r="BT118" s="109"/>
      <c r="BU118" s="104"/>
      <c r="BV118" s="105"/>
      <c r="BW118" s="106"/>
      <c r="BX118" s="107"/>
      <c r="BY118" s="107"/>
      <c r="BZ118" s="108"/>
      <c r="CA118" s="109"/>
    </row>
    <row r="119" spans="1:79" x14ac:dyDescent="0.2">
      <c r="A119" s="104"/>
      <c r="B119" s="105"/>
      <c r="C119" s="106"/>
      <c r="D119" s="107"/>
      <c r="E119" s="107"/>
      <c r="F119" s="150"/>
      <c r="G119" s="154"/>
      <c r="H119" s="109"/>
      <c r="I119" s="104"/>
      <c r="J119" s="105"/>
      <c r="K119" s="106"/>
      <c r="L119" s="107"/>
      <c r="M119" s="107"/>
      <c r="N119" s="108"/>
      <c r="O119" s="150"/>
      <c r="P119" s="154"/>
      <c r="Q119" s="104"/>
      <c r="R119" s="105"/>
      <c r="S119" s="106"/>
      <c r="T119" s="107"/>
      <c r="U119" s="107"/>
      <c r="V119" s="108"/>
      <c r="W119" s="150"/>
      <c r="X119" s="150"/>
      <c r="Y119" s="104"/>
      <c r="Z119" s="157"/>
      <c r="AA119" s="106"/>
      <c r="AB119" s="107" t="s">
        <v>211</v>
      </c>
      <c r="AC119" s="107" t="s">
        <v>388</v>
      </c>
      <c r="AD119" s="108" t="s">
        <v>382</v>
      </c>
      <c r="AE119" s="109" t="s">
        <v>100</v>
      </c>
      <c r="AF119" s="181">
        <v>0.21</v>
      </c>
      <c r="AG119" s="183">
        <v>3.96</v>
      </c>
      <c r="AH119" s="160">
        <v>191427.24</v>
      </c>
      <c r="AI119" s="161">
        <v>9.5224858854261756E-6</v>
      </c>
      <c r="AJ119" s="107"/>
      <c r="AK119" s="107"/>
      <c r="AL119" s="108"/>
      <c r="AM119" s="109"/>
      <c r="AN119" s="109"/>
      <c r="AO119" s="104"/>
      <c r="AP119" s="105"/>
      <c r="AQ119" s="106"/>
      <c r="AR119" s="107"/>
      <c r="AS119" s="107"/>
      <c r="AT119" s="108"/>
      <c r="AU119" s="107"/>
      <c r="AV119" s="107"/>
      <c r="AW119" s="104"/>
      <c r="AX119" s="105"/>
      <c r="AY119" s="106"/>
      <c r="AZ119" s="107"/>
      <c r="BA119" s="107"/>
      <c r="BB119" s="108"/>
      <c r="BC119" s="109"/>
      <c r="BD119" s="109"/>
      <c r="BE119" s="104"/>
      <c r="BF119" s="105"/>
      <c r="BG119" s="106"/>
      <c r="BH119" s="107"/>
      <c r="BI119" s="107"/>
      <c r="BJ119" s="108"/>
      <c r="BK119" s="109"/>
      <c r="BL119" s="109"/>
      <c r="BM119" s="104"/>
      <c r="BN119" s="105"/>
      <c r="BO119" s="106"/>
      <c r="BP119" s="107"/>
      <c r="BQ119" s="107"/>
      <c r="BR119" s="108"/>
      <c r="BS119" s="109"/>
      <c r="BT119" s="109"/>
      <c r="BU119" s="104"/>
      <c r="BV119" s="105"/>
      <c r="BW119" s="106"/>
      <c r="BX119" s="107"/>
      <c r="BY119" s="107"/>
      <c r="BZ119" s="108"/>
      <c r="CA119" s="109"/>
    </row>
    <row r="120" spans="1:79" x14ac:dyDescent="0.2">
      <c r="A120" s="104"/>
      <c r="B120" s="105"/>
      <c r="C120" s="106"/>
      <c r="D120" s="107"/>
      <c r="E120" s="107"/>
      <c r="F120" s="150"/>
      <c r="G120" s="154"/>
      <c r="H120" s="109"/>
      <c r="I120" s="104"/>
      <c r="J120" s="105"/>
      <c r="K120" s="106"/>
      <c r="L120" s="107"/>
      <c r="M120" s="107"/>
      <c r="N120" s="108"/>
      <c r="O120" s="150"/>
      <c r="P120" s="154"/>
      <c r="Q120" s="104"/>
      <c r="R120" s="105"/>
      <c r="S120" s="106"/>
      <c r="T120" s="107"/>
      <c r="U120" s="107"/>
      <c r="V120" s="108"/>
      <c r="W120" s="150"/>
      <c r="X120" s="150"/>
      <c r="Y120" s="104"/>
      <c r="Z120" s="157"/>
      <c r="AA120" s="106"/>
      <c r="AB120" s="107" t="s">
        <v>211</v>
      </c>
      <c r="AC120" s="107" t="s">
        <v>388</v>
      </c>
      <c r="AD120" s="108" t="s">
        <v>382</v>
      </c>
      <c r="AE120" s="109" t="s">
        <v>100</v>
      </c>
      <c r="AF120" s="181">
        <v>0.26</v>
      </c>
      <c r="AG120" s="183">
        <v>4</v>
      </c>
      <c r="AH120" s="160">
        <v>305589.32</v>
      </c>
      <c r="AI120" s="161">
        <v>1.5201441346571959E-5</v>
      </c>
      <c r="AJ120" s="107"/>
      <c r="AK120" s="107"/>
      <c r="AL120" s="108"/>
      <c r="AM120" s="109"/>
      <c r="AN120" s="109"/>
      <c r="AO120" s="104"/>
      <c r="AP120" s="105"/>
      <c r="AQ120" s="106"/>
      <c r="AR120" s="107"/>
      <c r="AS120" s="107"/>
      <c r="AT120" s="108"/>
      <c r="AU120" s="107"/>
      <c r="AV120" s="107"/>
      <c r="AW120" s="104"/>
      <c r="AX120" s="105"/>
      <c r="AY120" s="106"/>
      <c r="AZ120" s="107"/>
      <c r="BA120" s="107"/>
      <c r="BB120" s="108"/>
      <c r="BC120" s="109"/>
      <c r="BD120" s="109"/>
      <c r="BE120" s="104"/>
      <c r="BF120" s="105"/>
      <c r="BG120" s="106"/>
      <c r="BH120" s="107"/>
      <c r="BI120" s="107"/>
      <c r="BJ120" s="108"/>
      <c r="BK120" s="109"/>
      <c r="BL120" s="109"/>
      <c r="BM120" s="104"/>
      <c r="BN120" s="105"/>
      <c r="BO120" s="106"/>
      <c r="BP120" s="107"/>
      <c r="BQ120" s="107"/>
      <c r="BR120" s="108"/>
      <c r="BS120" s="109"/>
      <c r="BT120" s="109"/>
      <c r="BU120" s="104"/>
      <c r="BV120" s="105"/>
      <c r="BW120" s="106"/>
      <c r="BX120" s="107"/>
      <c r="BY120" s="107"/>
      <c r="BZ120" s="108"/>
      <c r="CA120" s="109"/>
    </row>
    <row r="121" spans="1:79" x14ac:dyDescent="0.2">
      <c r="A121" s="104"/>
      <c r="B121" s="105"/>
      <c r="C121" s="106"/>
      <c r="D121" s="107"/>
      <c r="E121" s="107"/>
      <c r="F121" s="150"/>
      <c r="G121" s="154"/>
      <c r="H121" s="109"/>
      <c r="I121" s="104"/>
      <c r="J121" s="105"/>
      <c r="K121" s="106"/>
      <c r="L121" s="107"/>
      <c r="M121" s="107"/>
      <c r="N121" s="108"/>
      <c r="O121" s="150"/>
      <c r="P121" s="154"/>
      <c r="Q121" s="104"/>
      <c r="R121" s="105"/>
      <c r="S121" s="106"/>
      <c r="T121" s="107"/>
      <c r="U121" s="107"/>
      <c r="V121" s="108"/>
      <c r="W121" s="150"/>
      <c r="X121" s="150"/>
      <c r="Y121" s="104"/>
      <c r="Z121" s="157"/>
      <c r="AA121" s="106"/>
      <c r="AB121" s="107" t="s">
        <v>211</v>
      </c>
      <c r="AC121" s="107" t="s">
        <v>388</v>
      </c>
      <c r="AD121" s="108" t="s">
        <v>382</v>
      </c>
      <c r="AE121" s="109" t="s">
        <v>100</v>
      </c>
      <c r="AF121" s="181">
        <v>0.28000000000000003</v>
      </c>
      <c r="AG121" s="183">
        <v>3.96</v>
      </c>
      <c r="AH121" s="160">
        <v>229014.69</v>
      </c>
      <c r="AI121" s="161">
        <v>1.1392261316423822E-5</v>
      </c>
      <c r="AJ121" s="107"/>
      <c r="AK121" s="107"/>
      <c r="AL121" s="108"/>
      <c r="AM121" s="109"/>
      <c r="AN121" s="109"/>
      <c r="AO121" s="104"/>
      <c r="AP121" s="105"/>
      <c r="AQ121" s="106"/>
      <c r="AR121" s="107"/>
      <c r="AS121" s="107"/>
      <c r="AT121" s="108"/>
      <c r="AU121" s="107"/>
      <c r="AV121" s="107"/>
      <c r="AW121" s="104"/>
      <c r="AX121" s="105"/>
      <c r="AY121" s="106"/>
      <c r="AZ121" s="107"/>
      <c r="BA121" s="107"/>
      <c r="BB121" s="108"/>
      <c r="BC121" s="109"/>
      <c r="BD121" s="109"/>
      <c r="BE121" s="104"/>
      <c r="BF121" s="105"/>
      <c r="BG121" s="106"/>
      <c r="BH121" s="107"/>
      <c r="BI121" s="107"/>
      <c r="BJ121" s="108"/>
      <c r="BK121" s="109"/>
      <c r="BL121" s="109"/>
      <c r="BM121" s="104"/>
      <c r="BN121" s="105"/>
      <c r="BO121" s="106"/>
      <c r="BP121" s="107"/>
      <c r="BQ121" s="107"/>
      <c r="BR121" s="108"/>
      <c r="BS121" s="109"/>
      <c r="BT121" s="109"/>
      <c r="BU121" s="104"/>
      <c r="BV121" s="105"/>
      <c r="BW121" s="106"/>
      <c r="BX121" s="107"/>
      <c r="BY121" s="107"/>
      <c r="BZ121" s="108"/>
      <c r="CA121" s="109"/>
    </row>
    <row r="122" spans="1:79" x14ac:dyDescent="0.2">
      <c r="A122" s="104"/>
      <c r="B122" s="105"/>
      <c r="C122" s="106"/>
      <c r="D122" s="107"/>
      <c r="E122" s="107"/>
      <c r="F122" s="150"/>
      <c r="G122" s="154"/>
      <c r="H122" s="109"/>
      <c r="I122" s="104"/>
      <c r="J122" s="105"/>
      <c r="K122" s="106"/>
      <c r="L122" s="107"/>
      <c r="M122" s="107"/>
      <c r="N122" s="108"/>
      <c r="O122" s="150"/>
      <c r="P122" s="154"/>
      <c r="Q122" s="104"/>
      <c r="R122" s="105"/>
      <c r="S122" s="106"/>
      <c r="T122" s="107"/>
      <c r="U122" s="107"/>
      <c r="V122" s="108"/>
      <c r="W122" s="150"/>
      <c r="X122" s="150"/>
      <c r="Y122" s="104"/>
      <c r="Z122" s="157"/>
      <c r="AA122" s="106"/>
      <c r="AB122" s="107" t="s">
        <v>211</v>
      </c>
      <c r="AC122" s="107" t="s">
        <v>388</v>
      </c>
      <c r="AD122" s="108" t="s">
        <v>382</v>
      </c>
      <c r="AE122" s="109" t="s">
        <v>100</v>
      </c>
      <c r="AF122" s="181">
        <v>0.3</v>
      </c>
      <c r="AG122" s="183">
        <v>3.96</v>
      </c>
      <c r="AH122" s="160">
        <v>247939.06</v>
      </c>
      <c r="AI122" s="161">
        <v>1.233364775580908E-5</v>
      </c>
      <c r="AJ122" s="107"/>
      <c r="AK122" s="107"/>
      <c r="AL122" s="108"/>
      <c r="AM122" s="109"/>
      <c r="AN122" s="109"/>
      <c r="AO122" s="104"/>
      <c r="AP122" s="105"/>
      <c r="AQ122" s="106"/>
      <c r="AR122" s="107"/>
      <c r="AS122" s="107"/>
      <c r="AT122" s="108"/>
      <c r="AU122" s="107"/>
      <c r="AV122" s="107"/>
      <c r="AW122" s="104"/>
      <c r="AX122" s="105"/>
      <c r="AY122" s="106"/>
      <c r="AZ122" s="107"/>
      <c r="BA122" s="107"/>
      <c r="BB122" s="108"/>
      <c r="BC122" s="109"/>
      <c r="BD122" s="109"/>
      <c r="BE122" s="104"/>
      <c r="BF122" s="105"/>
      <c r="BG122" s="106"/>
      <c r="BH122" s="107"/>
      <c r="BI122" s="107"/>
      <c r="BJ122" s="108"/>
      <c r="BK122" s="109"/>
      <c r="BL122" s="109"/>
      <c r="BM122" s="104"/>
      <c r="BN122" s="105"/>
      <c r="BO122" s="106"/>
      <c r="BP122" s="107"/>
      <c r="BQ122" s="107"/>
      <c r="BR122" s="108"/>
      <c r="BS122" s="109"/>
      <c r="BT122" s="109"/>
      <c r="BU122" s="104"/>
      <c r="BV122" s="105"/>
      <c r="BW122" s="106"/>
      <c r="BX122" s="107"/>
      <c r="BY122" s="107"/>
      <c r="BZ122" s="108"/>
      <c r="CA122" s="109"/>
    </row>
    <row r="123" spans="1:79" x14ac:dyDescent="0.2">
      <c r="A123" s="104"/>
      <c r="B123" s="105"/>
      <c r="C123" s="106"/>
      <c r="D123" s="107"/>
      <c r="E123" s="107"/>
      <c r="F123" s="150"/>
      <c r="G123" s="154"/>
      <c r="H123" s="109"/>
      <c r="I123" s="104"/>
      <c r="J123" s="105"/>
      <c r="K123" s="106"/>
      <c r="L123" s="107"/>
      <c r="M123" s="107"/>
      <c r="N123" s="108"/>
      <c r="O123" s="150"/>
      <c r="P123" s="154"/>
      <c r="Q123" s="104"/>
      <c r="R123" s="105"/>
      <c r="S123" s="106"/>
      <c r="T123" s="107"/>
      <c r="U123" s="107"/>
      <c r="V123" s="108"/>
      <c r="W123" s="150"/>
      <c r="X123" s="150"/>
      <c r="Y123" s="104"/>
      <c r="Z123" s="157"/>
      <c r="AA123" s="106"/>
      <c r="AB123" s="107"/>
      <c r="AC123" s="107"/>
      <c r="AD123" s="108"/>
      <c r="AE123" s="109"/>
      <c r="AF123" s="150"/>
      <c r="AG123" s="159"/>
      <c r="AH123" s="160"/>
      <c r="AI123" s="161"/>
      <c r="AJ123" s="107"/>
      <c r="AK123" s="107"/>
      <c r="AL123" s="108"/>
      <c r="AM123" s="109"/>
      <c r="AN123" s="109"/>
      <c r="AO123" s="104"/>
      <c r="AP123" s="105"/>
      <c r="AQ123" s="106"/>
      <c r="AR123" s="107"/>
      <c r="AS123" s="107"/>
      <c r="AT123" s="108"/>
      <c r="AU123" s="107"/>
      <c r="AV123" s="107"/>
      <c r="AW123" s="104"/>
      <c r="AX123" s="105"/>
      <c r="AY123" s="106"/>
      <c r="AZ123" s="107"/>
      <c r="BA123" s="107"/>
      <c r="BB123" s="108"/>
      <c r="BC123" s="109"/>
      <c r="BD123" s="109"/>
      <c r="BE123" s="104"/>
      <c r="BF123" s="105"/>
      <c r="BG123" s="106"/>
      <c r="BH123" s="107"/>
      <c r="BI123" s="107"/>
      <c r="BJ123" s="108"/>
      <c r="BK123" s="109"/>
      <c r="BL123" s="109"/>
      <c r="BM123" s="104"/>
      <c r="BN123" s="105"/>
      <c r="BO123" s="106"/>
      <c r="BP123" s="107"/>
      <c r="BQ123" s="107"/>
      <c r="BR123" s="108"/>
      <c r="BS123" s="109"/>
      <c r="BT123" s="109"/>
      <c r="BU123" s="104"/>
      <c r="BV123" s="105"/>
      <c r="BW123" s="106"/>
      <c r="BX123" s="107"/>
      <c r="BY123" s="107"/>
      <c r="BZ123" s="108"/>
      <c r="CA123" s="109"/>
    </row>
    <row r="124" spans="1:79" x14ac:dyDescent="0.2">
      <c r="A124" s="104"/>
      <c r="B124" s="105"/>
      <c r="C124" s="106"/>
      <c r="D124" s="107"/>
      <c r="E124" s="107"/>
      <c r="F124" s="150"/>
      <c r="G124" s="154"/>
      <c r="H124" s="109"/>
      <c r="I124" s="104"/>
      <c r="J124" s="105"/>
      <c r="K124" s="106"/>
      <c r="L124" s="107"/>
      <c r="M124" s="107"/>
      <c r="N124" s="108"/>
      <c r="O124" s="150"/>
      <c r="P124" s="154"/>
      <c r="Q124" s="104"/>
      <c r="R124" s="105"/>
      <c r="S124" s="106"/>
      <c r="T124" s="107"/>
      <c r="U124" s="107"/>
      <c r="V124" s="108"/>
      <c r="W124" s="150"/>
      <c r="X124" s="150"/>
      <c r="Y124" s="104"/>
      <c r="Z124" s="157"/>
      <c r="AA124" s="106"/>
      <c r="AB124" s="107"/>
      <c r="AC124" s="107"/>
      <c r="AD124" s="108"/>
      <c r="AE124" s="109"/>
      <c r="AF124" s="150"/>
      <c r="AG124" s="159"/>
      <c r="AH124" s="160"/>
      <c r="AI124" s="161"/>
      <c r="AJ124" s="107"/>
      <c r="AK124" s="107"/>
      <c r="AL124" s="108"/>
      <c r="AM124" s="109"/>
      <c r="AN124" s="109"/>
      <c r="AO124" s="104"/>
      <c r="AP124" s="105"/>
      <c r="AQ124" s="106"/>
      <c r="AR124" s="107"/>
      <c r="AS124" s="107"/>
      <c r="AT124" s="108"/>
      <c r="AU124" s="107"/>
      <c r="AV124" s="107"/>
      <c r="AW124" s="104"/>
      <c r="AX124" s="105"/>
      <c r="AY124" s="106"/>
      <c r="AZ124" s="107"/>
      <c r="BA124" s="107"/>
      <c r="BB124" s="108"/>
      <c r="BC124" s="109"/>
      <c r="BD124" s="109"/>
      <c r="BE124" s="104"/>
      <c r="BF124" s="105"/>
      <c r="BG124" s="106"/>
      <c r="BH124" s="107"/>
      <c r="BI124" s="107"/>
      <c r="BJ124" s="108"/>
      <c r="BK124" s="109"/>
      <c r="BL124" s="109"/>
      <c r="BM124" s="104"/>
      <c r="BN124" s="105"/>
      <c r="BO124" s="106"/>
      <c r="BP124" s="107"/>
      <c r="BQ124" s="107"/>
      <c r="BR124" s="108"/>
      <c r="BS124" s="109"/>
      <c r="BT124" s="109"/>
      <c r="BU124" s="104"/>
      <c r="BV124" s="105"/>
      <c r="BW124" s="106"/>
      <c r="BX124" s="107"/>
      <c r="BY124" s="107"/>
      <c r="BZ124" s="108"/>
      <c r="CA124" s="109"/>
    </row>
    <row r="125" spans="1:79" x14ac:dyDescent="0.2">
      <c r="A125" s="104"/>
      <c r="B125" s="105"/>
      <c r="C125" s="106"/>
      <c r="D125" s="107"/>
      <c r="E125" s="107"/>
      <c r="F125" s="150"/>
      <c r="G125" s="154"/>
      <c r="H125" s="109"/>
      <c r="I125" s="104"/>
      <c r="J125" s="105"/>
      <c r="K125" s="106"/>
      <c r="L125" s="107"/>
      <c r="M125" s="107"/>
      <c r="N125" s="108"/>
      <c r="O125" s="150"/>
      <c r="P125" s="154"/>
      <c r="Q125" s="104"/>
      <c r="R125" s="105"/>
      <c r="S125" s="106"/>
      <c r="T125" s="107"/>
      <c r="U125" s="107"/>
      <c r="V125" s="108"/>
      <c r="W125" s="150"/>
      <c r="X125" s="150"/>
      <c r="Y125" s="104"/>
      <c r="Z125" s="157"/>
      <c r="AA125" s="106"/>
      <c r="AB125" s="107"/>
      <c r="AC125" s="107"/>
      <c r="AD125" s="108"/>
      <c r="AE125" s="109"/>
      <c r="AF125" s="150"/>
      <c r="AG125" s="159"/>
      <c r="AH125" s="160"/>
      <c r="AI125" s="161"/>
      <c r="AJ125" s="107"/>
      <c r="AK125" s="107"/>
      <c r="AL125" s="108"/>
      <c r="AM125" s="109"/>
      <c r="AN125" s="109"/>
      <c r="AO125" s="104"/>
      <c r="AP125" s="105"/>
      <c r="AQ125" s="106"/>
      <c r="AR125" s="107"/>
      <c r="AS125" s="107"/>
      <c r="AT125" s="108"/>
      <c r="AU125" s="107"/>
      <c r="AV125" s="107"/>
      <c r="AW125" s="104"/>
      <c r="AX125" s="105"/>
      <c r="AY125" s="106"/>
      <c r="AZ125" s="107"/>
      <c r="BA125" s="107"/>
      <c r="BB125" s="108"/>
      <c r="BC125" s="109"/>
      <c r="BD125" s="109"/>
      <c r="BE125" s="104"/>
      <c r="BF125" s="105"/>
      <c r="BG125" s="106"/>
      <c r="BH125" s="107"/>
      <c r="BI125" s="107"/>
      <c r="BJ125" s="108"/>
      <c r="BK125" s="109"/>
      <c r="BL125" s="109"/>
      <c r="BM125" s="104"/>
      <c r="BN125" s="105"/>
      <c r="BO125" s="106"/>
      <c r="BP125" s="107"/>
      <c r="BQ125" s="107"/>
      <c r="BR125" s="108"/>
      <c r="BS125" s="109"/>
      <c r="BT125" s="109"/>
      <c r="BU125" s="104"/>
      <c r="BV125" s="105"/>
      <c r="BW125" s="106"/>
      <c r="BX125" s="107"/>
      <c r="BY125" s="107"/>
      <c r="BZ125" s="108"/>
      <c r="CA125" s="109"/>
    </row>
    <row r="126" spans="1:79" x14ac:dyDescent="0.2">
      <c r="A126" s="104"/>
      <c r="B126" s="106"/>
      <c r="C126" s="106"/>
      <c r="D126" s="107"/>
      <c r="E126" s="107"/>
      <c r="F126" s="150"/>
      <c r="G126" s="154"/>
      <c r="H126" s="109"/>
      <c r="I126" s="104"/>
      <c r="J126" s="105"/>
      <c r="K126" s="106"/>
      <c r="L126" s="107"/>
      <c r="M126" s="107"/>
      <c r="N126" s="108"/>
      <c r="O126" s="150"/>
      <c r="P126" s="154"/>
      <c r="Q126" s="104"/>
      <c r="R126" s="105"/>
      <c r="S126" s="106"/>
      <c r="T126" s="107"/>
      <c r="U126" s="107"/>
      <c r="V126" s="108"/>
      <c r="W126" s="150"/>
      <c r="X126" s="150"/>
      <c r="Y126" s="104"/>
      <c r="Z126" s="157"/>
      <c r="AA126" s="106"/>
      <c r="AB126" s="107"/>
      <c r="AC126" s="107"/>
      <c r="AD126" s="108"/>
      <c r="AE126" s="109"/>
      <c r="AF126" s="150"/>
      <c r="AG126" s="159"/>
      <c r="AH126" s="160"/>
      <c r="AI126" s="161"/>
      <c r="AJ126" s="107"/>
      <c r="AK126" s="107"/>
      <c r="AL126" s="108"/>
      <c r="AM126" s="109"/>
      <c r="AN126" s="109"/>
      <c r="AO126" s="104"/>
      <c r="AP126" s="105"/>
      <c r="AQ126" s="106"/>
      <c r="AR126" s="107"/>
      <c r="AS126" s="107"/>
      <c r="AT126" s="108"/>
      <c r="AU126" s="107"/>
      <c r="AV126" s="107"/>
      <c r="AW126" s="104"/>
      <c r="AX126" s="105"/>
      <c r="AY126" s="106"/>
      <c r="AZ126" s="107"/>
      <c r="BA126" s="107"/>
      <c r="BB126" s="108"/>
      <c r="BC126" s="109"/>
      <c r="BD126" s="109"/>
      <c r="BE126" s="104"/>
      <c r="BF126" s="105"/>
      <c r="BG126" s="106"/>
      <c r="BH126" s="107"/>
      <c r="BI126" s="107"/>
      <c r="BJ126" s="108"/>
      <c r="BK126" s="109"/>
      <c r="BL126" s="109"/>
      <c r="BM126" s="104"/>
      <c r="BN126" s="105"/>
      <c r="BO126" s="106"/>
      <c r="BP126" s="107"/>
      <c r="BQ126" s="107"/>
      <c r="BR126" s="108"/>
      <c r="BS126" s="109"/>
      <c r="BT126" s="109"/>
      <c r="BU126" s="104"/>
      <c r="BV126" s="105"/>
      <c r="BW126" s="106"/>
      <c r="BX126" s="107"/>
      <c r="BY126" s="107"/>
      <c r="BZ126" s="108"/>
      <c r="CA126" s="109"/>
    </row>
    <row r="127" spans="1:79" x14ac:dyDescent="0.2">
      <c r="A127" s="104"/>
      <c r="B127" s="106"/>
      <c r="C127" s="106"/>
      <c r="D127" s="107"/>
      <c r="E127" s="107"/>
      <c r="F127" s="150"/>
      <c r="G127" s="154"/>
      <c r="H127" s="109"/>
      <c r="I127" s="104"/>
      <c r="J127" s="105"/>
      <c r="K127" s="106"/>
      <c r="L127" s="107"/>
      <c r="M127" s="107"/>
      <c r="N127" s="108"/>
      <c r="O127" s="150"/>
      <c r="P127" s="154"/>
      <c r="Q127" s="104"/>
      <c r="R127" s="105"/>
      <c r="S127" s="106"/>
      <c r="T127" s="107"/>
      <c r="U127" s="107"/>
      <c r="V127" s="108"/>
      <c r="W127" s="150"/>
      <c r="X127" s="150"/>
      <c r="Y127" s="104"/>
      <c r="Z127" s="157"/>
      <c r="AA127" s="106"/>
      <c r="AB127" s="107"/>
      <c r="AC127" s="107"/>
      <c r="AD127" s="108"/>
      <c r="AE127" s="109"/>
      <c r="AF127" s="150"/>
      <c r="AG127" s="159"/>
      <c r="AH127" s="160"/>
      <c r="AI127" s="161"/>
      <c r="AJ127" s="107"/>
      <c r="AK127" s="107"/>
      <c r="AL127" s="108"/>
      <c r="AM127" s="109"/>
      <c r="AN127" s="109"/>
      <c r="AO127" s="104"/>
      <c r="AP127" s="105"/>
      <c r="AQ127" s="106"/>
      <c r="AR127" s="107"/>
      <c r="AS127" s="107"/>
      <c r="AT127" s="108"/>
      <c r="AU127" s="107"/>
      <c r="AV127" s="107"/>
      <c r="AW127" s="104"/>
      <c r="AX127" s="105"/>
      <c r="AY127" s="106"/>
      <c r="AZ127" s="107"/>
      <c r="BA127" s="107"/>
      <c r="BB127" s="108"/>
      <c r="BC127" s="109"/>
      <c r="BD127" s="109"/>
      <c r="BE127" s="104"/>
      <c r="BF127" s="105"/>
      <c r="BG127" s="106"/>
      <c r="BH127" s="107"/>
      <c r="BI127" s="107"/>
      <c r="BJ127" s="108"/>
      <c r="BK127" s="109"/>
      <c r="BL127" s="109"/>
      <c r="BM127" s="104"/>
      <c r="BN127" s="105"/>
      <c r="BO127" s="106"/>
      <c r="BP127" s="107"/>
      <c r="BQ127" s="107"/>
      <c r="BR127" s="108"/>
      <c r="BS127" s="109"/>
      <c r="BT127" s="109"/>
      <c r="BU127" s="104"/>
      <c r="BV127" s="105"/>
      <c r="BW127" s="106"/>
      <c r="BX127" s="107"/>
      <c r="BY127" s="107"/>
      <c r="BZ127" s="108"/>
      <c r="CA127" s="109"/>
    </row>
    <row r="128" spans="1:79" x14ac:dyDescent="0.2">
      <c r="I128" s="104"/>
      <c r="J128" s="105"/>
      <c r="K128" s="106"/>
      <c r="L128" s="107"/>
      <c r="M128" s="107"/>
      <c r="N128" s="108"/>
      <c r="O128" s="150"/>
      <c r="P128" s="154"/>
      <c r="Q128" s="104"/>
      <c r="R128" s="105"/>
      <c r="S128" s="106"/>
      <c r="T128" s="107"/>
      <c r="U128" s="107"/>
      <c r="V128" s="108"/>
      <c r="W128" s="150"/>
      <c r="X128" s="150"/>
      <c r="Y128" s="104"/>
      <c r="Z128" s="157"/>
      <c r="AA128" s="106"/>
      <c r="AB128" s="107"/>
      <c r="AC128" s="107"/>
      <c r="AD128" s="108"/>
      <c r="AE128" s="109"/>
      <c r="AF128" s="150"/>
      <c r="AG128" s="159"/>
      <c r="AH128" s="160"/>
      <c r="AI128" s="161"/>
      <c r="AJ128" s="107"/>
      <c r="AK128" s="107"/>
      <c r="AL128" s="108"/>
      <c r="AM128" s="109"/>
      <c r="AN128" s="109"/>
      <c r="AO128" s="104"/>
      <c r="AP128" s="105"/>
      <c r="AQ128" s="106"/>
      <c r="AR128" s="107"/>
      <c r="AS128" s="107"/>
      <c r="AT128" s="108"/>
      <c r="AU128" s="107"/>
      <c r="AV128" s="107"/>
      <c r="AW128" s="104"/>
      <c r="AX128" s="105"/>
      <c r="AY128" s="106"/>
      <c r="AZ128" s="107"/>
      <c r="BA128" s="107"/>
      <c r="BB128" s="108"/>
      <c r="BC128" s="109"/>
      <c r="BD128" s="109"/>
      <c r="BE128" s="104"/>
      <c r="BF128" s="105"/>
      <c r="BG128" s="106"/>
      <c r="BH128" s="107"/>
      <c r="BI128" s="107"/>
      <c r="BJ128" s="108"/>
      <c r="BK128" s="109"/>
      <c r="BL128" s="109"/>
      <c r="BM128" s="104"/>
      <c r="BN128" s="105"/>
      <c r="BO128" s="106"/>
      <c r="BP128" s="107"/>
      <c r="BQ128" s="107"/>
      <c r="BR128" s="108"/>
      <c r="BS128" s="109"/>
      <c r="BT128" s="109"/>
      <c r="BU128" s="104"/>
      <c r="BV128" s="105"/>
      <c r="BW128" s="106"/>
      <c r="BX128" s="107"/>
      <c r="BY128" s="107"/>
      <c r="BZ128" s="108"/>
      <c r="CA128" s="109"/>
    </row>
    <row r="129" spans="17:79" x14ac:dyDescent="0.2">
      <c r="Q129" s="104"/>
      <c r="R129" s="105"/>
      <c r="S129" s="106"/>
      <c r="T129" s="107"/>
      <c r="U129" s="107"/>
      <c r="V129" s="108"/>
      <c r="W129" s="150"/>
      <c r="X129" s="150"/>
      <c r="Y129" s="104"/>
      <c r="Z129" s="157"/>
      <c r="AA129" s="106"/>
      <c r="AB129" s="107"/>
      <c r="AC129" s="107"/>
      <c r="AD129" s="108"/>
      <c r="AE129" s="109"/>
      <c r="AF129" s="150"/>
      <c r="AG129" s="159"/>
      <c r="AH129" s="160"/>
      <c r="AI129" s="161"/>
      <c r="AJ129" s="107"/>
      <c r="AK129" s="107"/>
      <c r="AL129" s="108"/>
      <c r="AM129" s="109"/>
      <c r="AN129" s="109"/>
      <c r="AO129" s="104"/>
      <c r="AP129" s="105"/>
      <c r="AQ129" s="106"/>
      <c r="AR129" s="107"/>
      <c r="AS129" s="107"/>
      <c r="AT129" s="108"/>
      <c r="AU129" s="107"/>
      <c r="AV129" s="107"/>
      <c r="AW129" s="104"/>
      <c r="AX129" s="105"/>
      <c r="AY129" s="106"/>
      <c r="AZ129" s="107"/>
      <c r="BA129" s="107"/>
      <c r="BB129" s="108"/>
      <c r="BC129" s="109"/>
      <c r="BD129" s="109"/>
      <c r="BE129" s="104"/>
      <c r="BF129" s="105"/>
      <c r="BG129" s="106"/>
      <c r="BH129" s="107"/>
      <c r="BI129" s="107"/>
      <c r="BJ129" s="108"/>
      <c r="BK129" s="109"/>
      <c r="BL129" s="109"/>
      <c r="BM129" s="104"/>
      <c r="BN129" s="105"/>
      <c r="BO129" s="106"/>
      <c r="BP129" s="107"/>
      <c r="BQ129" s="107"/>
      <c r="BR129" s="108"/>
      <c r="BS129" s="109"/>
      <c r="BT129" s="109"/>
      <c r="BU129" s="104"/>
      <c r="BV129" s="105"/>
      <c r="BW129" s="106"/>
      <c r="BX129" s="107"/>
      <c r="BY129" s="107"/>
      <c r="BZ129" s="108"/>
      <c r="CA129" s="109"/>
    </row>
    <row r="130" spans="17:79" x14ac:dyDescent="0.2">
      <c r="Y130" s="104"/>
      <c r="Z130" s="157"/>
      <c r="AA130" s="106"/>
      <c r="AB130" s="107"/>
      <c r="AC130" s="107"/>
      <c r="AD130" s="108"/>
      <c r="AE130" s="109"/>
      <c r="AF130" s="150"/>
      <c r="AG130" s="159"/>
      <c r="AH130" s="160"/>
      <c r="AI130" s="161"/>
      <c r="AJ130" s="107"/>
      <c r="AK130" s="107"/>
      <c r="AL130" s="108"/>
      <c r="AM130" s="109"/>
      <c r="AN130" s="109"/>
      <c r="AO130" s="104"/>
      <c r="AP130" s="105"/>
      <c r="AQ130" s="106"/>
      <c r="AR130" s="107"/>
      <c r="AS130" s="107"/>
      <c r="AT130" s="108"/>
      <c r="AU130" s="107"/>
      <c r="AV130" s="107"/>
      <c r="AW130" s="104"/>
      <c r="AX130" s="105"/>
      <c r="AY130" s="106"/>
      <c r="AZ130" s="107"/>
      <c r="BA130" s="107"/>
      <c r="BB130" s="108"/>
      <c r="BC130" s="109"/>
      <c r="BD130" s="109"/>
      <c r="BE130" s="104"/>
      <c r="BF130" s="105"/>
      <c r="BG130" s="106"/>
      <c r="BH130" s="107"/>
      <c r="BI130" s="107"/>
      <c r="BJ130" s="108"/>
      <c r="BK130" s="109"/>
      <c r="BL130" s="109"/>
      <c r="BM130" s="104"/>
      <c r="BN130" s="105"/>
      <c r="BO130" s="106"/>
      <c r="BP130" s="107"/>
      <c r="BQ130" s="107"/>
      <c r="BR130" s="108"/>
      <c r="BS130" s="109"/>
      <c r="BT130" s="109"/>
      <c r="BU130" s="104"/>
      <c r="BV130" s="105"/>
      <c r="BW130" s="106"/>
      <c r="BX130" s="107"/>
      <c r="BY130" s="107"/>
      <c r="BZ130" s="108"/>
      <c r="CA130" s="109"/>
    </row>
    <row r="131" spans="17:79" x14ac:dyDescent="0.2">
      <c r="AO131" s="104"/>
      <c r="AP131" s="105"/>
      <c r="AQ131" s="106"/>
      <c r="AR131" s="107"/>
      <c r="AS131" s="107"/>
      <c r="AT131" s="108"/>
      <c r="AU131" s="107"/>
      <c r="AV131" s="107"/>
      <c r="AW131" s="104"/>
      <c r="AX131" s="105"/>
      <c r="AY131" s="106"/>
      <c r="AZ131" s="107"/>
      <c r="BA131" s="107"/>
      <c r="BB131" s="108"/>
      <c r="BC131" s="109"/>
      <c r="BD131" s="109"/>
      <c r="BE131" s="104"/>
      <c r="BF131" s="105"/>
      <c r="BG131" s="106"/>
      <c r="BH131" s="107"/>
      <c r="BI131" s="107"/>
      <c r="BJ131" s="108"/>
      <c r="BK131" s="109"/>
      <c r="BL131" s="109"/>
      <c r="BM131" s="104"/>
      <c r="BN131" s="105"/>
      <c r="BO131" s="106"/>
      <c r="BP131" s="107"/>
      <c r="BQ131" s="107"/>
      <c r="BR131" s="108"/>
      <c r="BS131" s="109"/>
      <c r="BT131" s="109"/>
      <c r="BU131" s="104"/>
      <c r="BV131" s="105"/>
      <c r="BW131" s="106"/>
      <c r="BX131" s="107"/>
      <c r="BY131" s="107"/>
      <c r="BZ131" s="108"/>
      <c r="CA131" s="109"/>
    </row>
    <row r="132" spans="17:79" x14ac:dyDescent="0.2">
      <c r="AW132" s="104"/>
      <c r="AX132" s="105"/>
      <c r="AY132" s="106"/>
      <c r="AZ132" s="107"/>
      <c r="BA132" s="107"/>
      <c r="BB132" s="108"/>
      <c r="BC132" s="109"/>
      <c r="BD132" s="109"/>
      <c r="BE132" s="104"/>
      <c r="BF132" s="105"/>
      <c r="BG132" s="106"/>
      <c r="BH132" s="107"/>
      <c r="BI132" s="107"/>
      <c r="BJ132" s="108"/>
      <c r="BK132" s="109"/>
      <c r="BL132" s="109"/>
      <c r="BM132" s="104"/>
      <c r="BN132" s="105"/>
      <c r="BO132" s="106"/>
      <c r="BP132" s="107"/>
      <c r="BQ132" s="107"/>
      <c r="BR132" s="108"/>
      <c r="BS132" s="109"/>
      <c r="BT132" s="109"/>
      <c r="BU132" s="104"/>
      <c r="BV132" s="105"/>
      <c r="BW132" s="106"/>
      <c r="BX132" s="107"/>
      <c r="BY132" s="107"/>
      <c r="BZ132" s="108"/>
      <c r="CA132" s="109"/>
    </row>
    <row r="133" spans="17:79" x14ac:dyDescent="0.2">
      <c r="BE133" s="104"/>
      <c r="BF133" s="105"/>
      <c r="BG133" s="106"/>
      <c r="BH133" s="107"/>
      <c r="BI133" s="107"/>
      <c r="BJ133" s="108"/>
      <c r="BK133" s="109"/>
      <c r="BL133" s="109"/>
      <c r="BM133" s="104"/>
      <c r="BN133" s="105"/>
      <c r="BO133" s="106"/>
      <c r="BP133" s="107"/>
      <c r="BQ133" s="107"/>
      <c r="BR133" s="108"/>
      <c r="BS133" s="109"/>
      <c r="BT133" s="109"/>
      <c r="BU133" s="104"/>
      <c r="BV133" s="105"/>
      <c r="BW133" s="106"/>
      <c r="BX133" s="107"/>
      <c r="BY133" s="107"/>
      <c r="BZ133" s="108"/>
      <c r="CA133" s="10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GR160"/>
  <sheetViews>
    <sheetView workbookViewId="0"/>
  </sheetViews>
  <sheetFormatPr baseColWidth="10" defaultRowHeight="14.25" x14ac:dyDescent="0.2"/>
  <cols>
    <col min="1" max="1" width="11" customWidth="1"/>
    <col min="3" max="3" width="14" customWidth="1"/>
  </cols>
  <sheetData>
    <row r="2" spans="1:200" x14ac:dyDescent="0.2">
      <c r="A2" s="98"/>
      <c r="B2" s="98"/>
      <c r="C2" s="98"/>
      <c r="D2" s="98"/>
      <c r="E2" s="98"/>
      <c r="F2" s="98"/>
      <c r="G2" s="98"/>
    </row>
    <row r="3" spans="1:200" x14ac:dyDescent="0.2">
      <c r="A3" s="99"/>
      <c r="B3" s="100"/>
      <c r="C3" s="100"/>
      <c r="D3" s="101"/>
      <c r="E3" s="101"/>
      <c r="F3" s="102"/>
      <c r="G3" s="103"/>
      <c r="M3" s="12"/>
      <c r="R3" s="12"/>
      <c r="AC3" s="12"/>
      <c r="AD3" s="12"/>
      <c r="AF3" s="12"/>
      <c r="AG3" s="12"/>
      <c r="AM3" s="12"/>
      <c r="AR3" s="12"/>
      <c r="BC3" s="12"/>
      <c r="BD3" s="12"/>
      <c r="BF3" s="12"/>
      <c r="BG3" s="12"/>
      <c r="BM3" s="12"/>
      <c r="BR3" s="12"/>
      <c r="CC3" s="12"/>
      <c r="CD3" s="12"/>
      <c r="CF3" s="12"/>
      <c r="CG3" s="12"/>
      <c r="CM3" s="12"/>
      <c r="CR3" s="12"/>
      <c r="DC3" s="12"/>
      <c r="DD3" s="12"/>
      <c r="DF3" s="12"/>
      <c r="DG3" s="12"/>
      <c r="DM3" s="12"/>
      <c r="DR3" s="12"/>
      <c r="EC3" s="12"/>
      <c r="ED3" s="12"/>
      <c r="EF3" s="12"/>
      <c r="EG3" s="12"/>
      <c r="EM3" s="12"/>
      <c r="ER3" s="12"/>
      <c r="FC3" s="12"/>
      <c r="FD3" s="12"/>
      <c r="FF3" s="12"/>
      <c r="FG3" s="12"/>
      <c r="FM3" s="12"/>
      <c r="FR3" s="12"/>
      <c r="GC3" s="12"/>
      <c r="GD3" s="12"/>
      <c r="GF3" s="12"/>
      <c r="GG3" s="12"/>
      <c r="GM3" s="12"/>
      <c r="GR3" s="12"/>
    </row>
    <row r="4" spans="1:200" x14ac:dyDescent="0.2">
      <c r="A4" s="104"/>
      <c r="B4" s="105"/>
      <c r="C4" s="106"/>
      <c r="D4" s="107"/>
      <c r="E4" s="107"/>
      <c r="F4" s="108"/>
      <c r="G4" s="109"/>
      <c r="M4" s="12"/>
      <c r="R4" s="12"/>
      <c r="AC4" s="12"/>
      <c r="AD4" s="12"/>
      <c r="AF4" s="12"/>
      <c r="AG4" s="12"/>
      <c r="AM4" s="12"/>
      <c r="AR4" s="12"/>
      <c r="BC4" s="12"/>
      <c r="BD4" s="12"/>
      <c r="BF4" s="12"/>
      <c r="BG4" s="12"/>
      <c r="BM4" s="12"/>
      <c r="BR4" s="12"/>
      <c r="CC4" s="12"/>
      <c r="CD4" s="12"/>
      <c r="CF4" s="12"/>
      <c r="CG4" s="12"/>
      <c r="CM4" s="12"/>
      <c r="CR4" s="12"/>
      <c r="DC4" s="12"/>
      <c r="DD4" s="12"/>
      <c r="DF4" s="12"/>
      <c r="DG4" s="12"/>
      <c r="DM4" s="12"/>
      <c r="DR4" s="12"/>
      <c r="EC4" s="12"/>
      <c r="ED4" s="12"/>
      <c r="EF4" s="12"/>
      <c r="EG4" s="12"/>
      <c r="EM4" s="12"/>
      <c r="ER4" s="12"/>
      <c r="FC4" s="12"/>
      <c r="FD4" s="12"/>
      <c r="FF4" s="12"/>
      <c r="FG4" s="12"/>
      <c r="FM4" s="12"/>
      <c r="FR4" s="12"/>
      <c r="GC4" s="12"/>
      <c r="GD4" s="12"/>
      <c r="GF4" s="12"/>
      <c r="GG4" s="12"/>
      <c r="GM4" s="12"/>
      <c r="GR4" s="12"/>
    </row>
    <row r="5" spans="1:200" x14ac:dyDescent="0.2">
      <c r="A5" s="104"/>
      <c r="B5" s="105"/>
      <c r="C5" s="106"/>
      <c r="D5" s="107"/>
      <c r="E5" s="107"/>
      <c r="F5" s="108"/>
      <c r="G5" s="109"/>
      <c r="M5" s="12"/>
      <c r="R5" s="12"/>
      <c r="AC5" s="12"/>
      <c r="AD5" s="12"/>
      <c r="AF5" s="12"/>
      <c r="AG5" s="12"/>
      <c r="AM5" s="12"/>
      <c r="AR5" s="12"/>
      <c r="BC5" s="12"/>
      <c r="BD5" s="12"/>
      <c r="BF5" s="12"/>
      <c r="BG5" s="12"/>
      <c r="BM5" s="12"/>
      <c r="BR5" s="12"/>
      <c r="CC5" s="12"/>
      <c r="CD5" s="12"/>
      <c r="CF5" s="12"/>
      <c r="CG5" s="12"/>
      <c r="CM5" s="12"/>
      <c r="CR5" s="12"/>
      <c r="DC5" s="12"/>
      <c r="DD5" s="12"/>
      <c r="DF5" s="12"/>
      <c r="DG5" s="12"/>
      <c r="DM5" s="12"/>
      <c r="DR5" s="12"/>
      <c r="EC5" s="12"/>
      <c r="ED5" s="12"/>
      <c r="EF5" s="12"/>
      <c r="EG5" s="12"/>
      <c r="EM5" s="12"/>
      <c r="ER5" s="12"/>
      <c r="FC5" s="12"/>
      <c r="FD5" s="12"/>
      <c r="FF5" s="12"/>
      <c r="FG5" s="12"/>
      <c r="FM5" s="12"/>
      <c r="FR5" s="12"/>
      <c r="GC5" s="12"/>
      <c r="GD5" s="12"/>
      <c r="GF5" s="12"/>
      <c r="GG5" s="12"/>
      <c r="GM5" s="12"/>
      <c r="GR5" s="12"/>
    </row>
    <row r="6" spans="1:200" x14ac:dyDescent="0.2">
      <c r="A6" s="104"/>
      <c r="B6" s="105"/>
      <c r="C6" s="106"/>
      <c r="D6" s="107"/>
      <c r="E6" s="107"/>
      <c r="F6" s="108"/>
      <c r="G6" s="109"/>
      <c r="M6" s="12"/>
      <c r="R6" s="12"/>
      <c r="AC6" s="12"/>
      <c r="AD6" s="12"/>
      <c r="AF6" s="12"/>
      <c r="AG6" s="12"/>
      <c r="AM6" s="12"/>
      <c r="AR6" s="12"/>
      <c r="BC6" s="12"/>
      <c r="BD6" s="12"/>
      <c r="BF6" s="12"/>
      <c r="BG6" s="12"/>
      <c r="BM6" s="12"/>
      <c r="BR6" s="12"/>
      <c r="CC6" s="12"/>
      <c r="CD6" s="12"/>
      <c r="CF6" s="12"/>
      <c r="CG6" s="12"/>
      <c r="CM6" s="12"/>
      <c r="CR6" s="12"/>
      <c r="DC6" s="12"/>
      <c r="DD6" s="12"/>
      <c r="DF6" s="12"/>
      <c r="DG6" s="12"/>
      <c r="DM6" s="12"/>
      <c r="DR6" s="12"/>
      <c r="EC6" s="12"/>
      <c r="ED6" s="12"/>
      <c r="EF6" s="12"/>
      <c r="EG6" s="12"/>
      <c r="EM6" s="12"/>
      <c r="ER6" s="12"/>
      <c r="FC6" s="12"/>
      <c r="FD6" s="12"/>
      <c r="FF6" s="12"/>
      <c r="FG6" s="12"/>
      <c r="FM6" s="12"/>
      <c r="FR6" s="12"/>
      <c r="GC6" s="12"/>
      <c r="GD6" s="12"/>
      <c r="GF6" s="12"/>
      <c r="GG6" s="12"/>
      <c r="GM6" s="12"/>
      <c r="GR6" s="12"/>
    </row>
    <row r="7" spans="1:200" x14ac:dyDescent="0.2">
      <c r="A7" s="104"/>
      <c r="B7" s="105"/>
      <c r="C7" s="106"/>
      <c r="D7" s="107"/>
      <c r="E7" s="107"/>
      <c r="F7" s="108"/>
      <c r="G7" s="109"/>
      <c r="M7" s="12"/>
      <c r="R7" s="12"/>
      <c r="AC7" s="12"/>
      <c r="AD7" s="12"/>
      <c r="AF7" s="12"/>
      <c r="AG7" s="12"/>
      <c r="AM7" s="12"/>
      <c r="AR7" s="12"/>
      <c r="BC7" s="12"/>
      <c r="BD7" s="12"/>
      <c r="BF7" s="12"/>
      <c r="BG7" s="12"/>
      <c r="BM7" s="12"/>
      <c r="BR7" s="12"/>
      <c r="CC7" s="12"/>
      <c r="CD7" s="12"/>
      <c r="CF7" s="12"/>
      <c r="CG7" s="12"/>
      <c r="CM7" s="12"/>
      <c r="CR7" s="12"/>
      <c r="DC7" s="12"/>
      <c r="DD7" s="12"/>
      <c r="DF7" s="12"/>
      <c r="DG7" s="12"/>
      <c r="DM7" s="12"/>
      <c r="DR7" s="12"/>
      <c r="EC7" s="12"/>
      <c r="ED7" s="12"/>
      <c r="EF7" s="12"/>
      <c r="EG7" s="12"/>
      <c r="EM7" s="12"/>
      <c r="ER7" s="12"/>
      <c r="FC7" s="12"/>
      <c r="FD7" s="12"/>
      <c r="FF7" s="12"/>
      <c r="FG7" s="12"/>
      <c r="FM7" s="12"/>
      <c r="FR7" s="12"/>
      <c r="GC7" s="12"/>
      <c r="GD7" s="12"/>
      <c r="GF7" s="12"/>
      <c r="GG7" s="12"/>
      <c r="GM7" s="12"/>
      <c r="GR7" s="12"/>
    </row>
    <row r="8" spans="1:200" x14ac:dyDescent="0.2">
      <c r="A8" s="104"/>
      <c r="B8" s="105"/>
      <c r="C8" s="106"/>
      <c r="D8" s="107"/>
      <c r="E8" s="107"/>
      <c r="F8" s="108"/>
      <c r="G8" s="109"/>
      <c r="M8" s="12"/>
      <c r="R8" s="12"/>
      <c r="AC8" s="12"/>
      <c r="AD8" s="12"/>
      <c r="AF8" s="12"/>
      <c r="AG8" s="12"/>
      <c r="AM8" s="12"/>
      <c r="AR8" s="12"/>
      <c r="BC8" s="12"/>
      <c r="BD8" s="12"/>
      <c r="BF8" s="12"/>
      <c r="BG8" s="12"/>
      <c r="BM8" s="12"/>
      <c r="BR8" s="12"/>
      <c r="CC8" s="12"/>
      <c r="CD8" s="12"/>
      <c r="CF8" s="12"/>
      <c r="CG8" s="12"/>
      <c r="CM8" s="12"/>
      <c r="CR8" s="12"/>
      <c r="DC8" s="12"/>
      <c r="DD8" s="12"/>
      <c r="DF8" s="12"/>
      <c r="DG8" s="12"/>
      <c r="DM8" s="12"/>
      <c r="DR8" s="12"/>
      <c r="EC8" s="12"/>
      <c r="ED8" s="12"/>
      <c r="EF8" s="12"/>
      <c r="EG8" s="12"/>
      <c r="EM8" s="12"/>
      <c r="ER8" s="12"/>
      <c r="FC8" s="12"/>
      <c r="FD8" s="12"/>
      <c r="FF8" s="12"/>
      <c r="FG8" s="12"/>
      <c r="FM8" s="12"/>
      <c r="FR8" s="12"/>
      <c r="GC8" s="12"/>
      <c r="GD8" s="12"/>
      <c r="GF8" s="12"/>
      <c r="GG8" s="12"/>
      <c r="GM8" s="12"/>
      <c r="GR8" s="12"/>
    </row>
    <row r="9" spans="1:200" x14ac:dyDescent="0.2">
      <c r="A9" s="104"/>
      <c r="B9" s="105"/>
      <c r="C9" s="106"/>
      <c r="D9" s="107"/>
      <c r="E9" s="107"/>
      <c r="F9" s="108"/>
      <c r="G9" s="109"/>
      <c r="M9" s="12"/>
      <c r="R9" s="12"/>
      <c r="AC9" s="12"/>
      <c r="AD9" s="12"/>
      <c r="AF9" s="12"/>
      <c r="AG9" s="12"/>
      <c r="AM9" s="12"/>
      <c r="AR9" s="12"/>
      <c r="BC9" s="12"/>
      <c r="BD9" s="12"/>
      <c r="BF9" s="12"/>
      <c r="BG9" s="12"/>
      <c r="BM9" s="12"/>
      <c r="BR9" s="12"/>
      <c r="CC9" s="12"/>
      <c r="CD9" s="12"/>
      <c r="CF9" s="12"/>
      <c r="CG9" s="12"/>
      <c r="CM9" s="12"/>
      <c r="CR9" s="12"/>
      <c r="DC9" s="12"/>
      <c r="DD9" s="12"/>
      <c r="DF9" s="12"/>
      <c r="DG9" s="12"/>
      <c r="DM9" s="12"/>
      <c r="DR9" s="12"/>
      <c r="EC9" s="12"/>
      <c r="ED9" s="12"/>
      <c r="EF9" s="12"/>
      <c r="EG9" s="12"/>
      <c r="EM9" s="12"/>
      <c r="ER9" s="12"/>
      <c r="FC9" s="12"/>
      <c r="FD9" s="12"/>
      <c r="FF9" s="12"/>
      <c r="FG9" s="12"/>
      <c r="FM9" s="12"/>
      <c r="FR9" s="12"/>
      <c r="GC9" s="12"/>
      <c r="GD9" s="12"/>
      <c r="GF9" s="12"/>
      <c r="GG9" s="12"/>
      <c r="GM9" s="12"/>
      <c r="GR9" s="12"/>
    </row>
    <row r="10" spans="1:200" x14ac:dyDescent="0.2">
      <c r="A10" s="104"/>
      <c r="B10" s="105"/>
      <c r="C10" s="106"/>
      <c r="D10" s="107"/>
      <c r="E10" s="107"/>
      <c r="F10" s="108"/>
      <c r="G10" s="109"/>
      <c r="M10" s="12"/>
      <c r="R10" s="12"/>
      <c r="AC10" s="12"/>
      <c r="AD10" s="12"/>
      <c r="AF10" s="12"/>
      <c r="AG10" s="12"/>
      <c r="AM10" s="12"/>
      <c r="AR10" s="12"/>
      <c r="BC10" s="12"/>
      <c r="BD10" s="12"/>
      <c r="BF10" s="12"/>
      <c r="BG10" s="12"/>
      <c r="BM10" s="12"/>
      <c r="BR10" s="12"/>
      <c r="CC10" s="12"/>
      <c r="CD10" s="12"/>
      <c r="CF10" s="12"/>
      <c r="CG10" s="12"/>
      <c r="CM10" s="12"/>
      <c r="CR10" s="12"/>
      <c r="DC10" s="12"/>
      <c r="DD10" s="12"/>
      <c r="DF10" s="12"/>
      <c r="DG10" s="12"/>
      <c r="DM10" s="12"/>
      <c r="DR10" s="12"/>
      <c r="EC10" s="12"/>
      <c r="ED10" s="12"/>
      <c r="EF10" s="12"/>
      <c r="EG10" s="12"/>
      <c r="EM10" s="12"/>
      <c r="ER10" s="12"/>
      <c r="FC10" s="12"/>
      <c r="FD10" s="12"/>
      <c r="FF10" s="12"/>
      <c r="FG10" s="12"/>
      <c r="FM10" s="12"/>
      <c r="FR10" s="12"/>
      <c r="GC10" s="12"/>
      <c r="GD10" s="12"/>
      <c r="GF10" s="12"/>
      <c r="GG10" s="12"/>
      <c r="GM10" s="12"/>
      <c r="GR10" s="12"/>
    </row>
    <row r="11" spans="1:200" x14ac:dyDescent="0.2">
      <c r="A11" s="104"/>
      <c r="B11" s="105"/>
      <c r="C11" s="106"/>
      <c r="D11" s="107"/>
      <c r="E11" s="107"/>
      <c r="F11" s="108"/>
      <c r="G11" s="109"/>
      <c r="M11" s="12"/>
      <c r="R11" s="12"/>
      <c r="AC11" s="12"/>
      <c r="AD11" s="12"/>
      <c r="AF11" s="12"/>
      <c r="AG11" s="12"/>
      <c r="AM11" s="12"/>
      <c r="AR11" s="12"/>
      <c r="BC11" s="12"/>
      <c r="BD11" s="12"/>
      <c r="BF11" s="12"/>
      <c r="BG11" s="12"/>
      <c r="BM11" s="12"/>
      <c r="BR11" s="12"/>
      <c r="CC11" s="12"/>
      <c r="CD11" s="12"/>
      <c r="CF11" s="12"/>
      <c r="CG11" s="12"/>
      <c r="CM11" s="12"/>
      <c r="CR11" s="12"/>
      <c r="DC11" s="12"/>
      <c r="DD11" s="12"/>
      <c r="DF11" s="12"/>
      <c r="DG11" s="12"/>
      <c r="DM11" s="12"/>
      <c r="DR11" s="12"/>
      <c r="EC11" s="12"/>
      <c r="ED11" s="12"/>
      <c r="EF11" s="12"/>
      <c r="EG11" s="12"/>
      <c r="EM11" s="12"/>
      <c r="ER11" s="12"/>
      <c r="FC11" s="12"/>
      <c r="FD11" s="12"/>
      <c r="FF11" s="12"/>
      <c r="FG11" s="12"/>
      <c r="FM11" s="12"/>
      <c r="FR11" s="12"/>
      <c r="GC11" s="12"/>
      <c r="GD11" s="12"/>
      <c r="GF11" s="12"/>
      <c r="GG11" s="12"/>
      <c r="GM11" s="12"/>
      <c r="GR11" s="12"/>
    </row>
    <row r="12" spans="1:200" x14ac:dyDescent="0.2">
      <c r="A12" s="104"/>
      <c r="B12" s="105"/>
      <c r="C12" s="106"/>
      <c r="D12" s="107"/>
      <c r="E12" s="107"/>
      <c r="F12" s="108"/>
      <c r="G12" s="109"/>
      <c r="M12" s="12"/>
      <c r="R12" s="12"/>
      <c r="AC12" s="12"/>
      <c r="AD12" s="12"/>
      <c r="AF12" s="12"/>
      <c r="AG12" s="12"/>
      <c r="AM12" s="12"/>
      <c r="AR12" s="12"/>
      <c r="BC12" s="12"/>
      <c r="BD12" s="12"/>
      <c r="BF12" s="12"/>
      <c r="BG12" s="12"/>
      <c r="BM12" s="12"/>
      <c r="BR12" s="12"/>
      <c r="CC12" s="12"/>
      <c r="CD12" s="12"/>
      <c r="CF12" s="12"/>
      <c r="CG12" s="12"/>
      <c r="CM12" s="12"/>
      <c r="CR12" s="12"/>
      <c r="DC12" s="12"/>
      <c r="DD12" s="12"/>
      <c r="DF12" s="12"/>
      <c r="DG12" s="12"/>
      <c r="DM12" s="12"/>
      <c r="DR12" s="12"/>
      <c r="EC12" s="12"/>
      <c r="ED12" s="12"/>
      <c r="EF12" s="12"/>
      <c r="EG12" s="12"/>
      <c r="EM12" s="12"/>
      <c r="ER12" s="12"/>
      <c r="FC12" s="12"/>
      <c r="FD12" s="12"/>
      <c r="FF12" s="12"/>
      <c r="FG12" s="12"/>
      <c r="FM12" s="12"/>
      <c r="FR12" s="12"/>
      <c r="GC12" s="12"/>
      <c r="GD12" s="12"/>
      <c r="GF12" s="12"/>
      <c r="GG12" s="12"/>
      <c r="GM12" s="12"/>
      <c r="GR12" s="12"/>
    </row>
    <row r="13" spans="1:200" x14ac:dyDescent="0.2">
      <c r="A13" s="104"/>
      <c r="B13" s="105"/>
      <c r="C13" s="106"/>
      <c r="D13" s="107"/>
      <c r="E13" s="107"/>
      <c r="F13" s="108"/>
      <c r="G13" s="109"/>
      <c r="M13" s="12"/>
      <c r="R13" s="12"/>
      <c r="AC13" s="12"/>
      <c r="AD13" s="12"/>
      <c r="AF13" s="12"/>
      <c r="AG13" s="12"/>
      <c r="AM13" s="12"/>
      <c r="AR13" s="12"/>
      <c r="BC13" s="12"/>
      <c r="BD13" s="12"/>
      <c r="BF13" s="12"/>
      <c r="BG13" s="12"/>
      <c r="BM13" s="12"/>
      <c r="BR13" s="12"/>
      <c r="CC13" s="12"/>
      <c r="CD13" s="12"/>
      <c r="CF13" s="12"/>
      <c r="CG13" s="12"/>
      <c r="CM13" s="12"/>
      <c r="CR13" s="12"/>
      <c r="DC13" s="12"/>
      <c r="DD13" s="12"/>
      <c r="DF13" s="12"/>
      <c r="DG13" s="12"/>
      <c r="DM13" s="12"/>
      <c r="DR13" s="12"/>
      <c r="EC13" s="12"/>
      <c r="ED13" s="12"/>
      <c r="EF13" s="12"/>
      <c r="EG13" s="12"/>
      <c r="EM13" s="12"/>
      <c r="ER13" s="12"/>
      <c r="FC13" s="12"/>
      <c r="FD13" s="12"/>
      <c r="FF13" s="12"/>
      <c r="FG13" s="12"/>
      <c r="FM13" s="12"/>
      <c r="FR13" s="12"/>
      <c r="GC13" s="12"/>
      <c r="GD13" s="12"/>
      <c r="GF13" s="12"/>
      <c r="GG13" s="12"/>
      <c r="GM13" s="12"/>
      <c r="GR13" s="12"/>
    </row>
    <row r="14" spans="1:200" x14ac:dyDescent="0.2">
      <c r="A14" s="104"/>
      <c r="B14" s="105"/>
      <c r="C14" s="106"/>
      <c r="D14" s="107"/>
      <c r="E14" s="107"/>
      <c r="F14" s="108"/>
      <c r="G14" s="109"/>
      <c r="M14" s="12"/>
      <c r="R14" s="12"/>
      <c r="AC14" s="12"/>
      <c r="AD14" s="12"/>
      <c r="AF14" s="12"/>
      <c r="AG14" s="12"/>
      <c r="AM14" s="12"/>
      <c r="AR14" s="12"/>
      <c r="BC14" s="12"/>
      <c r="BD14" s="12"/>
      <c r="BF14" s="12"/>
      <c r="BG14" s="12"/>
      <c r="BM14" s="12"/>
      <c r="BR14" s="12"/>
      <c r="CC14" s="12"/>
      <c r="CD14" s="12"/>
      <c r="CF14" s="12"/>
      <c r="CG14" s="12"/>
      <c r="CM14" s="12"/>
      <c r="CR14" s="12"/>
      <c r="DC14" s="12"/>
      <c r="DD14" s="12"/>
      <c r="DF14" s="12"/>
      <c r="DG14" s="12"/>
      <c r="DM14" s="12"/>
      <c r="DR14" s="12"/>
      <c r="EC14" s="12"/>
      <c r="ED14" s="12"/>
      <c r="EF14" s="12"/>
      <c r="EG14" s="12"/>
      <c r="EM14" s="12"/>
      <c r="ER14" s="12"/>
      <c r="FC14" s="12"/>
      <c r="FD14" s="12"/>
      <c r="FF14" s="12"/>
      <c r="FG14" s="12"/>
      <c r="FM14" s="12"/>
      <c r="FR14" s="12"/>
      <c r="GC14" s="12"/>
      <c r="GD14" s="12"/>
      <c r="GF14" s="12"/>
      <c r="GG14" s="12"/>
      <c r="GM14" s="12"/>
      <c r="GR14" s="12"/>
    </row>
    <row r="15" spans="1:200" x14ac:dyDescent="0.2">
      <c r="A15" s="104"/>
      <c r="B15" s="105"/>
      <c r="C15" s="106"/>
      <c r="D15" s="107"/>
      <c r="E15" s="107"/>
      <c r="F15" s="108"/>
      <c r="G15" s="109"/>
      <c r="M15" s="12"/>
      <c r="R15" s="12"/>
      <c r="AC15" s="12"/>
      <c r="AD15" s="12"/>
      <c r="AF15" s="12"/>
      <c r="AG15" s="12"/>
      <c r="AM15" s="12"/>
      <c r="AR15" s="12"/>
      <c r="BC15" s="12"/>
      <c r="BD15" s="12"/>
      <c r="BF15" s="12"/>
      <c r="BG15" s="12"/>
      <c r="BM15" s="12"/>
      <c r="BR15" s="12"/>
      <c r="CC15" s="12"/>
      <c r="CD15" s="12"/>
      <c r="CF15" s="12"/>
      <c r="CG15" s="12"/>
      <c r="CM15" s="12"/>
      <c r="CR15" s="12"/>
      <c r="DC15" s="12"/>
      <c r="DD15" s="12"/>
      <c r="DF15" s="12"/>
      <c r="DG15" s="12"/>
      <c r="DM15" s="12"/>
      <c r="DR15" s="12"/>
      <c r="EC15" s="12"/>
      <c r="ED15" s="12"/>
      <c r="EF15" s="12"/>
      <c r="EG15" s="12"/>
      <c r="EM15" s="12"/>
      <c r="ER15" s="12"/>
      <c r="FC15" s="12"/>
      <c r="FD15" s="12"/>
      <c r="FF15" s="12"/>
      <c r="FG15" s="12"/>
      <c r="FM15" s="12"/>
      <c r="FR15" s="12"/>
      <c r="GC15" s="12"/>
      <c r="GD15" s="12"/>
      <c r="GF15" s="12"/>
      <c r="GG15" s="12"/>
      <c r="GM15" s="12"/>
      <c r="GR15" s="12"/>
    </row>
    <row r="16" spans="1:200" x14ac:dyDescent="0.2">
      <c r="A16" s="104"/>
      <c r="B16" s="105"/>
      <c r="C16" s="106"/>
      <c r="D16" s="107"/>
      <c r="E16" s="107"/>
      <c r="F16" s="108"/>
      <c r="G16" s="109"/>
      <c r="M16" s="12"/>
      <c r="R16" s="12"/>
      <c r="AC16" s="12"/>
      <c r="AD16" s="12"/>
      <c r="AF16" s="12"/>
      <c r="AG16" s="12"/>
      <c r="AM16" s="12"/>
      <c r="AR16" s="12"/>
      <c r="BC16" s="12"/>
      <c r="BD16" s="12"/>
      <c r="BF16" s="12"/>
      <c r="BG16" s="12"/>
      <c r="BM16" s="12"/>
      <c r="BR16" s="12"/>
      <c r="CC16" s="12"/>
      <c r="CD16" s="12"/>
      <c r="CF16" s="12"/>
      <c r="CG16" s="12"/>
      <c r="CM16" s="12"/>
      <c r="CR16" s="12"/>
      <c r="DC16" s="12"/>
      <c r="DD16" s="12"/>
      <c r="DF16" s="12"/>
      <c r="DG16" s="12"/>
      <c r="DM16" s="12"/>
      <c r="DR16" s="12"/>
      <c r="EC16" s="12"/>
      <c r="ED16" s="12"/>
      <c r="EF16" s="12"/>
      <c r="EG16" s="12"/>
      <c r="EM16" s="12"/>
      <c r="ER16" s="12"/>
      <c r="FC16" s="12"/>
      <c r="FD16" s="12"/>
      <c r="FF16" s="12"/>
      <c r="FG16" s="12"/>
      <c r="FM16" s="12"/>
      <c r="FR16" s="12"/>
      <c r="GC16" s="12"/>
      <c r="GD16" s="12"/>
      <c r="GF16" s="12"/>
      <c r="GG16" s="12"/>
      <c r="GM16" s="12"/>
      <c r="GR16" s="12"/>
    </row>
    <row r="17" spans="1:200" x14ac:dyDescent="0.2">
      <c r="A17" s="104"/>
      <c r="B17" s="105"/>
      <c r="C17" s="106"/>
      <c r="D17" s="107"/>
      <c r="E17" s="107"/>
      <c r="F17" s="108"/>
      <c r="G17" s="109"/>
      <c r="M17" s="12"/>
      <c r="R17" s="12"/>
      <c r="AC17" s="12"/>
      <c r="AD17" s="12"/>
      <c r="AF17" s="12"/>
      <c r="AG17" s="12"/>
      <c r="AM17" s="12"/>
      <c r="AR17" s="12"/>
      <c r="BC17" s="12"/>
      <c r="BD17" s="12"/>
      <c r="BF17" s="12"/>
      <c r="BG17" s="12"/>
      <c r="BM17" s="12"/>
      <c r="BR17" s="12"/>
      <c r="CC17" s="12"/>
      <c r="CD17" s="12"/>
      <c r="CF17" s="12"/>
      <c r="CG17" s="12"/>
      <c r="CM17" s="12"/>
      <c r="CR17" s="12"/>
      <c r="DC17" s="12"/>
      <c r="DD17" s="12"/>
      <c r="DF17" s="12"/>
      <c r="DG17" s="12"/>
      <c r="DM17" s="12"/>
      <c r="DR17" s="12"/>
      <c r="EC17" s="12"/>
      <c r="ED17" s="12"/>
      <c r="EF17" s="12"/>
      <c r="EG17" s="12"/>
      <c r="EM17" s="12"/>
      <c r="ER17" s="12"/>
      <c r="FC17" s="12"/>
      <c r="FD17" s="12"/>
      <c r="FF17" s="12"/>
      <c r="FG17" s="12"/>
      <c r="FM17" s="12"/>
      <c r="FR17" s="12"/>
      <c r="GC17" s="12"/>
      <c r="GD17" s="12"/>
      <c r="GF17" s="12"/>
      <c r="GG17" s="12"/>
      <c r="GM17" s="12"/>
      <c r="GR17" s="12"/>
    </row>
    <row r="18" spans="1:200" x14ac:dyDescent="0.2">
      <c r="A18" s="104"/>
      <c r="B18" s="105"/>
      <c r="C18" s="106"/>
      <c r="D18" s="107"/>
      <c r="E18" s="107"/>
      <c r="F18" s="108"/>
      <c r="G18" s="109"/>
      <c r="M18" s="12"/>
      <c r="R18" s="12"/>
      <c r="AC18" s="12"/>
      <c r="AD18" s="12"/>
      <c r="AF18" s="12"/>
      <c r="AG18" s="12"/>
      <c r="AM18" s="12"/>
      <c r="AR18" s="12"/>
      <c r="BC18" s="12"/>
      <c r="BD18" s="12"/>
      <c r="BF18" s="12"/>
      <c r="BG18" s="12"/>
      <c r="BM18" s="12"/>
      <c r="BR18" s="12"/>
      <c r="CC18" s="12"/>
      <c r="CD18" s="12"/>
      <c r="CF18" s="12"/>
      <c r="CG18" s="12"/>
      <c r="CM18" s="12"/>
      <c r="CR18" s="12"/>
      <c r="DC18" s="12"/>
      <c r="DD18" s="12"/>
      <c r="DF18" s="12"/>
      <c r="DG18" s="12"/>
      <c r="DM18" s="12"/>
      <c r="DR18" s="12"/>
      <c r="EC18" s="12"/>
      <c r="ED18" s="12"/>
      <c r="EF18" s="12"/>
      <c r="EG18" s="12"/>
      <c r="EM18" s="12"/>
      <c r="ER18" s="12"/>
      <c r="FC18" s="12"/>
      <c r="FD18" s="12"/>
      <c r="FF18" s="12"/>
      <c r="FG18" s="12"/>
      <c r="FM18" s="12"/>
      <c r="FR18" s="12"/>
      <c r="GC18" s="12"/>
      <c r="GD18" s="12"/>
      <c r="GF18" s="12"/>
      <c r="GG18" s="12"/>
      <c r="GM18" s="12"/>
      <c r="GR18" s="12"/>
    </row>
    <row r="19" spans="1:200" x14ac:dyDescent="0.2">
      <c r="A19" s="104"/>
      <c r="B19" s="105"/>
      <c r="C19" s="106"/>
      <c r="D19" s="107"/>
      <c r="E19" s="107"/>
      <c r="F19" s="108"/>
      <c r="G19" s="109"/>
      <c r="M19" s="12"/>
      <c r="R19" s="12"/>
      <c r="AC19" s="12"/>
      <c r="AD19" s="12"/>
      <c r="AF19" s="12"/>
      <c r="AG19" s="12"/>
      <c r="AM19" s="12"/>
      <c r="AR19" s="12"/>
      <c r="BC19" s="12"/>
      <c r="BD19" s="12"/>
      <c r="BF19" s="12"/>
      <c r="BG19" s="12"/>
      <c r="BM19" s="12"/>
      <c r="BR19" s="12"/>
      <c r="CC19" s="12"/>
      <c r="CD19" s="12"/>
      <c r="CF19" s="12"/>
      <c r="CG19" s="12"/>
      <c r="CM19" s="12"/>
      <c r="CR19" s="12"/>
      <c r="DC19" s="12"/>
      <c r="DD19" s="12"/>
      <c r="DF19" s="12"/>
      <c r="DG19" s="12"/>
      <c r="DM19" s="12"/>
      <c r="DR19" s="12"/>
      <c r="EC19" s="12"/>
      <c r="ED19" s="12"/>
      <c r="EF19" s="12"/>
      <c r="EG19" s="12"/>
      <c r="EM19" s="12"/>
      <c r="ER19" s="12"/>
      <c r="FC19" s="12"/>
      <c r="FD19" s="12"/>
      <c r="FF19" s="12"/>
      <c r="FG19" s="12"/>
      <c r="FM19" s="12"/>
      <c r="FR19" s="12"/>
      <c r="GC19" s="12"/>
      <c r="GD19" s="12"/>
      <c r="GF19" s="12"/>
      <c r="GG19" s="12"/>
      <c r="GM19" s="12"/>
      <c r="GR19" s="12"/>
    </row>
    <row r="20" spans="1:200" x14ac:dyDescent="0.2">
      <c r="A20" s="104"/>
      <c r="B20" s="105"/>
      <c r="C20" s="106"/>
      <c r="D20" s="107"/>
      <c r="E20" s="107"/>
      <c r="F20" s="108"/>
      <c r="G20" s="109"/>
      <c r="M20" s="12"/>
      <c r="R20" s="12"/>
      <c r="AC20" s="12"/>
      <c r="AD20" s="12"/>
      <c r="AF20" s="12"/>
      <c r="AG20" s="12"/>
      <c r="AM20" s="12"/>
      <c r="AR20" s="12"/>
      <c r="BC20" s="12"/>
      <c r="BD20" s="12"/>
      <c r="BF20" s="12"/>
      <c r="BG20" s="12"/>
      <c r="BM20" s="12"/>
      <c r="BR20" s="12"/>
      <c r="CC20" s="12"/>
      <c r="CD20" s="12"/>
      <c r="CF20" s="12"/>
      <c r="CG20" s="12"/>
      <c r="CM20" s="12"/>
      <c r="CR20" s="12"/>
      <c r="DC20" s="12"/>
      <c r="DD20" s="12"/>
      <c r="DF20" s="12"/>
      <c r="DG20" s="12"/>
      <c r="DM20" s="12"/>
      <c r="DR20" s="12"/>
      <c r="EC20" s="12"/>
      <c r="ED20" s="12"/>
      <c r="EF20" s="12"/>
      <c r="EG20" s="12"/>
      <c r="EM20" s="12"/>
      <c r="ER20" s="12"/>
      <c r="FC20" s="12"/>
      <c r="FD20" s="12"/>
      <c r="FF20" s="12"/>
      <c r="FG20" s="12"/>
      <c r="FM20" s="12"/>
      <c r="FR20" s="12"/>
      <c r="GC20" s="12"/>
      <c r="GD20" s="12"/>
      <c r="GF20" s="12"/>
      <c r="GG20" s="12"/>
      <c r="GM20" s="12"/>
      <c r="GR20" s="12"/>
    </row>
    <row r="21" spans="1:200" x14ac:dyDescent="0.2">
      <c r="A21" s="104"/>
      <c r="B21" s="105"/>
      <c r="C21" s="106"/>
      <c r="D21" s="107"/>
      <c r="E21" s="107"/>
      <c r="F21" s="108"/>
      <c r="G21" s="109"/>
      <c r="M21" s="12"/>
      <c r="R21" s="12"/>
      <c r="AC21" s="12"/>
      <c r="AD21" s="12"/>
      <c r="AF21" s="12"/>
      <c r="AG21" s="12"/>
      <c r="AM21" s="12"/>
      <c r="AR21" s="12"/>
      <c r="BC21" s="12"/>
      <c r="BD21" s="12"/>
      <c r="BF21" s="12"/>
      <c r="BG21" s="12"/>
      <c r="BM21" s="12"/>
      <c r="BR21" s="12"/>
      <c r="CC21" s="12"/>
      <c r="CD21" s="12"/>
      <c r="CF21" s="12"/>
      <c r="CG21" s="12"/>
      <c r="CM21" s="12"/>
      <c r="CR21" s="12"/>
      <c r="DC21" s="12"/>
      <c r="DD21" s="12"/>
      <c r="DF21" s="12"/>
      <c r="DG21" s="12"/>
      <c r="DM21" s="12"/>
      <c r="DR21" s="12"/>
      <c r="EC21" s="12"/>
      <c r="ED21" s="12"/>
      <c r="EF21" s="12"/>
      <c r="EG21" s="12"/>
      <c r="EM21" s="12"/>
      <c r="ER21" s="12"/>
      <c r="FC21" s="12"/>
      <c r="FD21" s="12"/>
      <c r="FF21" s="12"/>
      <c r="FG21" s="12"/>
      <c r="FM21" s="12"/>
      <c r="FR21" s="12"/>
      <c r="GC21" s="12"/>
      <c r="GD21" s="12"/>
      <c r="GF21" s="12"/>
      <c r="GG21" s="12"/>
      <c r="GM21" s="12"/>
      <c r="GR21" s="12"/>
    </row>
    <row r="22" spans="1:200" x14ac:dyDescent="0.2">
      <c r="A22" s="104"/>
      <c r="B22" s="105"/>
      <c r="C22" s="106"/>
      <c r="D22" s="107"/>
      <c r="E22" s="107"/>
      <c r="F22" s="108"/>
      <c r="G22" s="109"/>
      <c r="M22" s="12"/>
      <c r="R22" s="12"/>
      <c r="AC22" s="12"/>
      <c r="AD22" s="12"/>
      <c r="AF22" s="12"/>
      <c r="AG22" s="12"/>
      <c r="AM22" s="12"/>
      <c r="AR22" s="12"/>
      <c r="BC22" s="12"/>
      <c r="BD22" s="12"/>
      <c r="BF22" s="12"/>
      <c r="BG22" s="12"/>
      <c r="BM22" s="12"/>
      <c r="BR22" s="12"/>
      <c r="CC22" s="12"/>
      <c r="CD22" s="12"/>
      <c r="CF22" s="12"/>
      <c r="CG22" s="12"/>
      <c r="CM22" s="12"/>
      <c r="CR22" s="12"/>
      <c r="DC22" s="12"/>
      <c r="DD22" s="12"/>
      <c r="DF22" s="12"/>
      <c r="DG22" s="12"/>
      <c r="DM22" s="12"/>
      <c r="DR22" s="12"/>
      <c r="EC22" s="12"/>
      <c r="ED22" s="12"/>
      <c r="EF22" s="12"/>
      <c r="EG22" s="12"/>
      <c r="EM22" s="12"/>
      <c r="ER22" s="12"/>
      <c r="FC22" s="12"/>
      <c r="FD22" s="12"/>
      <c r="FF22" s="12"/>
      <c r="FG22" s="12"/>
      <c r="FM22" s="12"/>
      <c r="FR22" s="12"/>
      <c r="GC22" s="12"/>
      <c r="GD22" s="12"/>
      <c r="GF22" s="12"/>
      <c r="GG22" s="12"/>
      <c r="GM22" s="12"/>
      <c r="GR22" s="12"/>
    </row>
    <row r="23" spans="1:200" x14ac:dyDescent="0.2">
      <c r="A23" s="104"/>
      <c r="B23" s="105"/>
      <c r="C23" s="106"/>
      <c r="D23" s="107"/>
      <c r="E23" s="107"/>
      <c r="F23" s="108"/>
      <c r="G23" s="109"/>
      <c r="M23" s="12"/>
      <c r="R23" s="12"/>
      <c r="AC23" s="12"/>
      <c r="AD23" s="12"/>
      <c r="AF23" s="12"/>
      <c r="AG23" s="12"/>
      <c r="AM23" s="12"/>
      <c r="AR23" s="12"/>
      <c r="BC23" s="12"/>
      <c r="BD23" s="12"/>
      <c r="BF23" s="12"/>
      <c r="BG23" s="12"/>
      <c r="BM23" s="12"/>
      <c r="BR23" s="12"/>
      <c r="CC23" s="12"/>
      <c r="CD23" s="12"/>
      <c r="CF23" s="12"/>
      <c r="CG23" s="12"/>
      <c r="CM23" s="12"/>
      <c r="CR23" s="12"/>
      <c r="DC23" s="12"/>
      <c r="DD23" s="12"/>
      <c r="DF23" s="12"/>
      <c r="DG23" s="12"/>
      <c r="DM23" s="12"/>
      <c r="DR23" s="12"/>
      <c r="EC23" s="12"/>
      <c r="ED23" s="12"/>
      <c r="EF23" s="12"/>
      <c r="EG23" s="12"/>
      <c r="EM23" s="12"/>
      <c r="ER23" s="12"/>
      <c r="FC23" s="12"/>
      <c r="FD23" s="12"/>
      <c r="FF23" s="12"/>
      <c r="FG23" s="12"/>
      <c r="FM23" s="12"/>
      <c r="FR23" s="12"/>
      <c r="GC23" s="12"/>
      <c r="GD23" s="12"/>
      <c r="GF23" s="12"/>
      <c r="GG23" s="12"/>
      <c r="GM23" s="12"/>
      <c r="GR23" s="12"/>
    </row>
    <row r="24" spans="1:200" x14ac:dyDescent="0.2">
      <c r="A24" s="104"/>
      <c r="B24" s="105"/>
      <c r="C24" s="106"/>
      <c r="D24" s="107"/>
      <c r="E24" s="107"/>
      <c r="F24" s="108"/>
      <c r="G24" s="109"/>
      <c r="M24" s="12"/>
      <c r="R24" s="12"/>
      <c r="AC24" s="12"/>
      <c r="AD24" s="12"/>
      <c r="AF24" s="12"/>
      <c r="AG24" s="12"/>
      <c r="AM24" s="12"/>
      <c r="AR24" s="12"/>
      <c r="BC24" s="12"/>
      <c r="BD24" s="12"/>
      <c r="BF24" s="12"/>
      <c r="BG24" s="12"/>
      <c r="BM24" s="12"/>
      <c r="BR24" s="12"/>
      <c r="CC24" s="12"/>
      <c r="CD24" s="12"/>
      <c r="CF24" s="12"/>
      <c r="CG24" s="12"/>
      <c r="CM24" s="12"/>
      <c r="CR24" s="12"/>
      <c r="DC24" s="12"/>
      <c r="DD24" s="12"/>
      <c r="DF24" s="12"/>
      <c r="DG24" s="12"/>
      <c r="DM24" s="12"/>
      <c r="DR24" s="12"/>
      <c r="EC24" s="12"/>
      <c r="ED24" s="12"/>
      <c r="EF24" s="12"/>
      <c r="EG24" s="12"/>
      <c r="EM24" s="12"/>
      <c r="ER24" s="12"/>
      <c r="FC24" s="12"/>
      <c r="FD24" s="12"/>
      <c r="FF24" s="12"/>
      <c r="FG24" s="12"/>
      <c r="FM24" s="12"/>
      <c r="FR24" s="12"/>
      <c r="GC24" s="12"/>
      <c r="GD24" s="12"/>
      <c r="GF24" s="12"/>
      <c r="GG24" s="12"/>
      <c r="GM24" s="12"/>
      <c r="GR24" s="12"/>
    </row>
    <row r="25" spans="1:200" x14ac:dyDescent="0.2">
      <c r="A25" s="104"/>
      <c r="B25" s="105"/>
      <c r="C25" s="106"/>
      <c r="D25" s="107"/>
      <c r="E25" s="107"/>
      <c r="F25" s="108"/>
      <c r="G25" s="109"/>
      <c r="M25" s="12"/>
      <c r="R25" s="12"/>
      <c r="AC25" s="12"/>
      <c r="AD25" s="12"/>
      <c r="AF25" s="12"/>
      <c r="AG25" s="12"/>
      <c r="AM25" s="12"/>
      <c r="AR25" s="12"/>
      <c r="BC25" s="12"/>
      <c r="BD25" s="12"/>
      <c r="BF25" s="12"/>
      <c r="BG25" s="12"/>
      <c r="BM25" s="12"/>
      <c r="BR25" s="12"/>
      <c r="CC25" s="12"/>
      <c r="CD25" s="12"/>
      <c r="CF25" s="12"/>
      <c r="CG25" s="12"/>
      <c r="CM25" s="12"/>
      <c r="CR25" s="12"/>
      <c r="DC25" s="12"/>
      <c r="DD25" s="12"/>
      <c r="DF25" s="12"/>
      <c r="DG25" s="12"/>
      <c r="DM25" s="12"/>
      <c r="DR25" s="12"/>
      <c r="EC25" s="12"/>
      <c r="ED25" s="12"/>
      <c r="EF25" s="12"/>
      <c r="EG25" s="12"/>
      <c r="EM25" s="12"/>
      <c r="ER25" s="12"/>
      <c r="FC25" s="12"/>
      <c r="FD25" s="12"/>
      <c r="FF25" s="12"/>
      <c r="FG25" s="12"/>
      <c r="FM25" s="12"/>
      <c r="FR25" s="12"/>
      <c r="GC25" s="12"/>
      <c r="GD25" s="12"/>
      <c r="GF25" s="12"/>
      <c r="GG25" s="12"/>
      <c r="GM25" s="12"/>
      <c r="GR25" s="12"/>
    </row>
    <row r="26" spans="1:200" x14ac:dyDescent="0.2">
      <c r="A26" s="104"/>
      <c r="B26" s="105"/>
      <c r="C26" s="106"/>
      <c r="D26" s="107"/>
      <c r="E26" s="107"/>
      <c r="F26" s="108"/>
      <c r="G26" s="109"/>
      <c r="M26" s="12"/>
      <c r="R26" s="12"/>
      <c r="AC26" s="12"/>
      <c r="AD26" s="12"/>
      <c r="AF26" s="12"/>
      <c r="AG26" s="12"/>
      <c r="AM26" s="12"/>
      <c r="AR26" s="12"/>
      <c r="BC26" s="12"/>
      <c r="BD26" s="12"/>
      <c r="BF26" s="12"/>
      <c r="BG26" s="12"/>
      <c r="BM26" s="12"/>
      <c r="BR26" s="12"/>
      <c r="CC26" s="12"/>
      <c r="CD26" s="12"/>
      <c r="CF26" s="12"/>
      <c r="CG26" s="12"/>
      <c r="CM26" s="12"/>
      <c r="CR26" s="12"/>
      <c r="DC26" s="12"/>
      <c r="DD26" s="12"/>
      <c r="DF26" s="12"/>
      <c r="DG26" s="12"/>
      <c r="DM26" s="12"/>
      <c r="DR26" s="12"/>
      <c r="EC26" s="12"/>
      <c r="ED26" s="12"/>
      <c r="EF26" s="12"/>
      <c r="EG26" s="12"/>
      <c r="EM26" s="12"/>
      <c r="ER26" s="12"/>
      <c r="FC26" s="12"/>
      <c r="FD26" s="12"/>
      <c r="FF26" s="12"/>
      <c r="FG26" s="12"/>
      <c r="FM26" s="12"/>
      <c r="FR26" s="12"/>
      <c r="GC26" s="12"/>
      <c r="GD26" s="12"/>
      <c r="GF26" s="12"/>
      <c r="GG26" s="12"/>
      <c r="GM26" s="12"/>
      <c r="GR26" s="12"/>
    </row>
    <row r="27" spans="1:200" x14ac:dyDescent="0.2">
      <c r="A27" s="104"/>
      <c r="B27" s="105"/>
      <c r="C27" s="106"/>
      <c r="D27" s="107"/>
      <c r="E27" s="107"/>
      <c r="F27" s="108"/>
      <c r="G27" s="109"/>
      <c r="M27" s="12"/>
      <c r="R27" s="12"/>
      <c r="AC27" s="12"/>
      <c r="AD27" s="12"/>
      <c r="AF27" s="12"/>
      <c r="AG27" s="12"/>
      <c r="AM27" s="12"/>
      <c r="AR27" s="12"/>
      <c r="BC27" s="12"/>
      <c r="BD27" s="12"/>
      <c r="BF27" s="12"/>
      <c r="BG27" s="12"/>
      <c r="BM27" s="12"/>
      <c r="BR27" s="12"/>
      <c r="CC27" s="12"/>
      <c r="CD27" s="12"/>
      <c r="CF27" s="12"/>
      <c r="CG27" s="12"/>
      <c r="CM27" s="12"/>
      <c r="CR27" s="12"/>
      <c r="DC27" s="12"/>
      <c r="DD27" s="12"/>
      <c r="DF27" s="12"/>
      <c r="DG27" s="12"/>
      <c r="DM27" s="12"/>
      <c r="DR27" s="12"/>
      <c r="EC27" s="12"/>
      <c r="ED27" s="12"/>
      <c r="EF27" s="12"/>
      <c r="EG27" s="12"/>
      <c r="EM27" s="12"/>
      <c r="ER27" s="12"/>
      <c r="FC27" s="12"/>
      <c r="FD27" s="12"/>
      <c r="FF27" s="12"/>
      <c r="FG27" s="12"/>
      <c r="FM27" s="12"/>
      <c r="FR27" s="12"/>
      <c r="GC27" s="12"/>
      <c r="GD27" s="12"/>
      <c r="GF27" s="12"/>
      <c r="GG27" s="12"/>
      <c r="GM27" s="12"/>
      <c r="GR27" s="12"/>
    </row>
    <row r="28" spans="1:200" x14ac:dyDescent="0.2">
      <c r="A28" s="104"/>
      <c r="B28" s="105"/>
      <c r="C28" s="106"/>
      <c r="D28" s="107"/>
      <c r="E28" s="107"/>
      <c r="F28" s="108"/>
      <c r="G28" s="109"/>
      <c r="M28" s="12"/>
      <c r="R28" s="12"/>
      <c r="AC28" s="12"/>
      <c r="AD28" s="12"/>
      <c r="AF28" s="12"/>
      <c r="AG28" s="12"/>
      <c r="AM28" s="12"/>
      <c r="AR28" s="12"/>
      <c r="BC28" s="12"/>
      <c r="BD28" s="12"/>
      <c r="BF28" s="12"/>
      <c r="BG28" s="12"/>
      <c r="BM28" s="12"/>
      <c r="BR28" s="12"/>
      <c r="CC28" s="12"/>
      <c r="CD28" s="12"/>
      <c r="CF28" s="12"/>
      <c r="CG28" s="12"/>
      <c r="CM28" s="12"/>
      <c r="CR28" s="12"/>
      <c r="DC28" s="12"/>
      <c r="DD28" s="12"/>
      <c r="DF28" s="12"/>
      <c r="DG28" s="12"/>
      <c r="DM28" s="12"/>
      <c r="DR28" s="12"/>
      <c r="EC28" s="12"/>
      <c r="ED28" s="12"/>
      <c r="EF28" s="12"/>
      <c r="EG28" s="12"/>
      <c r="EM28" s="12"/>
      <c r="ER28" s="12"/>
      <c r="FC28" s="12"/>
      <c r="FD28" s="12"/>
      <c r="FF28" s="12"/>
      <c r="FG28" s="12"/>
      <c r="FM28" s="12"/>
      <c r="FR28" s="12"/>
      <c r="GC28" s="12"/>
      <c r="GD28" s="12"/>
      <c r="GF28" s="12"/>
      <c r="GG28" s="12"/>
      <c r="GM28" s="12"/>
      <c r="GR28" s="12"/>
    </row>
    <row r="29" spans="1:200" x14ac:dyDescent="0.2">
      <c r="A29" s="104"/>
      <c r="B29" s="105"/>
      <c r="C29" s="106"/>
      <c r="D29" s="107"/>
      <c r="E29" s="107"/>
      <c r="F29" s="108"/>
      <c r="G29" s="109"/>
      <c r="M29" s="12"/>
      <c r="R29" s="12"/>
      <c r="AC29" s="12"/>
      <c r="AD29" s="12"/>
      <c r="AF29" s="12"/>
      <c r="AG29" s="12"/>
      <c r="AM29" s="12"/>
      <c r="AR29" s="12"/>
      <c r="BC29" s="12"/>
      <c r="BD29" s="12"/>
      <c r="BF29" s="12"/>
      <c r="BG29" s="12"/>
      <c r="BM29" s="12"/>
      <c r="BR29" s="12"/>
      <c r="CC29" s="12"/>
      <c r="CD29" s="12"/>
      <c r="CF29" s="12"/>
      <c r="CG29" s="12"/>
      <c r="CM29" s="12"/>
      <c r="CR29" s="12"/>
      <c r="DC29" s="12"/>
      <c r="DD29" s="12"/>
      <c r="DF29" s="12"/>
      <c r="DG29" s="12"/>
      <c r="DM29" s="12"/>
      <c r="DR29" s="12"/>
      <c r="EC29" s="12"/>
      <c r="ED29" s="12"/>
      <c r="EF29" s="12"/>
      <c r="EG29" s="12"/>
      <c r="EM29" s="12"/>
      <c r="ER29" s="12"/>
      <c r="FC29" s="12"/>
      <c r="FD29" s="12"/>
      <c r="FF29" s="12"/>
      <c r="FG29" s="12"/>
      <c r="FM29" s="12"/>
      <c r="FR29" s="12"/>
      <c r="GC29" s="12"/>
      <c r="GD29" s="12"/>
      <c r="GF29" s="12"/>
      <c r="GG29" s="12"/>
      <c r="GM29" s="12"/>
      <c r="GR29" s="12"/>
    </row>
    <row r="30" spans="1:200" x14ac:dyDescent="0.2">
      <c r="A30" s="104"/>
      <c r="B30" s="105"/>
      <c r="C30" s="106"/>
      <c r="D30" s="107"/>
      <c r="E30" s="107"/>
      <c r="F30" s="108"/>
      <c r="G30" s="109"/>
      <c r="M30" s="12"/>
      <c r="R30" s="12"/>
      <c r="AC30" s="12"/>
      <c r="AD30" s="12"/>
      <c r="AF30" s="12"/>
      <c r="AG30" s="12"/>
      <c r="AM30" s="12"/>
      <c r="AR30" s="12"/>
      <c r="BC30" s="12"/>
      <c r="BD30" s="12"/>
      <c r="BF30" s="12"/>
      <c r="BG30" s="12"/>
      <c r="BM30" s="12"/>
      <c r="BR30" s="12"/>
      <c r="CC30" s="12"/>
      <c r="CD30" s="12"/>
      <c r="CF30" s="12"/>
      <c r="CG30" s="12"/>
      <c r="CM30" s="12"/>
      <c r="CR30" s="12"/>
      <c r="DC30" s="12"/>
      <c r="DD30" s="12"/>
      <c r="DF30" s="12"/>
      <c r="DG30" s="12"/>
      <c r="DM30" s="12"/>
      <c r="DR30" s="12"/>
      <c r="EC30" s="12"/>
      <c r="ED30" s="12"/>
      <c r="EF30" s="12"/>
      <c r="EG30" s="12"/>
      <c r="EM30" s="12"/>
      <c r="ER30" s="12"/>
      <c r="FC30" s="12"/>
      <c r="FD30" s="12"/>
      <c r="FF30" s="12"/>
      <c r="FG30" s="12"/>
      <c r="FM30" s="12"/>
      <c r="FR30" s="12"/>
      <c r="GC30" s="12"/>
      <c r="GD30" s="12"/>
      <c r="GF30" s="12"/>
      <c r="GG30" s="12"/>
      <c r="GM30" s="12"/>
      <c r="GR30" s="12"/>
    </row>
    <row r="31" spans="1:200" x14ac:dyDescent="0.2">
      <c r="A31" s="104"/>
      <c r="B31" s="105"/>
      <c r="C31" s="106"/>
      <c r="D31" s="107"/>
      <c r="E31" s="107"/>
      <c r="F31" s="108"/>
      <c r="G31" s="109"/>
      <c r="M31" s="12"/>
      <c r="R31" s="12"/>
      <c r="AC31" s="12"/>
      <c r="AD31" s="12"/>
      <c r="AF31" s="12"/>
      <c r="AG31" s="12"/>
      <c r="AM31" s="12"/>
      <c r="AR31" s="12"/>
      <c r="BC31" s="12"/>
      <c r="BD31" s="12"/>
      <c r="BF31" s="12"/>
      <c r="BG31" s="12"/>
      <c r="BM31" s="12"/>
      <c r="BR31" s="12"/>
      <c r="CC31" s="12"/>
      <c r="CD31" s="12"/>
      <c r="CF31" s="12"/>
      <c r="CG31" s="12"/>
      <c r="CM31" s="12"/>
      <c r="CR31" s="12"/>
      <c r="DC31" s="12"/>
      <c r="DD31" s="12"/>
      <c r="DF31" s="12"/>
      <c r="DG31" s="12"/>
      <c r="DM31" s="12"/>
      <c r="DR31" s="12"/>
      <c r="EC31" s="12"/>
      <c r="ED31" s="12"/>
      <c r="EF31" s="12"/>
      <c r="EG31" s="12"/>
      <c r="EM31" s="12"/>
      <c r="ER31" s="12"/>
      <c r="FC31" s="12"/>
      <c r="FD31" s="12"/>
      <c r="FF31" s="12"/>
      <c r="FG31" s="12"/>
      <c r="FM31" s="12"/>
      <c r="FR31" s="12"/>
      <c r="GC31" s="12"/>
      <c r="GD31" s="12"/>
      <c r="GF31" s="12"/>
      <c r="GG31" s="12"/>
      <c r="GM31" s="12"/>
      <c r="GR31" s="12"/>
    </row>
    <row r="32" spans="1:200" x14ac:dyDescent="0.2">
      <c r="A32" s="104"/>
      <c r="B32" s="105"/>
      <c r="C32" s="106"/>
      <c r="D32" s="107"/>
      <c r="E32" s="107"/>
      <c r="F32" s="108"/>
      <c r="G32" s="109"/>
      <c r="M32" s="12"/>
      <c r="R32" s="12"/>
      <c r="AC32" s="12"/>
      <c r="AD32" s="12"/>
      <c r="AF32" s="12"/>
      <c r="AG32" s="12"/>
      <c r="AM32" s="12"/>
      <c r="AR32" s="12"/>
      <c r="BC32" s="12"/>
      <c r="BD32" s="12"/>
      <c r="BF32" s="12"/>
      <c r="BG32" s="12"/>
      <c r="BM32" s="12"/>
      <c r="BR32" s="12"/>
      <c r="CC32" s="12"/>
      <c r="CD32" s="12"/>
      <c r="CF32" s="12"/>
      <c r="CG32" s="12"/>
      <c r="CM32" s="12"/>
      <c r="CR32" s="12"/>
      <c r="DC32" s="12"/>
      <c r="DD32" s="12"/>
      <c r="DF32" s="12"/>
      <c r="DG32" s="12"/>
      <c r="DM32" s="12"/>
      <c r="DR32" s="12"/>
      <c r="EC32" s="12"/>
      <c r="ED32" s="12"/>
      <c r="EF32" s="12"/>
      <c r="EG32" s="12"/>
      <c r="EM32" s="12"/>
      <c r="ER32" s="12"/>
      <c r="FC32" s="12"/>
      <c r="FD32" s="12"/>
      <c r="FF32" s="12"/>
      <c r="FG32" s="12"/>
      <c r="FM32" s="12"/>
      <c r="FR32" s="12"/>
      <c r="GC32" s="12"/>
      <c r="GD32" s="12"/>
      <c r="GF32" s="12"/>
      <c r="GG32" s="12"/>
      <c r="GM32" s="12"/>
      <c r="GR32" s="12"/>
    </row>
    <row r="33" spans="1:200" x14ac:dyDescent="0.2">
      <c r="A33" s="104"/>
      <c r="B33" s="105"/>
      <c r="C33" s="106"/>
      <c r="D33" s="107"/>
      <c r="E33" s="107"/>
      <c r="F33" s="108"/>
      <c r="G33" s="109"/>
      <c r="M33" s="12"/>
      <c r="R33" s="12"/>
      <c r="AC33" s="12"/>
      <c r="AD33" s="12"/>
      <c r="AF33" s="12"/>
      <c r="AG33" s="12"/>
      <c r="AM33" s="12"/>
      <c r="AR33" s="12"/>
      <c r="BC33" s="12"/>
      <c r="BD33" s="12"/>
      <c r="BF33" s="12"/>
      <c r="BG33" s="12"/>
      <c r="BM33" s="12"/>
      <c r="BR33" s="12"/>
      <c r="CC33" s="12"/>
      <c r="CD33" s="12"/>
      <c r="CF33" s="12"/>
      <c r="CG33" s="12"/>
      <c r="CM33" s="12"/>
      <c r="CR33" s="12"/>
      <c r="DC33" s="12"/>
      <c r="DD33" s="12"/>
      <c r="DF33" s="12"/>
      <c r="DG33" s="12"/>
      <c r="DM33" s="12"/>
      <c r="DR33" s="12"/>
      <c r="EC33" s="12"/>
      <c r="ED33" s="12"/>
      <c r="EF33" s="12"/>
      <c r="EG33" s="12"/>
      <c r="EM33" s="12"/>
      <c r="ER33" s="12"/>
      <c r="FC33" s="12"/>
      <c r="FD33" s="12"/>
      <c r="FF33" s="12"/>
      <c r="FG33" s="12"/>
      <c r="FM33" s="12"/>
      <c r="FR33" s="12"/>
      <c r="GC33" s="12"/>
      <c r="GD33" s="12"/>
      <c r="GF33" s="12"/>
      <c r="GG33" s="12"/>
      <c r="GM33" s="12"/>
      <c r="GR33" s="12"/>
    </row>
    <row r="34" spans="1:200" x14ac:dyDescent="0.2">
      <c r="A34" s="104"/>
      <c r="B34" s="105"/>
      <c r="C34" s="106"/>
      <c r="D34" s="107"/>
      <c r="E34" s="107"/>
      <c r="F34" s="108"/>
      <c r="G34" s="109"/>
      <c r="M34" s="12"/>
      <c r="R34" s="12"/>
      <c r="AC34" s="12"/>
      <c r="AD34" s="12"/>
      <c r="AF34" s="12"/>
      <c r="AG34" s="12"/>
      <c r="AM34" s="12"/>
      <c r="AR34" s="12"/>
      <c r="BC34" s="12"/>
      <c r="BD34" s="12"/>
      <c r="BF34" s="12"/>
      <c r="BG34" s="12"/>
      <c r="BM34" s="12"/>
      <c r="BR34" s="12"/>
      <c r="CC34" s="12"/>
      <c r="CD34" s="12"/>
      <c r="CF34" s="12"/>
      <c r="CG34" s="12"/>
      <c r="CM34" s="12"/>
      <c r="CR34" s="12"/>
      <c r="DC34" s="12"/>
      <c r="DD34" s="12"/>
      <c r="DF34" s="12"/>
      <c r="DG34" s="12"/>
      <c r="DM34" s="12"/>
      <c r="DR34" s="12"/>
      <c r="EC34" s="12"/>
      <c r="ED34" s="12"/>
      <c r="EF34" s="12"/>
      <c r="EG34" s="12"/>
      <c r="EM34" s="12"/>
      <c r="ER34" s="12"/>
      <c r="FC34" s="12"/>
      <c r="FD34" s="12"/>
      <c r="FF34" s="12"/>
      <c r="FG34" s="12"/>
      <c r="FM34" s="12"/>
      <c r="FR34" s="12"/>
      <c r="GC34" s="12"/>
      <c r="GD34" s="12"/>
      <c r="GF34" s="12"/>
      <c r="GG34" s="12"/>
      <c r="GM34" s="12"/>
      <c r="GR34" s="12"/>
    </row>
    <row r="35" spans="1:200" x14ac:dyDescent="0.2">
      <c r="A35" s="104"/>
      <c r="B35" s="105"/>
      <c r="C35" s="106"/>
      <c r="D35" s="107"/>
      <c r="E35" s="107"/>
      <c r="F35" s="108"/>
      <c r="G35" s="109"/>
      <c r="M35" s="12"/>
      <c r="R35" s="12"/>
      <c r="AC35" s="12"/>
      <c r="AD35" s="12"/>
      <c r="AF35" s="12"/>
      <c r="AG35" s="12"/>
      <c r="AM35" s="12"/>
      <c r="AR35" s="12"/>
      <c r="BC35" s="12"/>
      <c r="BD35" s="12"/>
      <c r="BF35" s="12"/>
      <c r="BG35" s="12"/>
      <c r="BM35" s="12"/>
      <c r="BR35" s="12"/>
      <c r="CC35" s="12"/>
      <c r="CD35" s="12"/>
      <c r="CF35" s="12"/>
      <c r="CG35" s="12"/>
      <c r="CM35" s="12"/>
      <c r="CR35" s="12"/>
      <c r="DC35" s="12"/>
      <c r="DD35" s="12"/>
      <c r="DF35" s="12"/>
      <c r="DG35" s="12"/>
      <c r="DM35" s="12"/>
      <c r="DR35" s="12"/>
      <c r="EC35" s="12"/>
      <c r="ED35" s="12"/>
      <c r="EF35" s="12"/>
      <c r="EG35" s="12"/>
      <c r="EM35" s="12"/>
      <c r="ER35" s="12"/>
      <c r="FC35" s="12"/>
      <c r="FD35" s="12"/>
      <c r="FF35" s="12"/>
      <c r="FG35" s="12"/>
      <c r="FM35" s="12"/>
      <c r="FR35" s="12"/>
      <c r="GC35" s="12"/>
      <c r="GD35" s="12"/>
      <c r="GF35" s="12"/>
      <c r="GG35" s="12"/>
      <c r="GM35" s="12"/>
      <c r="GR35" s="12"/>
    </row>
    <row r="36" spans="1:200" x14ac:dyDescent="0.2">
      <c r="A36" s="104"/>
      <c r="B36" s="105"/>
      <c r="C36" s="106"/>
      <c r="D36" s="107"/>
      <c r="E36" s="107"/>
      <c r="F36" s="108"/>
      <c r="G36" s="109"/>
      <c r="M36" s="12"/>
      <c r="R36" s="12"/>
      <c r="AC36" s="12"/>
      <c r="AD36" s="12"/>
      <c r="AF36" s="12"/>
      <c r="AG36" s="12"/>
      <c r="AM36" s="12"/>
      <c r="AR36" s="12"/>
      <c r="BC36" s="12"/>
      <c r="BD36" s="12"/>
      <c r="BF36" s="12"/>
      <c r="BG36" s="12"/>
      <c r="BM36" s="12"/>
      <c r="BR36" s="12"/>
      <c r="CC36" s="12"/>
      <c r="CD36" s="12"/>
      <c r="CF36" s="12"/>
      <c r="CG36" s="12"/>
      <c r="CM36" s="12"/>
      <c r="CR36" s="12"/>
      <c r="DC36" s="12"/>
      <c r="DD36" s="12"/>
      <c r="DF36" s="12"/>
      <c r="DG36" s="12"/>
      <c r="DM36" s="12"/>
      <c r="DR36" s="12"/>
      <c r="EC36" s="12"/>
      <c r="ED36" s="12"/>
      <c r="EF36" s="12"/>
      <c r="EG36" s="12"/>
      <c r="EM36" s="12"/>
      <c r="ER36" s="12"/>
      <c r="FC36" s="12"/>
      <c r="FD36" s="12"/>
      <c r="FF36" s="12"/>
      <c r="FG36" s="12"/>
      <c r="FM36" s="12"/>
      <c r="FR36" s="12"/>
      <c r="GC36" s="12"/>
      <c r="GD36" s="12"/>
      <c r="GF36" s="12"/>
      <c r="GG36" s="12"/>
      <c r="GM36" s="12"/>
      <c r="GR36" s="12"/>
    </row>
    <row r="37" spans="1:200" x14ac:dyDescent="0.2">
      <c r="A37" s="104"/>
      <c r="B37" s="105"/>
      <c r="C37" s="106"/>
      <c r="D37" s="107"/>
      <c r="E37" s="107"/>
      <c r="F37" s="108"/>
      <c r="G37" s="109"/>
      <c r="M37" s="12"/>
      <c r="R37" s="12"/>
      <c r="AC37" s="12"/>
      <c r="AD37" s="12"/>
      <c r="AF37" s="12"/>
      <c r="AG37" s="12"/>
      <c r="AM37" s="12"/>
      <c r="AR37" s="12"/>
      <c r="BC37" s="12"/>
      <c r="BD37" s="12"/>
      <c r="BF37" s="12"/>
      <c r="BG37" s="12"/>
      <c r="BM37" s="12"/>
      <c r="BR37" s="12"/>
      <c r="CC37" s="12"/>
      <c r="CD37" s="12"/>
      <c r="CF37" s="12"/>
      <c r="CG37" s="12"/>
      <c r="CM37" s="12"/>
      <c r="CR37" s="12"/>
      <c r="DC37" s="12"/>
      <c r="DD37" s="12"/>
      <c r="DF37" s="12"/>
      <c r="DG37" s="12"/>
      <c r="DM37" s="12"/>
      <c r="DR37" s="12"/>
      <c r="EC37" s="12"/>
      <c r="ED37" s="12"/>
      <c r="EF37" s="12"/>
      <c r="EG37" s="12"/>
      <c r="EM37" s="12"/>
      <c r="ER37" s="12"/>
      <c r="FC37" s="12"/>
      <c r="FD37" s="12"/>
      <c r="FF37" s="12"/>
      <c r="FG37" s="12"/>
      <c r="FM37" s="12"/>
      <c r="FR37" s="12"/>
      <c r="GC37" s="12"/>
      <c r="GD37" s="12"/>
      <c r="GF37" s="12"/>
      <c r="GG37" s="12"/>
      <c r="GM37" s="12"/>
      <c r="GR37" s="12"/>
    </row>
    <row r="38" spans="1:200" x14ac:dyDescent="0.2">
      <c r="A38" s="104"/>
      <c r="B38" s="105"/>
      <c r="C38" s="106"/>
      <c r="D38" s="107"/>
      <c r="E38" s="107"/>
      <c r="F38" s="108"/>
      <c r="G38" s="109"/>
      <c r="M38" s="12"/>
      <c r="R38" s="12"/>
      <c r="AC38" s="12"/>
      <c r="AD38" s="12"/>
      <c r="AF38" s="12"/>
      <c r="AG38" s="12"/>
      <c r="AM38" s="12"/>
      <c r="AR38" s="12"/>
      <c r="BC38" s="12"/>
      <c r="BD38" s="12"/>
      <c r="BF38" s="12"/>
      <c r="BG38" s="12"/>
      <c r="BM38" s="12"/>
      <c r="BR38" s="12"/>
      <c r="CC38" s="12"/>
      <c r="CD38" s="12"/>
      <c r="CF38" s="12"/>
      <c r="CG38" s="12"/>
      <c r="CM38" s="12"/>
      <c r="CR38" s="12"/>
      <c r="DC38" s="12"/>
      <c r="DD38" s="12"/>
      <c r="DF38" s="12"/>
      <c r="DG38" s="12"/>
      <c r="DM38" s="12"/>
      <c r="DR38" s="12"/>
      <c r="EC38" s="12"/>
      <c r="ED38" s="12"/>
      <c r="EF38" s="12"/>
      <c r="EG38" s="12"/>
      <c r="EM38" s="12"/>
      <c r="ER38" s="12"/>
      <c r="FC38" s="12"/>
      <c r="FD38" s="12"/>
      <c r="FF38" s="12"/>
      <c r="FG38" s="12"/>
      <c r="FM38" s="12"/>
      <c r="FR38" s="12"/>
      <c r="GC38" s="12"/>
      <c r="GD38" s="12"/>
      <c r="GF38" s="12"/>
      <c r="GG38" s="12"/>
      <c r="GM38" s="12"/>
      <c r="GR38" s="12"/>
    </row>
    <row r="39" spans="1:200" x14ac:dyDescent="0.2">
      <c r="A39" s="104"/>
      <c r="B39" s="105"/>
      <c r="C39" s="106"/>
      <c r="D39" s="107"/>
      <c r="E39" s="107"/>
      <c r="F39" s="108"/>
      <c r="G39" s="109"/>
      <c r="M39" s="12"/>
      <c r="R39" s="12"/>
      <c r="AC39" s="12"/>
      <c r="AD39" s="12"/>
      <c r="AF39" s="12"/>
      <c r="AG39" s="12"/>
      <c r="AM39" s="12"/>
      <c r="AR39" s="12"/>
      <c r="BC39" s="12"/>
      <c r="BD39" s="12"/>
      <c r="BF39" s="12"/>
      <c r="BG39" s="12"/>
      <c r="BM39" s="12"/>
      <c r="BR39" s="12"/>
      <c r="CC39" s="12"/>
      <c r="CD39" s="12"/>
      <c r="CF39" s="12"/>
      <c r="CG39" s="12"/>
      <c r="CM39" s="12"/>
      <c r="CR39" s="12"/>
      <c r="DC39" s="12"/>
      <c r="DD39" s="12"/>
      <c r="DF39" s="12"/>
      <c r="DG39" s="12"/>
      <c r="DM39" s="12"/>
      <c r="DR39" s="12"/>
      <c r="EC39" s="12"/>
      <c r="ED39" s="12"/>
      <c r="EF39" s="12"/>
      <c r="EG39" s="12"/>
      <c r="EM39" s="12"/>
      <c r="ER39" s="12"/>
      <c r="FC39" s="12"/>
      <c r="FD39" s="12"/>
      <c r="FF39" s="12"/>
      <c r="FG39" s="12"/>
      <c r="FM39" s="12"/>
      <c r="FR39" s="12"/>
      <c r="GC39" s="12"/>
      <c r="GD39" s="12"/>
      <c r="GF39" s="12"/>
      <c r="GG39" s="12"/>
      <c r="GM39" s="12"/>
      <c r="GR39" s="12"/>
    </row>
    <row r="40" spans="1:200" x14ac:dyDescent="0.2">
      <c r="A40" s="104"/>
      <c r="B40" s="105"/>
      <c r="C40" s="106"/>
      <c r="D40" s="107"/>
      <c r="E40" s="107"/>
      <c r="F40" s="108"/>
      <c r="G40" s="109"/>
      <c r="M40" s="12"/>
      <c r="R40" s="12"/>
      <c r="AC40" s="12"/>
      <c r="AD40" s="12"/>
      <c r="AF40" s="12"/>
      <c r="AG40" s="12"/>
      <c r="AM40" s="12"/>
      <c r="AR40" s="12"/>
      <c r="BC40" s="12"/>
      <c r="BD40" s="12"/>
      <c r="BF40" s="12"/>
      <c r="BG40" s="12"/>
      <c r="BM40" s="12"/>
      <c r="BR40" s="12"/>
      <c r="CC40" s="12"/>
      <c r="CD40" s="12"/>
      <c r="CF40" s="12"/>
      <c r="CG40" s="12"/>
      <c r="CM40" s="12"/>
      <c r="CR40" s="12"/>
      <c r="DC40" s="12"/>
      <c r="DD40" s="12"/>
      <c r="DF40" s="12"/>
      <c r="DG40" s="12"/>
      <c r="DM40" s="12"/>
      <c r="DR40" s="12"/>
      <c r="EC40" s="12"/>
      <c r="ED40" s="12"/>
      <c r="EF40" s="12"/>
      <c r="EG40" s="12"/>
      <c r="EM40" s="12"/>
      <c r="ER40" s="12"/>
      <c r="FC40" s="12"/>
      <c r="FD40" s="12"/>
      <c r="FF40" s="12"/>
      <c r="FG40" s="12"/>
      <c r="FM40" s="12"/>
      <c r="FR40" s="12"/>
      <c r="GC40" s="12"/>
      <c r="GD40" s="12"/>
      <c r="GF40" s="12"/>
      <c r="GG40" s="12"/>
      <c r="GM40" s="12"/>
      <c r="GR40" s="12"/>
    </row>
    <row r="41" spans="1:200" x14ac:dyDescent="0.2">
      <c r="A41" s="104"/>
      <c r="B41" s="105"/>
      <c r="C41" s="106"/>
      <c r="D41" s="107"/>
      <c r="E41" s="107"/>
      <c r="F41" s="108"/>
      <c r="G41" s="109"/>
    </row>
    <row r="42" spans="1:200" x14ac:dyDescent="0.2">
      <c r="A42" s="104"/>
      <c r="B42" s="105"/>
      <c r="C42" s="106"/>
      <c r="D42" s="107"/>
      <c r="E42" s="107"/>
      <c r="F42" s="108"/>
      <c r="G42" s="109"/>
    </row>
    <row r="43" spans="1:200" x14ac:dyDescent="0.2">
      <c r="A43" s="104"/>
      <c r="B43" s="105"/>
      <c r="C43" s="106"/>
      <c r="D43" s="107"/>
      <c r="E43" s="107"/>
      <c r="F43" s="108"/>
      <c r="G43" s="109"/>
    </row>
    <row r="44" spans="1:200" x14ac:dyDescent="0.2">
      <c r="A44" s="104"/>
      <c r="B44" s="105"/>
      <c r="C44" s="106"/>
      <c r="D44" s="107"/>
      <c r="E44" s="107"/>
      <c r="F44" s="108"/>
      <c r="G44" s="109"/>
    </row>
    <row r="45" spans="1:200" x14ac:dyDescent="0.2">
      <c r="A45" s="104"/>
      <c r="B45" s="105"/>
      <c r="C45" s="106"/>
      <c r="D45" s="107"/>
      <c r="E45" s="107"/>
      <c r="F45" s="108"/>
      <c r="G45" s="109"/>
    </row>
    <row r="46" spans="1:200" x14ac:dyDescent="0.2">
      <c r="A46" s="104"/>
      <c r="B46" s="105"/>
      <c r="C46" s="106"/>
      <c r="D46" s="107"/>
      <c r="E46" s="107"/>
      <c r="F46" s="108"/>
      <c r="G46" s="109"/>
    </row>
    <row r="47" spans="1:200" x14ac:dyDescent="0.2">
      <c r="A47" s="104"/>
      <c r="B47" s="105"/>
      <c r="C47" s="106"/>
      <c r="D47" s="107"/>
      <c r="E47" s="107"/>
      <c r="F47" s="108"/>
      <c r="G47" s="109"/>
    </row>
    <row r="48" spans="1:200" x14ac:dyDescent="0.2">
      <c r="A48" s="104"/>
      <c r="B48" s="105"/>
      <c r="C48" s="106"/>
      <c r="D48" s="107"/>
      <c r="E48" s="107"/>
      <c r="F48" s="108"/>
      <c r="G48" s="109"/>
    </row>
    <row r="49" spans="1:7" x14ac:dyDescent="0.2">
      <c r="A49" s="104"/>
      <c r="B49" s="105"/>
      <c r="C49" s="106"/>
      <c r="D49" s="107"/>
      <c r="E49" s="107"/>
      <c r="F49" s="108"/>
      <c r="G49" s="109"/>
    </row>
    <row r="50" spans="1:7" x14ac:dyDescent="0.2">
      <c r="A50" s="104"/>
      <c r="B50" s="105"/>
      <c r="C50" s="106"/>
      <c r="D50" s="107"/>
      <c r="E50" s="107"/>
      <c r="F50" s="108"/>
      <c r="G50" s="109"/>
    </row>
    <row r="51" spans="1:7" x14ac:dyDescent="0.2">
      <c r="A51" s="104"/>
      <c r="B51" s="105"/>
      <c r="C51" s="106"/>
      <c r="D51" s="107"/>
      <c r="E51" s="107"/>
      <c r="F51" s="108"/>
      <c r="G51" s="109"/>
    </row>
    <row r="52" spans="1:7" x14ac:dyDescent="0.2">
      <c r="A52" s="104"/>
      <c r="B52" s="105"/>
      <c r="C52" s="106"/>
      <c r="D52" s="107"/>
      <c r="E52" s="107"/>
      <c r="F52" s="108"/>
      <c r="G52" s="109"/>
    </row>
    <row r="53" spans="1:7" x14ac:dyDescent="0.2">
      <c r="A53" s="104"/>
      <c r="B53" s="105"/>
      <c r="C53" s="106"/>
      <c r="D53" s="107"/>
      <c r="E53" s="107"/>
      <c r="F53" s="108"/>
      <c r="G53" s="109"/>
    </row>
    <row r="54" spans="1:7" x14ac:dyDescent="0.2">
      <c r="A54" s="104"/>
      <c r="B54" s="105"/>
      <c r="C54" s="106"/>
      <c r="D54" s="107"/>
      <c r="E54" s="107"/>
      <c r="F54" s="108"/>
      <c r="G54" s="109"/>
    </row>
    <row r="55" spans="1:7" x14ac:dyDescent="0.2">
      <c r="A55" s="104"/>
      <c r="B55" s="105"/>
      <c r="C55" s="106"/>
      <c r="D55" s="107"/>
      <c r="E55" s="107"/>
      <c r="F55" s="108"/>
      <c r="G55" s="109"/>
    </row>
    <row r="56" spans="1:7" x14ac:dyDescent="0.2">
      <c r="A56" s="104"/>
      <c r="B56" s="105"/>
      <c r="C56" s="106"/>
      <c r="D56" s="107"/>
      <c r="E56" s="107"/>
      <c r="F56" s="108"/>
      <c r="G56" s="109"/>
    </row>
    <row r="57" spans="1:7" x14ac:dyDescent="0.2">
      <c r="A57" s="104"/>
      <c r="B57" s="105"/>
      <c r="C57" s="106"/>
      <c r="D57" s="107"/>
      <c r="E57" s="107"/>
      <c r="F57" s="108"/>
      <c r="G57" s="109"/>
    </row>
    <row r="58" spans="1:7" x14ac:dyDescent="0.2">
      <c r="A58" s="104"/>
      <c r="B58" s="105"/>
      <c r="C58" s="106"/>
      <c r="D58" s="107"/>
      <c r="E58" s="107"/>
      <c r="F58" s="108"/>
      <c r="G58" s="109"/>
    </row>
    <row r="59" spans="1:7" x14ac:dyDescent="0.2">
      <c r="A59" s="104"/>
      <c r="B59" s="105"/>
      <c r="C59" s="106"/>
      <c r="D59" s="107"/>
      <c r="E59" s="107"/>
      <c r="F59" s="108"/>
      <c r="G59" s="109"/>
    </row>
    <row r="60" spans="1:7" x14ac:dyDescent="0.2">
      <c r="A60" s="104"/>
      <c r="B60" s="105"/>
      <c r="C60" s="106"/>
      <c r="D60" s="107"/>
      <c r="E60" s="107"/>
      <c r="F60" s="108"/>
      <c r="G60" s="109"/>
    </row>
    <row r="61" spans="1:7" x14ac:dyDescent="0.2">
      <c r="A61" s="104"/>
      <c r="B61" s="105"/>
      <c r="C61" s="106"/>
      <c r="D61" s="107"/>
      <c r="E61" s="107"/>
      <c r="F61" s="108"/>
      <c r="G61" s="109"/>
    </row>
    <row r="62" spans="1:7" x14ac:dyDescent="0.2">
      <c r="A62" s="104"/>
      <c r="B62" s="105"/>
      <c r="C62" s="106"/>
      <c r="D62" s="107"/>
      <c r="E62" s="107"/>
      <c r="F62" s="108"/>
      <c r="G62" s="109"/>
    </row>
    <row r="63" spans="1:7" x14ac:dyDescent="0.2">
      <c r="A63" s="104"/>
      <c r="B63" s="105"/>
      <c r="C63" s="106"/>
      <c r="D63" s="107"/>
      <c r="E63" s="107"/>
      <c r="F63" s="108"/>
      <c r="G63" s="109"/>
    </row>
    <row r="64" spans="1:7" x14ac:dyDescent="0.2">
      <c r="A64" s="104"/>
      <c r="B64" s="105"/>
      <c r="C64" s="106"/>
      <c r="D64" s="107"/>
      <c r="E64" s="107"/>
      <c r="F64" s="108"/>
      <c r="G64" s="109"/>
    </row>
    <row r="65" spans="1:7" x14ac:dyDescent="0.2">
      <c r="A65" s="104"/>
      <c r="B65" s="105"/>
      <c r="C65" s="106"/>
      <c r="D65" s="107"/>
      <c r="E65" s="107"/>
      <c r="F65" s="108"/>
      <c r="G65" s="109"/>
    </row>
    <row r="66" spans="1:7" x14ac:dyDescent="0.2">
      <c r="A66" s="104"/>
      <c r="B66" s="105"/>
      <c r="C66" s="106"/>
      <c r="D66" s="107"/>
      <c r="E66" s="107"/>
      <c r="F66" s="108"/>
      <c r="G66" s="109"/>
    </row>
    <row r="67" spans="1:7" x14ac:dyDescent="0.2">
      <c r="A67" s="104"/>
      <c r="B67" s="105"/>
      <c r="C67" s="106"/>
      <c r="D67" s="107"/>
      <c r="E67" s="107"/>
      <c r="F67" s="108"/>
      <c r="G67" s="109"/>
    </row>
    <row r="68" spans="1:7" x14ac:dyDescent="0.2">
      <c r="A68" s="104"/>
      <c r="B68" s="105"/>
      <c r="C68" s="106"/>
      <c r="D68" s="107"/>
      <c r="E68" s="107"/>
      <c r="F68" s="108"/>
      <c r="G68" s="109"/>
    </row>
    <row r="69" spans="1:7" x14ac:dyDescent="0.2">
      <c r="A69" s="104"/>
      <c r="B69" s="105"/>
      <c r="C69" s="106"/>
      <c r="D69" s="107"/>
      <c r="E69" s="107"/>
      <c r="F69" s="108"/>
      <c r="G69" s="109"/>
    </row>
    <row r="70" spans="1:7" x14ac:dyDescent="0.2">
      <c r="A70" s="104"/>
      <c r="B70" s="105"/>
      <c r="C70" s="106"/>
      <c r="D70" s="107"/>
      <c r="E70" s="107"/>
      <c r="F70" s="108"/>
      <c r="G70" s="109"/>
    </row>
    <row r="71" spans="1:7" x14ac:dyDescent="0.2">
      <c r="A71" s="104"/>
      <c r="B71" s="105"/>
      <c r="C71" s="106"/>
      <c r="D71" s="107"/>
      <c r="E71" s="107"/>
      <c r="F71" s="108"/>
      <c r="G71" s="109"/>
    </row>
    <row r="72" spans="1:7" x14ac:dyDescent="0.2">
      <c r="A72" s="104"/>
      <c r="B72" s="105"/>
      <c r="C72" s="106"/>
      <c r="D72" s="107"/>
      <c r="E72" s="107"/>
      <c r="F72" s="108"/>
      <c r="G72" s="109"/>
    </row>
    <row r="73" spans="1:7" x14ac:dyDescent="0.2">
      <c r="A73" s="104"/>
      <c r="B73" s="105"/>
      <c r="C73" s="106"/>
      <c r="D73" s="107"/>
      <c r="E73" s="107"/>
      <c r="F73" s="108"/>
      <c r="G73" s="109"/>
    </row>
    <row r="74" spans="1:7" x14ac:dyDescent="0.2">
      <c r="A74" s="104"/>
      <c r="B74" s="105"/>
      <c r="C74" s="106"/>
      <c r="D74" s="107"/>
      <c r="E74" s="107"/>
      <c r="F74" s="108"/>
      <c r="G74" s="109"/>
    </row>
    <row r="75" spans="1:7" x14ac:dyDescent="0.2">
      <c r="A75" s="104"/>
      <c r="B75" s="105"/>
      <c r="C75" s="106"/>
      <c r="D75" s="107"/>
      <c r="E75" s="107"/>
      <c r="F75" s="108"/>
      <c r="G75" s="109"/>
    </row>
    <row r="76" spans="1:7" x14ac:dyDescent="0.2">
      <c r="A76" s="104"/>
      <c r="B76" s="105"/>
      <c r="C76" s="106"/>
      <c r="D76" s="107"/>
      <c r="E76" s="107"/>
      <c r="F76" s="108"/>
      <c r="G76" s="109"/>
    </row>
    <row r="77" spans="1:7" x14ac:dyDescent="0.2">
      <c r="A77" s="104"/>
      <c r="B77" s="105"/>
      <c r="C77" s="106"/>
      <c r="D77" s="107"/>
      <c r="E77" s="107"/>
      <c r="F77" s="108"/>
      <c r="G77" s="109"/>
    </row>
    <row r="78" spans="1:7" x14ac:dyDescent="0.2">
      <c r="A78" s="104"/>
      <c r="B78" s="105"/>
      <c r="C78" s="106"/>
      <c r="D78" s="107"/>
      <c r="E78" s="107"/>
      <c r="F78" s="108"/>
      <c r="G78" s="109"/>
    </row>
    <row r="79" spans="1:7" x14ac:dyDescent="0.2">
      <c r="A79" s="104"/>
      <c r="B79" s="105"/>
      <c r="C79" s="106"/>
      <c r="D79" s="107"/>
      <c r="E79" s="107"/>
      <c r="F79" s="108"/>
      <c r="G79" s="109"/>
    </row>
    <row r="80" spans="1:7" x14ac:dyDescent="0.2">
      <c r="A80" s="104"/>
      <c r="B80" s="105"/>
      <c r="C80" s="106"/>
      <c r="D80" s="107"/>
      <c r="E80" s="107"/>
      <c r="F80" s="108"/>
      <c r="G80" s="109"/>
    </row>
    <row r="81" spans="1:7" x14ac:dyDescent="0.2">
      <c r="A81" s="104"/>
      <c r="B81" s="105"/>
      <c r="C81" s="106"/>
      <c r="D81" s="107"/>
      <c r="E81" s="107"/>
      <c r="F81" s="108"/>
      <c r="G81" s="109"/>
    </row>
    <row r="82" spans="1:7" x14ac:dyDescent="0.2">
      <c r="A82" s="104"/>
      <c r="B82" s="105"/>
      <c r="C82" s="106"/>
      <c r="D82" s="107"/>
      <c r="E82" s="107"/>
      <c r="F82" s="108"/>
      <c r="G82" s="109"/>
    </row>
    <row r="83" spans="1:7" x14ac:dyDescent="0.2">
      <c r="A83" s="104"/>
      <c r="B83" s="105"/>
      <c r="C83" s="106"/>
      <c r="D83" s="107"/>
      <c r="E83" s="107"/>
      <c r="F83" s="108"/>
      <c r="G83" s="109"/>
    </row>
    <row r="84" spans="1:7" x14ac:dyDescent="0.2">
      <c r="A84" s="104"/>
      <c r="B84" s="105"/>
      <c r="C84" s="106"/>
      <c r="D84" s="107"/>
      <c r="E84" s="107"/>
      <c r="F84" s="108"/>
      <c r="G84" s="109"/>
    </row>
    <row r="85" spans="1:7" x14ac:dyDescent="0.2">
      <c r="A85" s="104"/>
      <c r="B85" s="105"/>
      <c r="C85" s="106"/>
      <c r="D85" s="107"/>
      <c r="E85" s="107"/>
      <c r="F85" s="108"/>
      <c r="G85" s="109"/>
    </row>
    <row r="86" spans="1:7" x14ac:dyDescent="0.2">
      <c r="A86" s="104"/>
      <c r="B86" s="105"/>
      <c r="C86" s="106"/>
      <c r="D86" s="107"/>
      <c r="E86" s="107"/>
      <c r="F86" s="108"/>
      <c r="G86" s="109"/>
    </row>
    <row r="87" spans="1:7" x14ac:dyDescent="0.2">
      <c r="A87" s="104"/>
      <c r="B87" s="105"/>
      <c r="C87" s="106"/>
      <c r="D87" s="107"/>
      <c r="E87" s="107"/>
      <c r="F87" s="108"/>
      <c r="G87" s="109"/>
    </row>
    <row r="88" spans="1:7" x14ac:dyDescent="0.2">
      <c r="A88" s="104"/>
      <c r="B88" s="105"/>
      <c r="C88" s="106"/>
      <c r="D88" s="107"/>
      <c r="E88" s="107"/>
      <c r="F88" s="108"/>
      <c r="G88" s="109"/>
    </row>
    <row r="89" spans="1:7" x14ac:dyDescent="0.2">
      <c r="A89" s="104"/>
      <c r="B89" s="105"/>
      <c r="C89" s="106"/>
      <c r="D89" s="107"/>
      <c r="E89" s="107"/>
      <c r="F89" s="108"/>
      <c r="G89" s="109"/>
    </row>
    <row r="90" spans="1:7" x14ac:dyDescent="0.2">
      <c r="A90" s="104"/>
      <c r="B90" s="105"/>
      <c r="C90" s="106"/>
      <c r="D90" s="107"/>
      <c r="E90" s="107"/>
      <c r="F90" s="108"/>
      <c r="G90" s="109"/>
    </row>
    <row r="91" spans="1:7" x14ac:dyDescent="0.2">
      <c r="A91" s="104"/>
      <c r="B91" s="105"/>
      <c r="C91" s="106"/>
      <c r="D91" s="107"/>
      <c r="E91" s="107"/>
      <c r="F91" s="108"/>
      <c r="G91" s="109"/>
    </row>
    <row r="92" spans="1:7" x14ac:dyDescent="0.2">
      <c r="A92" s="104"/>
      <c r="B92" s="105"/>
      <c r="C92" s="106"/>
      <c r="D92" s="107"/>
      <c r="E92" s="107"/>
      <c r="F92" s="108"/>
      <c r="G92" s="109"/>
    </row>
    <row r="93" spans="1:7" x14ac:dyDescent="0.2">
      <c r="A93" s="104"/>
      <c r="B93" s="105"/>
      <c r="C93" s="106"/>
      <c r="D93" s="107"/>
      <c r="E93" s="107"/>
      <c r="F93" s="108"/>
      <c r="G93" s="109"/>
    </row>
    <row r="94" spans="1:7" x14ac:dyDescent="0.2">
      <c r="A94" s="104"/>
      <c r="B94" s="105"/>
      <c r="C94" s="106"/>
      <c r="D94" s="107"/>
      <c r="E94" s="107"/>
      <c r="F94" s="108"/>
      <c r="G94" s="109"/>
    </row>
    <row r="95" spans="1:7" x14ac:dyDescent="0.2">
      <c r="A95" s="104"/>
      <c r="B95" s="105"/>
      <c r="C95" s="106"/>
      <c r="D95" s="107"/>
      <c r="E95" s="107"/>
      <c r="F95" s="108"/>
      <c r="G95" s="109"/>
    </row>
    <row r="96" spans="1:7" x14ac:dyDescent="0.2">
      <c r="A96" s="104"/>
      <c r="B96" s="105"/>
      <c r="C96" s="106"/>
      <c r="D96" s="107"/>
      <c r="E96" s="107"/>
      <c r="F96" s="108"/>
      <c r="G96" s="109"/>
    </row>
    <row r="97" spans="1:7" x14ac:dyDescent="0.2">
      <c r="A97" s="104"/>
      <c r="B97" s="105"/>
      <c r="C97" s="106"/>
      <c r="D97" s="107"/>
      <c r="E97" s="107"/>
      <c r="F97" s="108"/>
      <c r="G97" s="109"/>
    </row>
    <row r="98" spans="1:7" x14ac:dyDescent="0.2">
      <c r="A98" s="104"/>
      <c r="B98" s="105"/>
      <c r="C98" s="106"/>
      <c r="D98" s="107"/>
      <c r="E98" s="107"/>
      <c r="F98" s="108"/>
      <c r="G98" s="109"/>
    </row>
    <row r="99" spans="1:7" x14ac:dyDescent="0.2">
      <c r="A99" s="104"/>
      <c r="B99" s="105"/>
      <c r="C99" s="106"/>
      <c r="D99" s="107"/>
      <c r="E99" s="107"/>
      <c r="F99" s="108"/>
      <c r="G99" s="109"/>
    </row>
    <row r="100" spans="1:7" x14ac:dyDescent="0.2">
      <c r="A100" s="104"/>
      <c r="B100" s="105"/>
      <c r="C100" s="106"/>
      <c r="D100" s="107"/>
      <c r="E100" s="107"/>
      <c r="F100" s="108"/>
      <c r="G100" s="109"/>
    </row>
    <row r="101" spans="1:7" x14ac:dyDescent="0.2">
      <c r="A101" s="104"/>
      <c r="B101" s="105"/>
      <c r="C101" s="106"/>
      <c r="D101" s="107"/>
      <c r="E101" s="107"/>
      <c r="F101" s="108"/>
      <c r="G101" s="109"/>
    </row>
    <row r="102" spans="1:7" x14ac:dyDescent="0.2">
      <c r="A102" s="104"/>
      <c r="B102" s="105"/>
      <c r="C102" s="106"/>
      <c r="D102" s="107"/>
      <c r="E102" s="107"/>
      <c r="F102" s="108"/>
      <c r="G102" s="109"/>
    </row>
    <row r="103" spans="1:7" x14ac:dyDescent="0.2">
      <c r="A103" s="104"/>
      <c r="B103" s="105"/>
      <c r="C103" s="106"/>
      <c r="D103" s="107"/>
      <c r="E103" s="107"/>
      <c r="F103" s="108"/>
      <c r="G103" s="109"/>
    </row>
    <row r="104" spans="1:7" x14ac:dyDescent="0.2">
      <c r="A104" s="104"/>
      <c r="B104" s="105"/>
      <c r="C104" s="106"/>
      <c r="D104" s="107"/>
      <c r="E104" s="107"/>
      <c r="F104" s="108"/>
      <c r="G104" s="109"/>
    </row>
    <row r="105" spans="1:7" x14ac:dyDescent="0.2">
      <c r="A105" s="104"/>
      <c r="B105" s="105"/>
      <c r="C105" s="106"/>
      <c r="D105" s="107"/>
      <c r="E105" s="107"/>
      <c r="F105" s="108"/>
      <c r="G105" s="109"/>
    </row>
    <row r="106" spans="1:7" x14ac:dyDescent="0.2">
      <c r="A106" s="104"/>
      <c r="B106" s="105"/>
      <c r="C106" s="106"/>
      <c r="D106" s="107"/>
      <c r="E106" s="107"/>
      <c r="F106" s="108"/>
      <c r="G106" s="109"/>
    </row>
    <row r="107" spans="1:7" x14ac:dyDescent="0.2">
      <c r="A107" s="104"/>
      <c r="B107" s="105"/>
      <c r="C107" s="106"/>
      <c r="D107" s="107"/>
      <c r="E107" s="107"/>
      <c r="F107" s="108"/>
      <c r="G107" s="109"/>
    </row>
    <row r="108" spans="1:7" x14ac:dyDescent="0.2">
      <c r="A108" s="104"/>
      <c r="B108" s="105"/>
      <c r="C108" s="106"/>
      <c r="D108" s="107"/>
      <c r="E108" s="107"/>
      <c r="F108" s="108"/>
      <c r="G108" s="109"/>
    </row>
    <row r="109" spans="1:7" x14ac:dyDescent="0.2">
      <c r="A109" s="104"/>
      <c r="B109" s="105"/>
      <c r="C109" s="106"/>
      <c r="D109" s="107"/>
      <c r="E109" s="107"/>
      <c r="F109" s="108"/>
      <c r="G109" s="109"/>
    </row>
    <row r="110" spans="1:7" x14ac:dyDescent="0.2">
      <c r="A110" s="104"/>
      <c r="B110" s="105"/>
      <c r="C110" s="106"/>
      <c r="D110" s="107"/>
      <c r="E110" s="107"/>
      <c r="F110" s="108"/>
      <c r="G110" s="109"/>
    </row>
    <row r="111" spans="1:7" x14ac:dyDescent="0.2">
      <c r="A111" s="104"/>
      <c r="B111" s="105"/>
      <c r="C111" s="106"/>
      <c r="D111" s="107"/>
      <c r="E111" s="107"/>
      <c r="F111" s="108"/>
      <c r="G111" s="109"/>
    </row>
    <row r="112" spans="1:7" x14ac:dyDescent="0.2">
      <c r="A112" s="104"/>
      <c r="B112" s="105"/>
      <c r="C112" s="106"/>
      <c r="D112" s="107"/>
      <c r="E112" s="107"/>
      <c r="F112" s="108"/>
      <c r="G112" s="109"/>
    </row>
    <row r="113" spans="1:7" x14ac:dyDescent="0.2">
      <c r="A113" s="104"/>
      <c r="B113" s="105"/>
      <c r="C113" s="106"/>
      <c r="D113" s="107"/>
      <c r="E113" s="107"/>
      <c r="F113" s="108"/>
      <c r="G113" s="109"/>
    </row>
    <row r="114" spans="1:7" x14ac:dyDescent="0.2">
      <c r="A114" s="104"/>
      <c r="B114" s="105"/>
      <c r="C114" s="106"/>
      <c r="D114" s="107"/>
      <c r="E114" s="107"/>
      <c r="F114" s="108"/>
      <c r="G114" s="109"/>
    </row>
    <row r="115" spans="1:7" x14ac:dyDescent="0.2">
      <c r="A115" s="104"/>
      <c r="B115" s="105"/>
      <c r="C115" s="106"/>
      <c r="D115" s="107"/>
      <c r="E115" s="107"/>
      <c r="F115" s="108"/>
      <c r="G115" s="109"/>
    </row>
    <row r="116" spans="1:7" x14ac:dyDescent="0.2">
      <c r="A116" s="104"/>
      <c r="B116" s="105"/>
      <c r="C116" s="106"/>
      <c r="D116" s="107"/>
      <c r="E116" s="107"/>
      <c r="F116" s="108"/>
      <c r="G116" s="109"/>
    </row>
    <row r="117" spans="1:7" x14ac:dyDescent="0.2">
      <c r="A117" s="104"/>
      <c r="B117" s="105"/>
      <c r="C117" s="106"/>
      <c r="D117" s="107"/>
      <c r="E117" s="107"/>
      <c r="F117" s="108"/>
      <c r="G117" s="109"/>
    </row>
    <row r="118" spans="1:7" x14ac:dyDescent="0.2">
      <c r="A118" s="104"/>
      <c r="B118" s="105"/>
      <c r="C118" s="106"/>
      <c r="D118" s="107"/>
      <c r="E118" s="107"/>
      <c r="F118" s="108"/>
      <c r="G118" s="109"/>
    </row>
    <row r="119" spans="1:7" x14ac:dyDescent="0.2">
      <c r="A119" s="104"/>
      <c r="B119" s="105"/>
      <c r="C119" s="106"/>
      <c r="D119" s="107"/>
      <c r="E119" s="107"/>
      <c r="F119" s="108"/>
      <c r="G119" s="109"/>
    </row>
    <row r="120" spans="1:7" x14ac:dyDescent="0.2">
      <c r="A120" s="104"/>
      <c r="B120" s="105"/>
      <c r="C120" s="106"/>
      <c r="D120" s="107"/>
      <c r="E120" s="107"/>
      <c r="F120" s="108"/>
      <c r="G120" s="109"/>
    </row>
    <row r="121" spans="1:7" x14ac:dyDescent="0.2">
      <c r="A121" s="104"/>
      <c r="B121" s="105"/>
      <c r="C121" s="106"/>
      <c r="D121" s="107"/>
      <c r="E121" s="107"/>
      <c r="F121" s="108"/>
      <c r="G121" s="109"/>
    </row>
    <row r="122" spans="1:7" x14ac:dyDescent="0.2">
      <c r="A122" s="104"/>
      <c r="B122" s="105"/>
      <c r="C122" s="106"/>
      <c r="D122" s="107"/>
      <c r="E122" s="107"/>
      <c r="F122" s="108"/>
      <c r="G122" s="109"/>
    </row>
    <row r="123" spans="1:7" x14ac:dyDescent="0.2">
      <c r="A123" s="104"/>
      <c r="B123" s="105"/>
      <c r="C123" s="106"/>
      <c r="D123" s="107"/>
      <c r="E123" s="107"/>
      <c r="F123" s="108"/>
      <c r="G123" s="109"/>
    </row>
    <row r="124" spans="1:7" x14ac:dyDescent="0.2">
      <c r="A124" s="104"/>
      <c r="B124" s="105"/>
      <c r="C124" s="106"/>
      <c r="D124" s="107"/>
      <c r="E124" s="107"/>
      <c r="F124" s="108"/>
      <c r="G124" s="109"/>
    </row>
    <row r="125" spans="1:7" x14ac:dyDescent="0.2">
      <c r="A125" s="104"/>
      <c r="B125" s="105"/>
      <c r="C125" s="106"/>
      <c r="D125" s="107"/>
      <c r="E125" s="107"/>
      <c r="F125" s="108"/>
      <c r="G125" s="109"/>
    </row>
    <row r="126" spans="1:7" x14ac:dyDescent="0.2">
      <c r="A126" s="104"/>
      <c r="B126" s="106"/>
      <c r="C126" s="106"/>
      <c r="D126" s="107"/>
      <c r="E126" s="107"/>
      <c r="F126" s="108"/>
      <c r="G126" s="109"/>
    </row>
    <row r="127" spans="1:7" x14ac:dyDescent="0.2">
      <c r="A127" s="104"/>
      <c r="B127" s="106"/>
      <c r="C127" s="106"/>
      <c r="D127" s="107"/>
      <c r="E127" s="107"/>
      <c r="F127" s="108"/>
      <c r="G127" s="109"/>
    </row>
    <row r="128" spans="1:7" x14ac:dyDescent="0.2">
      <c r="A128" s="104"/>
      <c r="B128" s="105"/>
      <c r="C128" s="106"/>
      <c r="D128" s="107"/>
      <c r="E128" s="107"/>
      <c r="F128" s="108"/>
      <c r="G128" s="109"/>
    </row>
    <row r="129" spans="1:7" x14ac:dyDescent="0.2">
      <c r="A129" s="104"/>
      <c r="B129" s="105"/>
      <c r="C129" s="106"/>
      <c r="D129" s="107"/>
      <c r="E129" s="107"/>
      <c r="F129" s="108"/>
      <c r="G129" s="109"/>
    </row>
    <row r="130" spans="1:7" x14ac:dyDescent="0.2">
      <c r="A130" s="104"/>
      <c r="B130" s="105"/>
      <c r="C130" s="106"/>
      <c r="D130" s="107"/>
      <c r="E130" s="107"/>
      <c r="F130" s="108"/>
      <c r="G130" s="109"/>
    </row>
    <row r="131" spans="1:7" x14ac:dyDescent="0.2">
      <c r="A131" s="104"/>
      <c r="B131" s="105"/>
      <c r="C131" s="106"/>
      <c r="D131" s="107"/>
      <c r="E131" s="107"/>
      <c r="F131" s="108"/>
      <c r="G131" s="109"/>
    </row>
    <row r="132" spans="1:7" x14ac:dyDescent="0.2">
      <c r="A132" s="104"/>
      <c r="B132" s="105"/>
      <c r="C132" s="106"/>
      <c r="D132" s="107"/>
      <c r="E132" s="107"/>
      <c r="F132" s="108"/>
      <c r="G132" s="109"/>
    </row>
    <row r="133" spans="1:7" x14ac:dyDescent="0.2">
      <c r="A133" s="104"/>
      <c r="B133" s="105"/>
      <c r="C133" s="106"/>
      <c r="D133" s="107"/>
      <c r="E133" s="107"/>
      <c r="F133" s="108"/>
      <c r="G133" s="109"/>
    </row>
    <row r="134" spans="1:7" x14ac:dyDescent="0.2">
      <c r="A134" s="104"/>
      <c r="B134" s="105"/>
      <c r="C134" s="106"/>
      <c r="D134" s="107"/>
      <c r="E134" s="107"/>
      <c r="F134" s="108"/>
      <c r="G134" s="109"/>
    </row>
    <row r="135" spans="1:7" x14ac:dyDescent="0.2">
      <c r="A135" s="104"/>
      <c r="B135" s="105"/>
      <c r="C135" s="106"/>
      <c r="D135" s="107"/>
      <c r="E135" s="107"/>
      <c r="F135" s="108"/>
      <c r="G135" s="109"/>
    </row>
    <row r="136" spans="1:7" x14ac:dyDescent="0.2">
      <c r="A136" s="104"/>
      <c r="B136" s="105"/>
      <c r="C136" s="106"/>
      <c r="D136" s="107"/>
      <c r="E136" s="107"/>
      <c r="F136" s="108"/>
      <c r="G136" s="109"/>
    </row>
    <row r="137" spans="1:7" x14ac:dyDescent="0.2">
      <c r="A137" s="104"/>
      <c r="B137" s="105"/>
      <c r="C137" s="106"/>
      <c r="D137" s="107"/>
      <c r="E137" s="107"/>
      <c r="F137" s="108"/>
      <c r="G137" s="109"/>
    </row>
    <row r="138" spans="1:7" x14ac:dyDescent="0.2">
      <c r="A138" s="104"/>
      <c r="B138" s="105"/>
      <c r="C138" s="106"/>
      <c r="D138" s="107"/>
      <c r="E138" s="107"/>
      <c r="F138" s="108"/>
      <c r="G138" s="109"/>
    </row>
    <row r="139" spans="1:7" x14ac:dyDescent="0.2">
      <c r="A139" s="104"/>
      <c r="B139" s="105"/>
      <c r="C139" s="106"/>
      <c r="D139" s="107"/>
      <c r="E139" s="107"/>
      <c r="F139" s="108"/>
      <c r="G139" s="109"/>
    </row>
    <row r="140" spans="1:7" x14ac:dyDescent="0.2">
      <c r="A140" s="104"/>
      <c r="B140" s="105"/>
      <c r="C140" s="106"/>
      <c r="D140" s="107"/>
      <c r="E140" s="107"/>
      <c r="F140" s="108"/>
      <c r="G140" s="109"/>
    </row>
    <row r="141" spans="1:7" x14ac:dyDescent="0.2">
      <c r="A141" s="104"/>
      <c r="B141" s="105"/>
      <c r="C141" s="106"/>
      <c r="D141" s="107"/>
      <c r="E141" s="107"/>
      <c r="F141" s="108"/>
      <c r="G141" s="109"/>
    </row>
    <row r="142" spans="1:7" x14ac:dyDescent="0.2">
      <c r="A142" s="104"/>
      <c r="B142" s="105"/>
      <c r="C142" s="106"/>
      <c r="D142" s="107"/>
      <c r="E142" s="107"/>
      <c r="F142" s="108"/>
      <c r="G142" s="109"/>
    </row>
    <row r="143" spans="1:7" x14ac:dyDescent="0.2">
      <c r="A143" s="104"/>
      <c r="B143" s="105"/>
      <c r="C143" s="106"/>
      <c r="D143" s="107"/>
      <c r="E143" s="107"/>
      <c r="F143" s="108"/>
      <c r="G143" s="109"/>
    </row>
    <row r="144" spans="1:7" x14ac:dyDescent="0.2">
      <c r="A144" s="104"/>
      <c r="B144" s="105"/>
      <c r="C144" s="106"/>
      <c r="D144" s="107"/>
      <c r="E144" s="107"/>
      <c r="F144" s="108"/>
      <c r="G144" s="109"/>
    </row>
    <row r="145" spans="1:7" x14ac:dyDescent="0.2">
      <c r="A145" s="104"/>
      <c r="B145" s="105"/>
      <c r="C145" s="106"/>
      <c r="D145" s="107"/>
      <c r="E145" s="107"/>
      <c r="F145" s="108"/>
      <c r="G145" s="109"/>
    </row>
    <row r="146" spans="1:7" x14ac:dyDescent="0.2">
      <c r="A146" s="104"/>
      <c r="B146" s="105"/>
      <c r="C146" s="106"/>
      <c r="D146" s="107"/>
      <c r="E146" s="107"/>
      <c r="F146" s="108"/>
      <c r="G146" s="109"/>
    </row>
    <row r="147" spans="1:7" x14ac:dyDescent="0.2">
      <c r="A147" s="104"/>
      <c r="B147" s="105"/>
      <c r="C147" s="106"/>
      <c r="D147" s="107"/>
      <c r="E147" s="107"/>
      <c r="F147" s="108"/>
      <c r="G147" s="109"/>
    </row>
    <row r="148" spans="1:7" x14ac:dyDescent="0.2">
      <c r="A148" s="104"/>
      <c r="B148" s="105"/>
      <c r="C148" s="106"/>
      <c r="D148" s="107"/>
      <c r="E148" s="107"/>
      <c r="F148" s="108"/>
      <c r="G148" s="109"/>
    </row>
    <row r="149" spans="1:7" x14ac:dyDescent="0.2">
      <c r="A149" s="104"/>
      <c r="B149" s="105"/>
      <c r="C149" s="106"/>
      <c r="D149" s="107"/>
      <c r="E149" s="107"/>
      <c r="F149" s="108"/>
      <c r="G149" s="109"/>
    </row>
    <row r="150" spans="1:7" x14ac:dyDescent="0.2">
      <c r="A150" s="104"/>
      <c r="B150" s="105"/>
      <c r="C150" s="106"/>
      <c r="D150" s="107"/>
      <c r="E150" s="107"/>
      <c r="F150" s="108"/>
      <c r="G150" s="109"/>
    </row>
    <row r="151" spans="1:7" x14ac:dyDescent="0.2">
      <c r="A151" s="104"/>
      <c r="B151" s="105"/>
      <c r="C151" s="106"/>
      <c r="D151" s="107"/>
      <c r="E151" s="107"/>
      <c r="F151" s="108"/>
      <c r="G151" s="109"/>
    </row>
    <row r="152" spans="1:7" x14ac:dyDescent="0.2">
      <c r="A152" s="104"/>
      <c r="B152" s="105"/>
      <c r="C152" s="106"/>
      <c r="D152" s="107"/>
      <c r="E152" s="107"/>
      <c r="F152" s="108"/>
      <c r="G152" s="109"/>
    </row>
    <row r="153" spans="1:7" x14ac:dyDescent="0.2">
      <c r="A153" s="104"/>
      <c r="B153" s="105"/>
      <c r="C153" s="106"/>
      <c r="D153" s="107"/>
      <c r="E153" s="107"/>
      <c r="F153" s="108"/>
      <c r="G153" s="109"/>
    </row>
    <row r="154" spans="1:7" x14ac:dyDescent="0.2">
      <c r="A154" s="104"/>
      <c r="B154" s="105"/>
      <c r="C154" s="106"/>
      <c r="D154" s="107"/>
      <c r="E154" s="107"/>
      <c r="F154" s="108"/>
      <c r="G154" s="109"/>
    </row>
    <row r="155" spans="1:7" x14ac:dyDescent="0.2">
      <c r="A155" s="104"/>
      <c r="B155" s="105"/>
      <c r="C155" s="106"/>
      <c r="D155" s="107"/>
      <c r="E155" s="107"/>
      <c r="F155" s="108"/>
      <c r="G155" s="109"/>
    </row>
    <row r="156" spans="1:7" x14ac:dyDescent="0.2">
      <c r="A156" s="104"/>
      <c r="B156" s="105"/>
      <c r="C156" s="106"/>
      <c r="D156" s="107"/>
      <c r="E156" s="107"/>
      <c r="F156" s="108"/>
      <c r="G156" s="109"/>
    </row>
    <row r="157" spans="1:7" x14ac:dyDescent="0.2">
      <c r="A157" s="104"/>
      <c r="B157" s="105"/>
      <c r="C157" s="106"/>
      <c r="D157" s="107"/>
      <c r="E157" s="107"/>
      <c r="F157" s="108"/>
      <c r="G157" s="109"/>
    </row>
    <row r="158" spans="1:7" x14ac:dyDescent="0.2">
      <c r="A158" s="104"/>
      <c r="B158" s="105"/>
      <c r="C158" s="106"/>
      <c r="D158" s="107"/>
      <c r="E158" s="107"/>
      <c r="F158" s="108"/>
      <c r="G158" s="109"/>
    </row>
    <row r="159" spans="1:7" x14ac:dyDescent="0.2">
      <c r="A159" s="104"/>
      <c r="B159" s="105"/>
      <c r="C159" s="106"/>
      <c r="D159" s="107"/>
      <c r="E159" s="107"/>
      <c r="F159" s="108"/>
      <c r="G159" s="109"/>
    </row>
    <row r="160" spans="1:7" x14ac:dyDescent="0.2">
      <c r="A160" s="104"/>
      <c r="B160" s="105"/>
      <c r="C160" s="106"/>
      <c r="D160" s="107"/>
      <c r="E160" s="107"/>
      <c r="F160" s="108"/>
      <c r="G160" s="10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W150"/>
  <sheetViews>
    <sheetView topLeftCell="I1" workbookViewId="0">
      <selection activeCell="I1" sqref="I1"/>
    </sheetView>
  </sheetViews>
  <sheetFormatPr baseColWidth="10" defaultRowHeight="14.25" x14ac:dyDescent="0.2"/>
  <cols>
    <col min="1" max="1" width="11" customWidth="1"/>
    <col min="3" max="3" width="11" customWidth="1"/>
  </cols>
  <sheetData>
    <row r="2" spans="1:23" x14ac:dyDescent="0.2">
      <c r="A2" s="98"/>
      <c r="B2" s="98"/>
      <c r="C2" s="98"/>
      <c r="D2" s="98"/>
      <c r="E2" s="98"/>
      <c r="F2" s="98"/>
      <c r="G2" s="98"/>
      <c r="I2" s="98"/>
      <c r="J2" s="98"/>
      <c r="K2" s="98"/>
      <c r="L2" s="98"/>
      <c r="M2" s="98"/>
      <c r="N2" s="98"/>
      <c r="O2" s="98"/>
      <c r="Q2" s="98"/>
      <c r="R2" s="98"/>
      <c r="S2" s="98"/>
      <c r="T2" s="98"/>
      <c r="U2" s="98"/>
      <c r="V2" s="98"/>
      <c r="W2" s="98"/>
    </row>
    <row r="3" spans="1:23" x14ac:dyDescent="0.2">
      <c r="A3" s="99"/>
      <c r="B3" s="100"/>
      <c r="C3" s="100"/>
      <c r="D3" s="101"/>
      <c r="E3" s="101"/>
      <c r="F3" s="102"/>
      <c r="G3" s="103"/>
      <c r="I3" s="99"/>
      <c r="J3" s="100"/>
      <c r="K3" s="100"/>
      <c r="L3" s="101"/>
      <c r="M3" s="101"/>
      <c r="N3" s="102"/>
      <c r="O3" s="103"/>
      <c r="Q3" s="99"/>
      <c r="R3" s="100"/>
      <c r="S3" s="100"/>
      <c r="T3" s="101"/>
      <c r="U3" s="101"/>
      <c r="V3" s="102"/>
      <c r="W3" s="103"/>
    </row>
    <row r="4" spans="1:23" x14ac:dyDescent="0.2">
      <c r="A4" s="104"/>
      <c r="B4" s="105"/>
      <c r="C4" s="106"/>
      <c r="D4" s="107"/>
      <c r="E4" s="107"/>
      <c r="F4" s="108"/>
      <c r="G4" s="109"/>
      <c r="I4" s="104"/>
      <c r="J4" s="105"/>
      <c r="K4" s="106"/>
      <c r="L4" s="107"/>
      <c r="M4" s="107"/>
      <c r="N4" s="108"/>
      <c r="O4" s="109"/>
      <c r="Q4" s="104"/>
      <c r="R4" s="105"/>
      <c r="S4" s="106"/>
      <c r="T4" s="107"/>
      <c r="U4" s="107"/>
      <c r="V4" s="108"/>
      <c r="W4" s="109"/>
    </row>
    <row r="5" spans="1:23" x14ac:dyDescent="0.2">
      <c r="A5" s="104"/>
      <c r="B5" s="105"/>
      <c r="C5" s="106"/>
      <c r="D5" s="107"/>
      <c r="E5" s="107"/>
      <c r="F5" s="108"/>
      <c r="G5" s="109"/>
      <c r="I5" s="104"/>
      <c r="J5" s="105"/>
      <c r="K5" s="106"/>
      <c r="L5" s="107"/>
      <c r="M5" s="107"/>
      <c r="N5" s="108"/>
      <c r="O5" s="109"/>
      <c r="Q5" s="104"/>
      <c r="R5" s="105"/>
      <c r="S5" s="106"/>
      <c r="T5" s="107"/>
      <c r="U5" s="107"/>
      <c r="V5" s="108"/>
      <c r="W5" s="109"/>
    </row>
    <row r="6" spans="1:23" x14ac:dyDescent="0.2">
      <c r="A6" s="104"/>
      <c r="B6" s="105"/>
      <c r="C6" s="106"/>
      <c r="D6" s="107"/>
      <c r="E6" s="107"/>
      <c r="F6" s="108"/>
      <c r="G6" s="109"/>
      <c r="I6" s="104"/>
      <c r="J6" s="105"/>
      <c r="K6" s="106"/>
      <c r="L6" s="107"/>
      <c r="M6" s="107"/>
      <c r="N6" s="108"/>
      <c r="O6" s="109"/>
      <c r="Q6" s="104"/>
      <c r="R6" s="105"/>
      <c r="S6" s="106"/>
      <c r="T6" s="107"/>
      <c r="U6" s="107"/>
      <c r="V6" s="108"/>
      <c r="W6" s="109"/>
    </row>
    <row r="7" spans="1:23" x14ac:dyDescent="0.2">
      <c r="A7" s="104"/>
      <c r="B7" s="105"/>
      <c r="C7" s="106"/>
      <c r="D7" s="107"/>
      <c r="E7" s="107"/>
      <c r="F7" s="108"/>
      <c r="G7" s="109"/>
      <c r="I7" s="104"/>
      <c r="J7" s="105"/>
      <c r="K7" s="106"/>
      <c r="L7" s="107"/>
      <c r="M7" s="107"/>
      <c r="N7" s="108"/>
      <c r="O7" s="109"/>
      <c r="Q7" s="104"/>
      <c r="R7" s="105"/>
      <c r="S7" s="106"/>
      <c r="T7" s="107"/>
      <c r="U7" s="107"/>
      <c r="V7" s="108"/>
      <c r="W7" s="109"/>
    </row>
    <row r="8" spans="1:23" x14ac:dyDescent="0.2">
      <c r="A8" s="104"/>
      <c r="B8" s="105"/>
      <c r="C8" s="106"/>
      <c r="D8" s="107"/>
      <c r="E8" s="107"/>
      <c r="F8" s="108"/>
      <c r="G8" s="109"/>
      <c r="I8" s="104"/>
      <c r="J8" s="105"/>
      <c r="K8" s="106"/>
      <c r="L8" s="107"/>
      <c r="M8" s="107"/>
      <c r="N8" s="108"/>
      <c r="O8" s="109"/>
      <c r="Q8" s="104"/>
      <c r="R8" s="105"/>
      <c r="S8" s="106"/>
      <c r="T8" s="107"/>
      <c r="U8" s="107"/>
      <c r="V8" s="108"/>
      <c r="W8" s="109"/>
    </row>
    <row r="9" spans="1:23" x14ac:dyDescent="0.2">
      <c r="A9" s="104"/>
      <c r="B9" s="105"/>
      <c r="C9" s="106"/>
      <c r="D9" s="107"/>
      <c r="E9" s="107"/>
      <c r="F9" s="108"/>
      <c r="G9" s="109"/>
      <c r="I9" s="104"/>
      <c r="J9" s="105"/>
      <c r="K9" s="106"/>
      <c r="L9" s="107"/>
      <c r="M9" s="107"/>
      <c r="N9" s="108"/>
      <c r="O9" s="109"/>
      <c r="Q9" s="104"/>
      <c r="R9" s="105"/>
      <c r="S9" s="106"/>
      <c r="T9" s="107"/>
      <c r="U9" s="107"/>
      <c r="V9" s="108"/>
      <c r="W9" s="109"/>
    </row>
    <row r="10" spans="1:23" x14ac:dyDescent="0.2">
      <c r="A10" s="104"/>
      <c r="B10" s="105"/>
      <c r="C10" s="106"/>
      <c r="D10" s="107"/>
      <c r="E10" s="107"/>
      <c r="F10" s="108"/>
      <c r="G10" s="109"/>
      <c r="I10" s="104"/>
      <c r="J10" s="105"/>
      <c r="K10" s="106"/>
      <c r="L10" s="107"/>
      <c r="M10" s="107"/>
      <c r="N10" s="108"/>
      <c r="O10" s="109"/>
      <c r="Q10" s="104"/>
      <c r="R10" s="105"/>
      <c r="S10" s="106"/>
      <c r="T10" s="107"/>
      <c r="U10" s="107"/>
      <c r="V10" s="108"/>
      <c r="W10" s="109"/>
    </row>
    <row r="11" spans="1:23" x14ac:dyDescent="0.2">
      <c r="A11" s="104"/>
      <c r="B11" s="105"/>
      <c r="C11" s="106"/>
      <c r="D11" s="107"/>
      <c r="E11" s="107"/>
      <c r="F11" s="108"/>
      <c r="G11" s="109"/>
      <c r="I11" s="104"/>
      <c r="J11" s="105"/>
      <c r="K11" s="106"/>
      <c r="L11" s="107"/>
      <c r="M11" s="107"/>
      <c r="N11" s="108"/>
      <c r="O11" s="109"/>
      <c r="Q11" s="104"/>
      <c r="R11" s="105"/>
      <c r="S11" s="106"/>
      <c r="T11" s="107"/>
      <c r="U11" s="107"/>
      <c r="V11" s="108"/>
      <c r="W11" s="109"/>
    </row>
    <row r="12" spans="1:23" x14ac:dyDescent="0.2">
      <c r="A12" s="104"/>
      <c r="B12" s="105"/>
      <c r="C12" s="106"/>
      <c r="D12" s="107"/>
      <c r="E12" s="107"/>
      <c r="F12" s="108"/>
      <c r="G12" s="109"/>
      <c r="I12" s="104"/>
      <c r="J12" s="105"/>
      <c r="K12" s="106"/>
      <c r="L12" s="107"/>
      <c r="M12" s="107"/>
      <c r="N12" s="108"/>
      <c r="O12" s="109"/>
      <c r="Q12" s="104"/>
      <c r="R12" s="105"/>
      <c r="S12" s="106"/>
      <c r="T12" s="107"/>
      <c r="U12" s="107"/>
      <c r="V12" s="108"/>
      <c r="W12" s="109"/>
    </row>
    <row r="13" spans="1:23" x14ac:dyDescent="0.2">
      <c r="A13" s="104"/>
      <c r="B13" s="105"/>
      <c r="C13" s="106"/>
      <c r="D13" s="107"/>
      <c r="E13" s="107"/>
      <c r="F13" s="108"/>
      <c r="G13" s="109"/>
      <c r="I13" s="104"/>
      <c r="J13" s="105"/>
      <c r="K13" s="106"/>
      <c r="L13" s="107"/>
      <c r="M13" s="107"/>
      <c r="N13" s="108"/>
      <c r="O13" s="109"/>
      <c r="Q13" s="104"/>
      <c r="R13" s="105"/>
      <c r="S13" s="106"/>
      <c r="T13" s="107"/>
      <c r="U13" s="107"/>
      <c r="V13" s="108"/>
      <c r="W13" s="109"/>
    </row>
    <row r="14" spans="1:23" x14ac:dyDescent="0.2">
      <c r="A14" s="104"/>
      <c r="B14" s="105"/>
      <c r="C14" s="106"/>
      <c r="D14" s="107"/>
      <c r="E14" s="107"/>
      <c r="F14" s="108"/>
      <c r="G14" s="109"/>
      <c r="I14" s="104"/>
      <c r="J14" s="105"/>
      <c r="K14" s="106"/>
      <c r="L14" s="107"/>
      <c r="M14" s="107"/>
      <c r="N14" s="108"/>
      <c r="O14" s="109"/>
      <c r="Q14" s="104"/>
      <c r="R14" s="105"/>
      <c r="S14" s="106"/>
      <c r="T14" s="107"/>
      <c r="U14" s="107"/>
      <c r="V14" s="108"/>
      <c r="W14" s="109"/>
    </row>
    <row r="15" spans="1:23" x14ac:dyDescent="0.2">
      <c r="A15" s="104"/>
      <c r="B15" s="105"/>
      <c r="C15" s="106"/>
      <c r="D15" s="107"/>
      <c r="E15" s="107"/>
      <c r="F15" s="108"/>
      <c r="G15" s="109"/>
      <c r="H15" s="104"/>
      <c r="I15" s="104"/>
      <c r="J15" s="105"/>
      <c r="K15" s="106"/>
      <c r="L15" s="107"/>
      <c r="M15" s="107"/>
      <c r="N15" s="108"/>
      <c r="O15" s="109"/>
      <c r="Q15" s="104"/>
      <c r="R15" s="105"/>
      <c r="S15" s="106"/>
      <c r="T15" s="107"/>
      <c r="U15" s="107"/>
      <c r="V15" s="108"/>
      <c r="W15" s="109"/>
    </row>
    <row r="16" spans="1:23" x14ac:dyDescent="0.2">
      <c r="A16" s="104"/>
      <c r="B16" s="105"/>
      <c r="C16" s="106"/>
      <c r="D16" s="107"/>
      <c r="E16" s="107"/>
      <c r="F16" s="108"/>
      <c r="G16" s="109"/>
      <c r="H16" s="104"/>
      <c r="I16" s="104"/>
      <c r="J16" s="105"/>
      <c r="K16" s="106"/>
      <c r="L16" s="107"/>
      <c r="M16" s="107"/>
      <c r="N16" s="108"/>
      <c r="O16" s="109"/>
      <c r="Q16" s="104"/>
      <c r="R16" s="105"/>
      <c r="S16" s="106"/>
      <c r="T16" s="107"/>
      <c r="U16" s="107"/>
      <c r="V16" s="108"/>
      <c r="W16" s="109"/>
    </row>
    <row r="17" spans="1:23" x14ac:dyDescent="0.2">
      <c r="A17" s="104"/>
      <c r="B17" s="105"/>
      <c r="C17" s="106"/>
      <c r="D17" s="107"/>
      <c r="E17" s="107"/>
      <c r="F17" s="108"/>
      <c r="G17" s="109"/>
      <c r="H17" s="104"/>
      <c r="I17" s="104"/>
      <c r="J17" s="105"/>
      <c r="K17" s="106"/>
      <c r="L17" s="107"/>
      <c r="M17" s="107"/>
      <c r="N17" s="108"/>
      <c r="O17" s="109"/>
      <c r="Q17" s="104"/>
      <c r="R17" s="105"/>
      <c r="S17" s="106"/>
      <c r="T17" s="107"/>
      <c r="U17" s="107"/>
      <c r="V17" s="108"/>
      <c r="W17" s="109"/>
    </row>
    <row r="18" spans="1:23" x14ac:dyDescent="0.2">
      <c r="A18" s="104"/>
      <c r="B18" s="105"/>
      <c r="C18" s="106"/>
      <c r="D18" s="107"/>
      <c r="E18" s="107"/>
      <c r="F18" s="108"/>
      <c r="G18" s="109"/>
      <c r="H18" s="104"/>
      <c r="I18" s="104"/>
      <c r="J18" s="105"/>
      <c r="K18" s="106"/>
      <c r="L18" s="107"/>
      <c r="M18" s="107"/>
      <c r="N18" s="108"/>
      <c r="O18" s="109"/>
      <c r="Q18" s="104"/>
      <c r="R18" s="105"/>
      <c r="S18" s="106"/>
      <c r="T18" s="107"/>
      <c r="U18" s="107"/>
      <c r="V18" s="108"/>
      <c r="W18" s="109"/>
    </row>
    <row r="19" spans="1:23" x14ac:dyDescent="0.2">
      <c r="A19" s="104"/>
      <c r="B19" s="105"/>
      <c r="C19" s="106"/>
      <c r="D19" s="107"/>
      <c r="E19" s="107"/>
      <c r="F19" s="108"/>
      <c r="G19" s="109"/>
      <c r="H19" s="104"/>
      <c r="I19" s="104"/>
      <c r="J19" s="105"/>
      <c r="K19" s="106"/>
      <c r="L19" s="107"/>
      <c r="M19" s="107"/>
      <c r="N19" s="108"/>
      <c r="O19" s="109"/>
      <c r="Q19" s="104"/>
      <c r="R19" s="105"/>
      <c r="S19" s="106"/>
      <c r="T19" s="107"/>
      <c r="U19" s="107"/>
      <c r="V19" s="108"/>
      <c r="W19" s="109"/>
    </row>
    <row r="20" spans="1:23" x14ac:dyDescent="0.2">
      <c r="A20" s="104"/>
      <c r="B20" s="105"/>
      <c r="C20" s="106"/>
      <c r="D20" s="107"/>
      <c r="E20" s="107"/>
      <c r="F20" s="108"/>
      <c r="G20" s="109"/>
      <c r="H20" s="104"/>
      <c r="I20" s="104"/>
      <c r="J20" s="105"/>
      <c r="K20" s="106"/>
      <c r="L20" s="107"/>
      <c r="M20" s="107"/>
      <c r="N20" s="108"/>
      <c r="O20" s="109"/>
      <c r="Q20" s="104"/>
      <c r="R20" s="105"/>
      <c r="S20" s="106"/>
      <c r="T20" s="107"/>
      <c r="U20" s="107"/>
      <c r="V20" s="108"/>
      <c r="W20" s="109"/>
    </row>
    <row r="21" spans="1:23" x14ac:dyDescent="0.2">
      <c r="A21" s="104"/>
      <c r="B21" s="105"/>
      <c r="C21" s="106"/>
      <c r="D21" s="107"/>
      <c r="E21" s="107"/>
      <c r="F21" s="108"/>
      <c r="G21" s="109"/>
      <c r="H21" s="104"/>
      <c r="I21" s="104"/>
      <c r="J21" s="105"/>
      <c r="K21" s="106"/>
      <c r="L21" s="107"/>
      <c r="M21" s="107"/>
      <c r="N21" s="108"/>
      <c r="O21" s="109"/>
      <c r="Q21" s="104"/>
      <c r="R21" s="105"/>
      <c r="S21" s="106"/>
      <c r="T21" s="107"/>
      <c r="U21" s="107"/>
      <c r="V21" s="108"/>
      <c r="W21" s="109"/>
    </row>
    <row r="22" spans="1:23" x14ac:dyDescent="0.2">
      <c r="A22" s="104"/>
      <c r="B22" s="105"/>
      <c r="C22" s="106"/>
      <c r="D22" s="107"/>
      <c r="E22" s="107"/>
      <c r="F22" s="108"/>
      <c r="G22" s="109"/>
      <c r="H22" s="104"/>
      <c r="I22" s="104"/>
      <c r="J22" s="105"/>
      <c r="K22" s="106"/>
      <c r="L22" s="107"/>
      <c r="M22" s="107"/>
      <c r="N22" s="108"/>
      <c r="O22" s="109"/>
      <c r="Q22" s="104"/>
      <c r="R22" s="105"/>
      <c r="S22" s="106"/>
      <c r="T22" s="107"/>
      <c r="U22" s="107"/>
      <c r="V22" s="108"/>
      <c r="W22" s="109"/>
    </row>
    <row r="23" spans="1:23" x14ac:dyDescent="0.2">
      <c r="A23" s="104"/>
      <c r="B23" s="105"/>
      <c r="C23" s="106"/>
      <c r="D23" s="107"/>
      <c r="E23" s="107"/>
      <c r="F23" s="108"/>
      <c r="G23" s="109"/>
      <c r="H23" s="104"/>
      <c r="I23" s="104"/>
      <c r="J23" s="105"/>
      <c r="K23" s="106"/>
      <c r="L23" s="107"/>
      <c r="M23" s="107"/>
      <c r="N23" s="108"/>
      <c r="O23" s="109"/>
      <c r="Q23" s="104"/>
      <c r="R23" s="105"/>
      <c r="S23" s="106"/>
      <c r="T23" s="107"/>
      <c r="U23" s="107"/>
      <c r="V23" s="108"/>
      <c r="W23" s="109"/>
    </row>
    <row r="24" spans="1:23" x14ac:dyDescent="0.2">
      <c r="A24" s="104"/>
      <c r="B24" s="105"/>
      <c r="C24" s="106"/>
      <c r="D24" s="107"/>
      <c r="E24" s="107"/>
      <c r="F24" s="108"/>
      <c r="G24" s="109"/>
      <c r="H24" s="104"/>
      <c r="I24" s="104"/>
      <c r="J24" s="105"/>
      <c r="K24" s="106"/>
      <c r="L24" s="107"/>
      <c r="M24" s="107"/>
      <c r="N24" s="108"/>
      <c r="O24" s="109"/>
      <c r="Q24" s="104"/>
      <c r="R24" s="105"/>
      <c r="S24" s="106"/>
      <c r="T24" s="107"/>
      <c r="U24" s="107"/>
      <c r="V24" s="108"/>
      <c r="W24" s="109"/>
    </row>
    <row r="25" spans="1:23" x14ac:dyDescent="0.2">
      <c r="A25" s="104"/>
      <c r="B25" s="105"/>
      <c r="C25" s="106"/>
      <c r="D25" s="107"/>
      <c r="E25" s="107"/>
      <c r="F25" s="108"/>
      <c r="G25" s="109"/>
      <c r="H25" s="104"/>
      <c r="I25" s="104"/>
      <c r="J25" s="105"/>
      <c r="K25" s="106"/>
      <c r="L25" s="107"/>
      <c r="M25" s="107"/>
      <c r="N25" s="108"/>
      <c r="O25" s="109"/>
      <c r="Q25" s="104"/>
      <c r="R25" s="105"/>
      <c r="S25" s="106"/>
      <c r="T25" s="107"/>
      <c r="U25" s="107"/>
      <c r="V25" s="108"/>
      <c r="W25" s="109"/>
    </row>
    <row r="26" spans="1:23" x14ac:dyDescent="0.2">
      <c r="A26" s="104"/>
      <c r="B26" s="105"/>
      <c r="C26" s="106"/>
      <c r="D26" s="107"/>
      <c r="E26" s="107"/>
      <c r="F26" s="108"/>
      <c r="G26" s="109"/>
      <c r="H26" s="104"/>
      <c r="I26" s="104"/>
      <c r="J26" s="105"/>
      <c r="K26" s="106"/>
      <c r="L26" s="107"/>
      <c r="M26" s="107"/>
      <c r="N26" s="108"/>
      <c r="O26" s="109"/>
      <c r="Q26" s="104"/>
      <c r="R26" s="105"/>
      <c r="S26" s="106"/>
      <c r="T26" s="107"/>
      <c r="U26" s="107"/>
      <c r="V26" s="108"/>
      <c r="W26" s="109"/>
    </row>
    <row r="27" spans="1:23" x14ac:dyDescent="0.2">
      <c r="A27" s="104"/>
      <c r="B27" s="105"/>
      <c r="C27" s="106"/>
      <c r="D27" s="107"/>
      <c r="E27" s="107"/>
      <c r="F27" s="108"/>
      <c r="G27" s="109"/>
      <c r="H27" s="104"/>
      <c r="I27" s="104"/>
      <c r="J27" s="105"/>
      <c r="K27" s="106"/>
      <c r="L27" s="107"/>
      <c r="M27" s="107"/>
      <c r="N27" s="108"/>
      <c r="O27" s="109"/>
      <c r="Q27" s="104"/>
      <c r="R27" s="105"/>
      <c r="S27" s="106"/>
      <c r="T27" s="107"/>
      <c r="U27" s="107"/>
      <c r="V27" s="108"/>
      <c r="W27" s="109"/>
    </row>
    <row r="28" spans="1:23" x14ac:dyDescent="0.2">
      <c r="A28" s="104"/>
      <c r="B28" s="105"/>
      <c r="C28" s="106"/>
      <c r="D28" s="107"/>
      <c r="E28" s="107"/>
      <c r="F28" s="108"/>
      <c r="G28" s="109"/>
      <c r="H28" s="104"/>
      <c r="I28" s="104"/>
      <c r="J28" s="105"/>
      <c r="K28" s="106"/>
      <c r="L28" s="107"/>
      <c r="M28" s="107"/>
      <c r="N28" s="108"/>
      <c r="O28" s="109"/>
      <c r="Q28" s="104"/>
      <c r="R28" s="105"/>
      <c r="S28" s="106"/>
      <c r="T28" s="107"/>
      <c r="U28" s="107"/>
      <c r="V28" s="108"/>
      <c r="W28" s="109"/>
    </row>
    <row r="29" spans="1:23" x14ac:dyDescent="0.2">
      <c r="A29" s="104"/>
      <c r="B29" s="105"/>
      <c r="C29" s="106"/>
      <c r="D29" s="107"/>
      <c r="E29" s="107"/>
      <c r="F29" s="108"/>
      <c r="G29" s="109"/>
      <c r="H29" s="104"/>
      <c r="I29" s="104"/>
      <c r="J29" s="105"/>
      <c r="K29" s="106"/>
      <c r="L29" s="107"/>
      <c r="M29" s="107"/>
      <c r="N29" s="108"/>
      <c r="O29" s="109"/>
      <c r="Q29" s="104"/>
      <c r="R29" s="105"/>
      <c r="S29" s="106"/>
      <c r="T29" s="107"/>
      <c r="U29" s="107"/>
      <c r="V29" s="108"/>
      <c r="W29" s="109"/>
    </row>
    <row r="30" spans="1:23" x14ac:dyDescent="0.2">
      <c r="A30" s="104"/>
      <c r="B30" s="105"/>
      <c r="C30" s="106"/>
      <c r="D30" s="107"/>
      <c r="E30" s="107"/>
      <c r="F30" s="108"/>
      <c r="G30" s="109"/>
      <c r="H30" s="104"/>
      <c r="I30" s="104"/>
      <c r="J30" s="105"/>
      <c r="K30" s="106"/>
      <c r="L30" s="107"/>
      <c r="M30" s="107"/>
      <c r="N30" s="108"/>
      <c r="O30" s="109"/>
      <c r="Q30" s="104"/>
      <c r="R30" s="105"/>
      <c r="S30" s="106"/>
      <c r="T30" s="107"/>
      <c r="U30" s="107"/>
      <c r="V30" s="108"/>
      <c r="W30" s="109"/>
    </row>
    <row r="31" spans="1:23" x14ac:dyDescent="0.2">
      <c r="A31" s="104"/>
      <c r="B31" s="105"/>
      <c r="C31" s="106"/>
      <c r="D31" s="107"/>
      <c r="E31" s="107"/>
      <c r="F31" s="108"/>
      <c r="G31" s="109"/>
      <c r="H31" s="104"/>
      <c r="I31" s="104"/>
      <c r="J31" s="105"/>
      <c r="K31" s="106"/>
      <c r="L31" s="107"/>
      <c r="M31" s="107"/>
      <c r="N31" s="108"/>
      <c r="O31" s="109"/>
      <c r="Q31" s="104"/>
      <c r="R31" s="105"/>
      <c r="S31" s="106"/>
      <c r="T31" s="107"/>
      <c r="U31" s="107"/>
      <c r="V31" s="108"/>
      <c r="W31" s="109"/>
    </row>
    <row r="32" spans="1:23" x14ac:dyDescent="0.2">
      <c r="A32" s="104"/>
      <c r="B32" s="105"/>
      <c r="C32" s="106"/>
      <c r="D32" s="107"/>
      <c r="E32" s="107"/>
      <c r="F32" s="108"/>
      <c r="G32" s="109"/>
      <c r="H32" s="104"/>
      <c r="I32" s="104"/>
      <c r="J32" s="105"/>
      <c r="K32" s="106"/>
      <c r="L32" s="107"/>
      <c r="M32" s="107"/>
      <c r="N32" s="108"/>
      <c r="O32" s="109"/>
      <c r="Q32" s="104"/>
      <c r="R32" s="105"/>
      <c r="S32" s="106"/>
      <c r="T32" s="107"/>
      <c r="U32" s="107"/>
      <c r="V32" s="108"/>
      <c r="W32" s="109"/>
    </row>
    <row r="33" spans="1:23" x14ac:dyDescent="0.2">
      <c r="A33" s="104"/>
      <c r="B33" s="105"/>
      <c r="C33" s="106"/>
      <c r="D33" s="107"/>
      <c r="E33" s="107"/>
      <c r="F33" s="108"/>
      <c r="G33" s="109"/>
      <c r="H33" s="104"/>
      <c r="I33" s="104"/>
      <c r="J33" s="105"/>
      <c r="K33" s="106"/>
      <c r="L33" s="107"/>
      <c r="M33" s="107"/>
      <c r="N33" s="108"/>
      <c r="O33" s="109"/>
      <c r="Q33" s="104"/>
      <c r="R33" s="105"/>
      <c r="S33" s="106"/>
      <c r="T33" s="107"/>
      <c r="U33" s="107"/>
      <c r="V33" s="108"/>
      <c r="W33" s="109"/>
    </row>
    <row r="34" spans="1:23" x14ac:dyDescent="0.2">
      <c r="A34" s="104"/>
      <c r="B34" s="105"/>
      <c r="C34" s="106"/>
      <c r="D34" s="107"/>
      <c r="E34" s="107"/>
      <c r="F34" s="108"/>
      <c r="G34" s="109"/>
      <c r="H34" s="104"/>
      <c r="I34" s="104"/>
      <c r="J34" s="105"/>
      <c r="K34" s="106"/>
      <c r="L34" s="107"/>
      <c r="M34" s="107"/>
      <c r="N34" s="108"/>
      <c r="O34" s="109"/>
      <c r="Q34" s="104"/>
      <c r="R34" s="105"/>
      <c r="S34" s="106"/>
      <c r="T34" s="107"/>
      <c r="U34" s="107"/>
      <c r="V34" s="108"/>
      <c r="W34" s="109"/>
    </row>
    <row r="35" spans="1:23" x14ac:dyDescent="0.2">
      <c r="A35" s="104"/>
      <c r="B35" s="105"/>
      <c r="C35" s="106"/>
      <c r="D35" s="107"/>
      <c r="E35" s="107"/>
      <c r="F35" s="108"/>
      <c r="G35" s="109"/>
      <c r="H35" s="104"/>
      <c r="I35" s="104"/>
      <c r="J35" s="105"/>
      <c r="K35" s="106"/>
      <c r="L35" s="107"/>
      <c r="M35" s="107"/>
      <c r="N35" s="108"/>
      <c r="O35" s="109"/>
      <c r="Q35" s="104"/>
      <c r="R35" s="105"/>
      <c r="S35" s="106"/>
      <c r="T35" s="107"/>
      <c r="U35" s="107"/>
      <c r="V35" s="108"/>
      <c r="W35" s="109"/>
    </row>
    <row r="36" spans="1:23" x14ac:dyDescent="0.2">
      <c r="A36" s="104"/>
      <c r="B36" s="105"/>
      <c r="C36" s="106"/>
      <c r="D36" s="107"/>
      <c r="E36" s="107"/>
      <c r="F36" s="108"/>
      <c r="G36" s="109"/>
      <c r="H36" s="104"/>
      <c r="I36" s="104"/>
      <c r="J36" s="105"/>
      <c r="K36" s="106"/>
      <c r="L36" s="107"/>
      <c r="M36" s="107"/>
      <c r="N36" s="108"/>
      <c r="O36" s="109"/>
      <c r="Q36" s="104"/>
      <c r="R36" s="105"/>
      <c r="S36" s="106"/>
      <c r="T36" s="107"/>
      <c r="U36" s="107"/>
      <c r="V36" s="108"/>
      <c r="W36" s="109"/>
    </row>
    <row r="37" spans="1:23" x14ac:dyDescent="0.2">
      <c r="A37" s="104"/>
      <c r="B37" s="105"/>
      <c r="C37" s="106"/>
      <c r="D37" s="107"/>
      <c r="E37" s="107"/>
      <c r="F37" s="108"/>
      <c r="G37" s="109"/>
      <c r="H37" s="104"/>
      <c r="I37" s="104"/>
      <c r="J37" s="105"/>
      <c r="K37" s="106"/>
      <c r="L37" s="107"/>
      <c r="M37" s="107"/>
      <c r="N37" s="108"/>
      <c r="O37" s="109"/>
      <c r="Q37" s="104"/>
      <c r="R37" s="105"/>
      <c r="S37" s="106"/>
      <c r="T37" s="107"/>
      <c r="U37" s="107"/>
      <c r="V37" s="108"/>
      <c r="W37" s="109"/>
    </row>
    <row r="38" spans="1:23" x14ac:dyDescent="0.2">
      <c r="A38" s="104"/>
      <c r="B38" s="105"/>
      <c r="C38" s="106"/>
      <c r="D38" s="107"/>
      <c r="E38" s="107"/>
      <c r="F38" s="108"/>
      <c r="G38" s="109"/>
      <c r="H38" s="104"/>
      <c r="I38" s="104"/>
      <c r="J38" s="105"/>
      <c r="K38" s="106"/>
      <c r="L38" s="107"/>
      <c r="M38" s="107"/>
      <c r="N38" s="108"/>
      <c r="O38" s="109"/>
      <c r="Q38" s="104"/>
      <c r="R38" s="105"/>
      <c r="S38" s="106"/>
      <c r="T38" s="107"/>
      <c r="U38" s="107"/>
      <c r="V38" s="108"/>
      <c r="W38" s="109"/>
    </row>
    <row r="39" spans="1:23" x14ac:dyDescent="0.2">
      <c r="A39" s="104"/>
      <c r="B39" s="105"/>
      <c r="C39" s="106"/>
      <c r="D39" s="107"/>
      <c r="E39" s="107"/>
      <c r="F39" s="108"/>
      <c r="G39" s="109"/>
      <c r="H39" s="104"/>
      <c r="I39" s="104"/>
      <c r="J39" s="105"/>
      <c r="K39" s="106"/>
      <c r="L39" s="107"/>
      <c r="M39" s="107"/>
      <c r="N39" s="108"/>
      <c r="O39" s="109"/>
      <c r="Q39" s="104"/>
      <c r="R39" s="105"/>
      <c r="S39" s="106"/>
      <c r="T39" s="107"/>
      <c r="U39" s="107"/>
      <c r="V39" s="108"/>
      <c r="W39" s="109"/>
    </row>
    <row r="40" spans="1:23" x14ac:dyDescent="0.2">
      <c r="A40" s="104"/>
      <c r="B40" s="105"/>
      <c r="C40" s="106"/>
      <c r="D40" s="107"/>
      <c r="E40" s="107"/>
      <c r="F40" s="108"/>
      <c r="G40" s="109"/>
      <c r="H40" s="104"/>
      <c r="I40" s="104"/>
      <c r="J40" s="105"/>
      <c r="K40" s="106"/>
      <c r="L40" s="107"/>
      <c r="M40" s="107"/>
      <c r="N40" s="108"/>
      <c r="O40" s="109"/>
      <c r="Q40" s="104"/>
      <c r="R40" s="105"/>
      <c r="S40" s="106"/>
      <c r="T40" s="107"/>
      <c r="U40" s="107"/>
      <c r="V40" s="108"/>
      <c r="W40" s="109"/>
    </row>
    <row r="41" spans="1:23" x14ac:dyDescent="0.2">
      <c r="A41" s="104"/>
      <c r="B41" s="105"/>
      <c r="C41" s="106"/>
      <c r="D41" s="107"/>
      <c r="E41" s="107"/>
      <c r="F41" s="108"/>
      <c r="G41" s="109"/>
      <c r="H41" s="104"/>
      <c r="I41" s="104"/>
      <c r="J41" s="105"/>
      <c r="K41" s="106"/>
      <c r="L41" s="107"/>
      <c r="M41" s="107"/>
      <c r="N41" s="108"/>
      <c r="O41" s="109"/>
      <c r="Q41" s="104"/>
      <c r="R41" s="105"/>
      <c r="S41" s="106"/>
      <c r="T41" s="107"/>
      <c r="U41" s="107"/>
      <c r="V41" s="108"/>
      <c r="W41" s="109"/>
    </row>
    <row r="42" spans="1:23" x14ac:dyDescent="0.2">
      <c r="A42" s="104"/>
      <c r="B42" s="105"/>
      <c r="C42" s="106"/>
      <c r="D42" s="107"/>
      <c r="E42" s="107"/>
      <c r="F42" s="108"/>
      <c r="G42" s="109"/>
      <c r="H42" s="104"/>
      <c r="I42" s="104"/>
      <c r="J42" s="105"/>
      <c r="K42" s="106"/>
      <c r="L42" s="107"/>
      <c r="M42" s="107"/>
      <c r="N42" s="108"/>
      <c r="O42" s="109"/>
      <c r="Q42" s="104"/>
      <c r="R42" s="105"/>
      <c r="S42" s="106"/>
      <c r="T42" s="107"/>
      <c r="U42" s="107"/>
      <c r="V42" s="108"/>
      <c r="W42" s="109"/>
    </row>
    <row r="43" spans="1:23" x14ac:dyDescent="0.2">
      <c r="A43" s="104"/>
      <c r="B43" s="105"/>
      <c r="C43" s="106"/>
      <c r="D43" s="107"/>
      <c r="E43" s="107"/>
      <c r="F43" s="108"/>
      <c r="G43" s="109"/>
      <c r="H43" s="104"/>
      <c r="I43" s="104"/>
      <c r="J43" s="105"/>
      <c r="K43" s="106"/>
      <c r="L43" s="107"/>
      <c r="M43" s="107"/>
      <c r="N43" s="108"/>
      <c r="O43" s="109"/>
      <c r="Q43" s="104"/>
      <c r="R43" s="105"/>
      <c r="S43" s="106"/>
      <c r="T43" s="107"/>
      <c r="U43" s="107"/>
      <c r="V43" s="108"/>
      <c r="W43" s="109"/>
    </row>
    <row r="44" spans="1:23" x14ac:dyDescent="0.2">
      <c r="A44" s="104"/>
      <c r="B44" s="105"/>
      <c r="C44" s="106"/>
      <c r="D44" s="107"/>
      <c r="E44" s="107"/>
      <c r="F44" s="108"/>
      <c r="G44" s="109"/>
      <c r="H44" s="104"/>
      <c r="I44" s="104"/>
      <c r="J44" s="105"/>
      <c r="K44" s="106"/>
      <c r="L44" s="107"/>
      <c r="M44" s="107"/>
      <c r="N44" s="108"/>
      <c r="O44" s="109"/>
      <c r="Q44" s="104"/>
      <c r="R44" s="105"/>
      <c r="S44" s="106"/>
      <c r="T44" s="107"/>
      <c r="U44" s="107"/>
      <c r="V44" s="108"/>
      <c r="W44" s="109"/>
    </row>
    <row r="45" spans="1:23" x14ac:dyDescent="0.2">
      <c r="A45" s="104"/>
      <c r="B45" s="105"/>
      <c r="C45" s="106"/>
      <c r="D45" s="107"/>
      <c r="E45" s="107"/>
      <c r="F45" s="108"/>
      <c r="G45" s="109"/>
      <c r="H45" s="104"/>
      <c r="I45" s="104"/>
      <c r="J45" s="105"/>
      <c r="K45" s="106"/>
      <c r="L45" s="107"/>
      <c r="M45" s="107"/>
      <c r="N45" s="108"/>
      <c r="O45" s="109"/>
      <c r="Q45" s="104"/>
      <c r="R45" s="105"/>
      <c r="S45" s="106"/>
      <c r="T45" s="107"/>
      <c r="U45" s="107"/>
      <c r="V45" s="108"/>
      <c r="W45" s="109"/>
    </row>
    <row r="46" spans="1:23" x14ac:dyDescent="0.2">
      <c r="A46" s="104"/>
      <c r="B46" s="105"/>
      <c r="C46" s="106"/>
      <c r="D46" s="107"/>
      <c r="E46" s="107"/>
      <c r="F46" s="108"/>
      <c r="G46" s="109"/>
      <c r="H46" s="104"/>
      <c r="I46" s="104"/>
      <c r="J46" s="105"/>
      <c r="K46" s="106"/>
      <c r="L46" s="107"/>
      <c r="M46" s="107"/>
      <c r="N46" s="108"/>
      <c r="O46" s="109"/>
      <c r="Q46" s="104"/>
      <c r="R46" s="105"/>
      <c r="S46" s="106"/>
      <c r="T46" s="107"/>
      <c r="U46" s="107"/>
      <c r="V46" s="108"/>
      <c r="W46" s="109"/>
    </row>
    <row r="47" spans="1:23" x14ac:dyDescent="0.2">
      <c r="A47" s="104"/>
      <c r="B47" s="105"/>
      <c r="C47" s="106"/>
      <c r="D47" s="107"/>
      <c r="E47" s="107"/>
      <c r="F47" s="108"/>
      <c r="G47" s="109"/>
      <c r="H47" s="104"/>
      <c r="I47" s="104"/>
      <c r="J47" s="105"/>
      <c r="K47" s="106"/>
      <c r="L47" s="107"/>
      <c r="M47" s="107"/>
      <c r="N47" s="108"/>
      <c r="O47" s="109"/>
      <c r="Q47" s="104"/>
      <c r="R47" s="105"/>
      <c r="S47" s="106"/>
      <c r="T47" s="107"/>
      <c r="U47" s="107"/>
      <c r="V47" s="108"/>
      <c r="W47" s="109"/>
    </row>
    <row r="48" spans="1:23" x14ac:dyDescent="0.2">
      <c r="A48" s="104"/>
      <c r="B48" s="105"/>
      <c r="C48" s="106"/>
      <c r="D48" s="107"/>
      <c r="E48" s="107"/>
      <c r="F48" s="108"/>
      <c r="G48" s="109"/>
      <c r="H48" s="104"/>
      <c r="I48" s="104"/>
      <c r="J48" s="105"/>
      <c r="K48" s="106"/>
      <c r="L48" s="107"/>
      <c r="M48" s="107"/>
      <c r="N48" s="108"/>
      <c r="O48" s="109"/>
      <c r="Q48" s="104"/>
      <c r="R48" s="105"/>
      <c r="S48" s="106"/>
      <c r="T48" s="107"/>
      <c r="U48" s="107"/>
      <c r="V48" s="108"/>
      <c r="W48" s="109"/>
    </row>
    <row r="49" spans="1:23" x14ac:dyDescent="0.2">
      <c r="A49" s="104"/>
      <c r="B49" s="105"/>
      <c r="C49" s="106"/>
      <c r="D49" s="107"/>
      <c r="E49" s="107"/>
      <c r="F49" s="108"/>
      <c r="G49" s="109"/>
      <c r="H49" s="104"/>
      <c r="I49" s="104"/>
      <c r="J49" s="105"/>
      <c r="K49" s="106"/>
      <c r="L49" s="107"/>
      <c r="M49" s="107"/>
      <c r="N49" s="108"/>
      <c r="O49" s="109"/>
      <c r="Q49" s="104"/>
      <c r="R49" s="105"/>
      <c r="S49" s="106"/>
      <c r="T49" s="107"/>
      <c r="U49" s="107"/>
      <c r="V49" s="108"/>
      <c r="W49" s="109"/>
    </row>
    <row r="50" spans="1:23" x14ac:dyDescent="0.2">
      <c r="A50" s="104"/>
      <c r="B50" s="105"/>
      <c r="C50" s="106"/>
      <c r="D50" s="107"/>
      <c r="E50" s="107"/>
      <c r="F50" s="108"/>
      <c r="G50" s="109"/>
      <c r="H50" s="104"/>
      <c r="I50" s="104"/>
      <c r="J50" s="105"/>
      <c r="K50" s="106"/>
      <c r="L50" s="107"/>
      <c r="M50" s="107"/>
      <c r="N50" s="108"/>
      <c r="O50" s="109"/>
      <c r="Q50" s="104"/>
      <c r="R50" s="105"/>
      <c r="S50" s="106"/>
      <c r="T50" s="107"/>
      <c r="U50" s="107"/>
      <c r="V50" s="108"/>
      <c r="W50" s="109"/>
    </row>
    <row r="51" spans="1:23" x14ac:dyDescent="0.2">
      <c r="A51" s="104"/>
      <c r="B51" s="105"/>
      <c r="C51" s="106"/>
      <c r="D51" s="107"/>
      <c r="E51" s="107"/>
      <c r="F51" s="108"/>
      <c r="G51" s="109"/>
      <c r="H51" s="104"/>
      <c r="I51" s="104"/>
      <c r="J51" s="105"/>
      <c r="K51" s="106"/>
      <c r="L51" s="107"/>
      <c r="M51" s="107"/>
      <c r="N51" s="108"/>
      <c r="O51" s="109"/>
      <c r="Q51" s="104"/>
      <c r="R51" s="105"/>
      <c r="S51" s="106"/>
      <c r="T51" s="107"/>
      <c r="U51" s="107"/>
      <c r="V51" s="108"/>
      <c r="W51" s="109"/>
    </row>
    <row r="52" spans="1:23" x14ac:dyDescent="0.2">
      <c r="A52" s="104"/>
      <c r="B52" s="105"/>
      <c r="C52" s="106"/>
      <c r="D52" s="107"/>
      <c r="E52" s="107"/>
      <c r="F52" s="108"/>
      <c r="G52" s="109"/>
      <c r="H52" s="104"/>
      <c r="I52" s="104"/>
      <c r="J52" s="105"/>
      <c r="K52" s="106"/>
      <c r="L52" s="107"/>
      <c r="M52" s="107"/>
      <c r="N52" s="108"/>
      <c r="O52" s="109"/>
      <c r="Q52" s="104"/>
      <c r="R52" s="105"/>
      <c r="S52" s="106"/>
      <c r="T52" s="107"/>
      <c r="U52" s="107"/>
      <c r="V52" s="108"/>
      <c r="W52" s="109"/>
    </row>
    <row r="53" spans="1:23" x14ac:dyDescent="0.2">
      <c r="A53" s="104"/>
      <c r="B53" s="105"/>
      <c r="C53" s="106"/>
      <c r="D53" s="107"/>
      <c r="E53" s="107"/>
      <c r="F53" s="108"/>
      <c r="G53" s="109"/>
      <c r="H53" s="104"/>
      <c r="I53" s="104"/>
      <c r="J53" s="105"/>
      <c r="K53" s="106"/>
      <c r="L53" s="107"/>
      <c r="M53" s="107"/>
      <c r="N53" s="108"/>
      <c r="O53" s="109"/>
      <c r="Q53" s="104"/>
      <c r="R53" s="105"/>
      <c r="S53" s="106"/>
      <c r="T53" s="107"/>
      <c r="U53" s="107"/>
      <c r="V53" s="108"/>
      <c r="W53" s="109"/>
    </row>
    <row r="54" spans="1:23" x14ac:dyDescent="0.2">
      <c r="A54" s="104"/>
      <c r="B54" s="105"/>
      <c r="C54" s="106"/>
      <c r="D54" s="107"/>
      <c r="E54" s="107"/>
      <c r="F54" s="108"/>
      <c r="G54" s="109"/>
      <c r="H54" s="104"/>
      <c r="I54" s="104"/>
      <c r="J54" s="105"/>
      <c r="K54" s="106"/>
      <c r="L54" s="107"/>
      <c r="M54" s="107"/>
      <c r="N54" s="108"/>
      <c r="O54" s="109"/>
      <c r="Q54" s="104"/>
      <c r="R54" s="105"/>
      <c r="S54" s="106"/>
      <c r="T54" s="107"/>
      <c r="U54" s="107"/>
      <c r="V54" s="108"/>
      <c r="W54" s="109"/>
    </row>
    <row r="55" spans="1:23" x14ac:dyDescent="0.2">
      <c r="A55" s="104"/>
      <c r="B55" s="105"/>
      <c r="C55" s="106"/>
      <c r="D55" s="107"/>
      <c r="E55" s="107"/>
      <c r="F55" s="108"/>
      <c r="G55" s="109"/>
      <c r="H55" s="104"/>
      <c r="I55" s="104"/>
      <c r="J55" s="105"/>
      <c r="K55" s="106"/>
      <c r="L55" s="107"/>
      <c r="M55" s="107"/>
      <c r="N55" s="108"/>
      <c r="O55" s="109"/>
      <c r="Q55" s="104"/>
      <c r="R55" s="105"/>
      <c r="S55" s="106"/>
      <c r="T55" s="107"/>
      <c r="U55" s="107"/>
      <c r="V55" s="108"/>
      <c r="W55" s="109"/>
    </row>
    <row r="56" spans="1:23" x14ac:dyDescent="0.2">
      <c r="A56" s="104"/>
      <c r="B56" s="105"/>
      <c r="C56" s="106"/>
      <c r="D56" s="107"/>
      <c r="E56" s="107"/>
      <c r="F56" s="108"/>
      <c r="G56" s="109"/>
      <c r="H56" s="104"/>
      <c r="I56" s="104"/>
      <c r="J56" s="105"/>
      <c r="K56" s="106"/>
      <c r="L56" s="107"/>
      <c r="M56" s="107"/>
      <c r="N56" s="108"/>
      <c r="O56" s="109"/>
      <c r="Q56" s="104"/>
      <c r="R56" s="105"/>
      <c r="S56" s="106"/>
      <c r="T56" s="107"/>
      <c r="U56" s="107"/>
      <c r="V56" s="108"/>
      <c r="W56" s="109"/>
    </row>
    <row r="57" spans="1:23" x14ac:dyDescent="0.2">
      <c r="A57" s="104"/>
      <c r="B57" s="105"/>
      <c r="C57" s="106"/>
      <c r="D57" s="107"/>
      <c r="E57" s="107"/>
      <c r="F57" s="108"/>
      <c r="G57" s="109"/>
      <c r="H57" s="104"/>
      <c r="I57" s="104"/>
      <c r="J57" s="105"/>
      <c r="K57" s="106"/>
      <c r="L57" s="107"/>
      <c r="M57" s="107"/>
      <c r="N57" s="108"/>
      <c r="O57" s="109"/>
      <c r="Q57" s="104"/>
      <c r="R57" s="105"/>
      <c r="S57" s="106"/>
      <c r="T57" s="107"/>
      <c r="U57" s="107"/>
      <c r="V57" s="108"/>
      <c r="W57" s="109"/>
    </row>
    <row r="58" spans="1:23" x14ac:dyDescent="0.2">
      <c r="A58" s="104"/>
      <c r="B58" s="105"/>
      <c r="C58" s="106"/>
      <c r="D58" s="107"/>
      <c r="E58" s="107"/>
      <c r="F58" s="108"/>
      <c r="G58" s="109"/>
      <c r="H58" s="104"/>
      <c r="I58" s="104"/>
      <c r="J58" s="105"/>
      <c r="K58" s="106"/>
      <c r="L58" s="107"/>
      <c r="M58" s="107"/>
      <c r="N58" s="108"/>
      <c r="O58" s="109"/>
      <c r="Q58" s="104"/>
      <c r="R58" s="105"/>
      <c r="S58" s="106"/>
      <c r="T58" s="107"/>
      <c r="U58" s="107"/>
      <c r="V58" s="108"/>
      <c r="W58" s="109"/>
    </row>
    <row r="59" spans="1:23" x14ac:dyDescent="0.2">
      <c r="A59" s="104"/>
      <c r="B59" s="105"/>
      <c r="C59" s="106"/>
      <c r="D59" s="107"/>
      <c r="E59" s="107"/>
      <c r="F59" s="108"/>
      <c r="G59" s="109"/>
      <c r="H59" s="104"/>
      <c r="I59" s="104"/>
      <c r="J59" s="105"/>
      <c r="K59" s="106"/>
      <c r="L59" s="107"/>
      <c r="M59" s="107"/>
      <c r="N59" s="108"/>
      <c r="O59" s="109"/>
      <c r="Q59" s="104"/>
      <c r="R59" s="105"/>
      <c r="S59" s="106"/>
      <c r="T59" s="107"/>
      <c r="U59" s="107"/>
      <c r="V59" s="108"/>
      <c r="W59" s="109"/>
    </row>
    <row r="60" spans="1:23" x14ac:dyDescent="0.2">
      <c r="A60" s="104"/>
      <c r="B60" s="105"/>
      <c r="C60" s="106"/>
      <c r="D60" s="107"/>
      <c r="E60" s="107"/>
      <c r="F60" s="108"/>
      <c r="G60" s="109"/>
      <c r="H60" s="104"/>
      <c r="I60" s="104"/>
      <c r="J60" s="105"/>
      <c r="K60" s="106"/>
      <c r="L60" s="107"/>
      <c r="M60" s="107"/>
      <c r="N60" s="108"/>
      <c r="O60" s="109"/>
      <c r="Q60" s="104"/>
      <c r="R60" s="105"/>
      <c r="S60" s="106"/>
      <c r="T60" s="107"/>
      <c r="U60" s="107"/>
      <c r="V60" s="108"/>
      <c r="W60" s="109"/>
    </row>
    <row r="61" spans="1:23" x14ac:dyDescent="0.2">
      <c r="A61" s="104"/>
      <c r="B61" s="105"/>
      <c r="C61" s="106"/>
      <c r="D61" s="107"/>
      <c r="E61" s="107"/>
      <c r="F61" s="108"/>
      <c r="G61" s="109"/>
      <c r="H61" s="104"/>
      <c r="I61" s="104"/>
      <c r="J61" s="105"/>
      <c r="K61" s="106"/>
      <c r="L61" s="107"/>
      <c r="M61" s="107"/>
      <c r="N61" s="108"/>
      <c r="O61" s="109"/>
      <c r="Q61" s="104"/>
      <c r="R61" s="105"/>
      <c r="S61" s="106"/>
      <c r="T61" s="107"/>
      <c r="U61" s="107"/>
      <c r="V61" s="108"/>
      <c r="W61" s="109"/>
    </row>
    <row r="62" spans="1:23" x14ac:dyDescent="0.2">
      <c r="A62" s="104"/>
      <c r="B62" s="105"/>
      <c r="C62" s="106"/>
      <c r="D62" s="107"/>
      <c r="E62" s="107"/>
      <c r="F62" s="108"/>
      <c r="G62" s="109"/>
      <c r="H62" s="104"/>
      <c r="I62" s="104"/>
      <c r="J62" s="105"/>
      <c r="K62" s="106"/>
      <c r="L62" s="107"/>
      <c r="M62" s="107"/>
      <c r="N62" s="108"/>
      <c r="O62" s="109"/>
      <c r="Q62" s="104"/>
      <c r="R62" s="105"/>
      <c r="S62" s="106"/>
      <c r="T62" s="107"/>
      <c r="U62" s="107"/>
      <c r="V62" s="108"/>
      <c r="W62" s="109"/>
    </row>
    <row r="63" spans="1:23" x14ac:dyDescent="0.2">
      <c r="A63" s="104"/>
      <c r="B63" s="105"/>
      <c r="C63" s="106"/>
      <c r="D63" s="107"/>
      <c r="E63" s="107"/>
      <c r="F63" s="108"/>
      <c r="G63" s="109"/>
      <c r="H63" s="104"/>
      <c r="I63" s="104"/>
      <c r="J63" s="105"/>
      <c r="K63" s="106"/>
      <c r="L63" s="107"/>
      <c r="M63" s="107"/>
      <c r="N63" s="108"/>
      <c r="O63" s="109"/>
      <c r="Q63" s="104"/>
      <c r="R63" s="105"/>
      <c r="S63" s="106"/>
      <c r="T63" s="107"/>
      <c r="U63" s="107"/>
      <c r="V63" s="108"/>
      <c r="W63" s="109"/>
    </row>
    <row r="64" spans="1:23" x14ac:dyDescent="0.2">
      <c r="A64" s="104"/>
      <c r="B64" s="105"/>
      <c r="C64" s="106"/>
      <c r="D64" s="107"/>
      <c r="E64" s="107"/>
      <c r="F64" s="108"/>
      <c r="G64" s="109"/>
      <c r="H64" s="104"/>
      <c r="I64" s="104"/>
      <c r="J64" s="105"/>
      <c r="K64" s="106"/>
      <c r="L64" s="107"/>
      <c r="M64" s="107"/>
      <c r="N64" s="108"/>
      <c r="O64" s="109"/>
      <c r="Q64" s="104"/>
      <c r="R64" s="105"/>
      <c r="S64" s="106"/>
      <c r="T64" s="107"/>
      <c r="U64" s="107"/>
      <c r="V64" s="108"/>
      <c r="W64" s="109"/>
    </row>
    <row r="65" spans="1:23" x14ac:dyDescent="0.2">
      <c r="A65" s="104"/>
      <c r="B65" s="105"/>
      <c r="C65" s="106"/>
      <c r="D65" s="107"/>
      <c r="E65" s="107"/>
      <c r="F65" s="108"/>
      <c r="G65" s="109"/>
      <c r="H65" s="104"/>
      <c r="I65" s="104"/>
      <c r="J65" s="105"/>
      <c r="K65" s="106"/>
      <c r="L65" s="107"/>
      <c r="M65" s="107"/>
      <c r="N65" s="108"/>
      <c r="O65" s="109"/>
      <c r="Q65" s="104"/>
      <c r="R65" s="105"/>
      <c r="S65" s="106"/>
      <c r="T65" s="107"/>
      <c r="U65" s="107"/>
      <c r="V65" s="108"/>
      <c r="W65" s="109"/>
    </row>
    <row r="66" spans="1:23" x14ac:dyDescent="0.2">
      <c r="A66" s="104"/>
      <c r="B66" s="105"/>
      <c r="C66" s="106"/>
      <c r="D66" s="107"/>
      <c r="E66" s="107"/>
      <c r="F66" s="108"/>
      <c r="G66" s="109"/>
      <c r="H66" s="104"/>
      <c r="I66" s="104"/>
      <c r="J66" s="105"/>
      <c r="K66" s="106"/>
      <c r="L66" s="107"/>
      <c r="M66" s="107"/>
      <c r="N66" s="108"/>
      <c r="O66" s="109"/>
      <c r="Q66" s="104"/>
      <c r="R66" s="105"/>
      <c r="S66" s="106"/>
      <c r="T66" s="107"/>
      <c r="U66" s="107"/>
      <c r="V66" s="108"/>
      <c r="W66" s="109"/>
    </row>
    <row r="67" spans="1:23" x14ac:dyDescent="0.2">
      <c r="A67" s="104"/>
      <c r="B67" s="105"/>
      <c r="C67" s="106"/>
      <c r="D67" s="107"/>
      <c r="E67" s="107"/>
      <c r="F67" s="108"/>
      <c r="G67" s="109"/>
      <c r="H67" s="104"/>
      <c r="I67" s="104"/>
      <c r="J67" s="105"/>
      <c r="K67" s="106"/>
      <c r="L67" s="107"/>
      <c r="M67" s="107"/>
      <c r="N67" s="108"/>
      <c r="O67" s="109"/>
      <c r="Q67" s="104"/>
      <c r="R67" s="105"/>
      <c r="S67" s="106"/>
      <c r="T67" s="107"/>
      <c r="U67" s="107"/>
      <c r="V67" s="108"/>
      <c r="W67" s="109"/>
    </row>
    <row r="68" spans="1:23" x14ac:dyDescent="0.2">
      <c r="A68" s="104"/>
      <c r="B68" s="105"/>
      <c r="C68" s="106"/>
      <c r="D68" s="107"/>
      <c r="E68" s="107"/>
      <c r="F68" s="108"/>
      <c r="G68" s="109"/>
      <c r="H68" s="104"/>
      <c r="I68" s="104"/>
      <c r="J68" s="105"/>
      <c r="K68" s="106"/>
      <c r="L68" s="107"/>
      <c r="M68" s="107"/>
      <c r="N68" s="108"/>
      <c r="O68" s="109"/>
      <c r="Q68" s="104"/>
      <c r="R68" s="105"/>
      <c r="S68" s="106"/>
      <c r="T68" s="107"/>
      <c r="U68" s="107"/>
      <c r="V68" s="108"/>
      <c r="W68" s="109"/>
    </row>
    <row r="69" spans="1:23" x14ac:dyDescent="0.2">
      <c r="A69" s="104"/>
      <c r="B69" s="105"/>
      <c r="C69" s="106"/>
      <c r="D69" s="107"/>
      <c r="E69" s="107"/>
      <c r="F69" s="108"/>
      <c r="G69" s="109"/>
      <c r="H69" s="104"/>
      <c r="I69" s="104"/>
      <c r="J69" s="105"/>
      <c r="K69" s="106"/>
      <c r="L69" s="107"/>
      <c r="M69" s="107"/>
      <c r="N69" s="108"/>
      <c r="O69" s="109"/>
      <c r="Q69" s="104"/>
      <c r="R69" s="105"/>
      <c r="S69" s="106"/>
      <c r="T69" s="107"/>
      <c r="U69" s="107"/>
      <c r="V69" s="108"/>
      <c r="W69" s="109"/>
    </row>
    <row r="70" spans="1:23" x14ac:dyDescent="0.2">
      <c r="A70" s="104"/>
      <c r="B70" s="105"/>
      <c r="C70" s="106"/>
      <c r="D70" s="107"/>
      <c r="E70" s="107"/>
      <c r="F70" s="108"/>
      <c r="G70" s="109"/>
      <c r="H70" s="104"/>
      <c r="I70" s="104"/>
      <c r="J70" s="105"/>
      <c r="K70" s="106"/>
      <c r="L70" s="107"/>
      <c r="M70" s="107"/>
      <c r="N70" s="108"/>
      <c r="O70" s="109"/>
      <c r="Q70" s="104"/>
      <c r="R70" s="105"/>
      <c r="S70" s="106"/>
      <c r="T70" s="107"/>
      <c r="U70" s="107"/>
      <c r="V70" s="108"/>
      <c r="W70" s="109"/>
    </row>
    <row r="71" spans="1:23" x14ac:dyDescent="0.2">
      <c r="A71" s="104"/>
      <c r="B71" s="105"/>
      <c r="C71" s="106"/>
      <c r="D71" s="107"/>
      <c r="E71" s="107"/>
      <c r="F71" s="108"/>
      <c r="G71" s="109"/>
      <c r="H71" s="104"/>
      <c r="I71" s="104"/>
      <c r="J71" s="105"/>
      <c r="K71" s="106"/>
      <c r="L71" s="107"/>
      <c r="M71" s="107"/>
      <c r="N71" s="108"/>
      <c r="O71" s="109"/>
      <c r="Q71" s="104"/>
      <c r="R71" s="105"/>
      <c r="S71" s="106"/>
      <c r="T71" s="107"/>
      <c r="U71" s="107"/>
      <c r="V71" s="108"/>
      <c r="W71" s="109"/>
    </row>
    <row r="72" spans="1:23" x14ac:dyDescent="0.2">
      <c r="A72" s="104"/>
      <c r="B72" s="105"/>
      <c r="C72" s="106"/>
      <c r="D72" s="107"/>
      <c r="E72" s="107"/>
      <c r="F72" s="108"/>
      <c r="G72" s="109"/>
      <c r="H72" s="104"/>
      <c r="I72" s="104"/>
      <c r="J72" s="105"/>
      <c r="K72" s="106"/>
      <c r="L72" s="107"/>
      <c r="M72" s="107"/>
      <c r="N72" s="108"/>
      <c r="O72" s="109"/>
      <c r="Q72" s="104"/>
      <c r="R72" s="105"/>
      <c r="S72" s="106"/>
      <c r="T72" s="107"/>
      <c r="U72" s="107"/>
      <c r="V72" s="108"/>
      <c r="W72" s="109"/>
    </row>
    <row r="73" spans="1:23" x14ac:dyDescent="0.2">
      <c r="A73" s="104"/>
      <c r="B73" s="105"/>
      <c r="C73" s="106"/>
      <c r="D73" s="107"/>
      <c r="E73" s="107"/>
      <c r="F73" s="108"/>
      <c r="G73" s="109"/>
      <c r="H73" s="104"/>
      <c r="I73" s="104"/>
      <c r="J73" s="105"/>
      <c r="K73" s="106"/>
      <c r="L73" s="107"/>
      <c r="M73" s="107"/>
      <c r="N73" s="108"/>
      <c r="O73" s="109"/>
      <c r="Q73" s="104"/>
      <c r="R73" s="105"/>
      <c r="S73" s="106"/>
      <c r="T73" s="107"/>
      <c r="U73" s="107"/>
      <c r="V73" s="108"/>
      <c r="W73" s="109"/>
    </row>
    <row r="74" spans="1:23" x14ac:dyDescent="0.2">
      <c r="A74" s="104"/>
      <c r="B74" s="105"/>
      <c r="C74" s="106"/>
      <c r="D74" s="107"/>
      <c r="E74" s="107"/>
      <c r="F74" s="108"/>
      <c r="G74" s="109"/>
      <c r="H74" s="104"/>
      <c r="I74" s="104"/>
      <c r="J74" s="105"/>
      <c r="K74" s="106"/>
      <c r="L74" s="107"/>
      <c r="M74" s="107"/>
      <c r="N74" s="108"/>
      <c r="O74" s="109"/>
      <c r="Q74" s="104"/>
      <c r="R74" s="105"/>
      <c r="S74" s="106"/>
      <c r="T74" s="107"/>
      <c r="U74" s="107"/>
      <c r="V74" s="108"/>
      <c r="W74" s="109"/>
    </row>
    <row r="75" spans="1:23" x14ac:dyDescent="0.2">
      <c r="A75" s="104"/>
      <c r="B75" s="105"/>
      <c r="C75" s="106"/>
      <c r="D75" s="107"/>
      <c r="E75" s="107"/>
      <c r="F75" s="108"/>
      <c r="G75" s="109"/>
      <c r="H75" s="104"/>
      <c r="I75" s="104"/>
      <c r="J75" s="105"/>
      <c r="K75" s="106"/>
      <c r="L75" s="107"/>
      <c r="M75" s="107"/>
      <c r="N75" s="108"/>
      <c r="O75" s="109"/>
      <c r="Q75" s="104"/>
      <c r="R75" s="105"/>
      <c r="S75" s="106"/>
      <c r="T75" s="107"/>
      <c r="U75" s="107"/>
      <c r="V75" s="108"/>
      <c r="W75" s="109"/>
    </row>
    <row r="76" spans="1:23" x14ac:dyDescent="0.2">
      <c r="A76" s="104"/>
      <c r="B76" s="105"/>
      <c r="C76" s="106"/>
      <c r="D76" s="107"/>
      <c r="E76" s="107"/>
      <c r="F76" s="108"/>
      <c r="G76" s="109"/>
      <c r="H76" s="104"/>
      <c r="I76" s="104"/>
      <c r="J76" s="105"/>
      <c r="K76" s="106"/>
      <c r="L76" s="107"/>
      <c r="M76" s="107"/>
      <c r="N76" s="108"/>
      <c r="O76" s="109"/>
      <c r="Q76" s="104"/>
      <c r="R76" s="105"/>
      <c r="S76" s="106"/>
      <c r="T76" s="107"/>
      <c r="U76" s="107"/>
      <c r="V76" s="108"/>
      <c r="W76" s="109"/>
    </row>
    <row r="77" spans="1:23" x14ac:dyDescent="0.2">
      <c r="A77" s="104"/>
      <c r="B77" s="105"/>
      <c r="C77" s="106"/>
      <c r="D77" s="107"/>
      <c r="E77" s="107"/>
      <c r="F77" s="108"/>
      <c r="G77" s="109"/>
      <c r="H77" s="104"/>
      <c r="I77" s="104"/>
      <c r="J77" s="105"/>
      <c r="K77" s="106"/>
      <c r="L77" s="107"/>
      <c r="M77" s="107"/>
      <c r="N77" s="108"/>
      <c r="O77" s="109"/>
      <c r="Q77" s="104"/>
      <c r="R77" s="105"/>
      <c r="S77" s="106"/>
      <c r="T77" s="107"/>
      <c r="U77" s="107"/>
      <c r="V77" s="108"/>
      <c r="W77" s="109"/>
    </row>
    <row r="78" spans="1:23" x14ac:dyDescent="0.2">
      <c r="A78" s="104"/>
      <c r="B78" s="105"/>
      <c r="C78" s="106"/>
      <c r="D78" s="107"/>
      <c r="E78" s="107"/>
      <c r="F78" s="108"/>
      <c r="G78" s="109"/>
      <c r="H78" s="104"/>
      <c r="I78" s="104"/>
      <c r="J78" s="105"/>
      <c r="K78" s="106"/>
      <c r="L78" s="107"/>
      <c r="M78" s="107"/>
      <c r="N78" s="108"/>
      <c r="O78" s="109"/>
      <c r="Q78" s="104"/>
      <c r="R78" s="105"/>
      <c r="S78" s="106"/>
      <c r="T78" s="107"/>
      <c r="U78" s="107"/>
      <c r="V78" s="108"/>
      <c r="W78" s="109"/>
    </row>
    <row r="79" spans="1:23" x14ac:dyDescent="0.2">
      <c r="A79" s="104"/>
      <c r="B79" s="105"/>
      <c r="C79" s="106"/>
      <c r="D79" s="107"/>
      <c r="E79" s="107"/>
      <c r="F79" s="108"/>
      <c r="G79" s="109"/>
      <c r="H79" s="104"/>
      <c r="I79" s="104"/>
      <c r="J79" s="105"/>
      <c r="K79" s="106"/>
      <c r="L79" s="107"/>
      <c r="M79" s="107"/>
      <c r="N79" s="108"/>
      <c r="O79" s="109"/>
      <c r="Q79" s="104"/>
      <c r="R79" s="105"/>
      <c r="S79" s="106"/>
      <c r="T79" s="107"/>
      <c r="U79" s="107"/>
      <c r="V79" s="108"/>
      <c r="W79" s="109"/>
    </row>
    <row r="80" spans="1:23" x14ac:dyDescent="0.2">
      <c r="A80" s="104"/>
      <c r="B80" s="105"/>
      <c r="C80" s="106"/>
      <c r="D80" s="107"/>
      <c r="E80" s="107"/>
      <c r="F80" s="108"/>
      <c r="G80" s="109"/>
      <c r="H80" s="104"/>
      <c r="I80" s="104"/>
      <c r="J80" s="105"/>
      <c r="K80" s="106"/>
      <c r="L80" s="107"/>
      <c r="M80" s="107"/>
      <c r="N80" s="108"/>
      <c r="O80" s="109"/>
      <c r="Q80" s="104"/>
      <c r="R80" s="105"/>
      <c r="S80" s="106"/>
      <c r="T80" s="107"/>
      <c r="U80" s="107"/>
      <c r="V80" s="108"/>
      <c r="W80" s="109"/>
    </row>
    <row r="81" spans="1:23" x14ac:dyDescent="0.2">
      <c r="A81" s="104"/>
      <c r="B81" s="105"/>
      <c r="C81" s="106"/>
      <c r="D81" s="107"/>
      <c r="E81" s="107"/>
      <c r="F81" s="108"/>
      <c r="G81" s="109"/>
      <c r="H81" s="104"/>
      <c r="I81" s="104"/>
      <c r="J81" s="105"/>
      <c r="K81" s="106"/>
      <c r="L81" s="107"/>
      <c r="M81" s="107"/>
      <c r="N81" s="108"/>
      <c r="O81" s="109"/>
      <c r="Q81" s="104"/>
      <c r="R81" s="105"/>
      <c r="S81" s="106"/>
      <c r="T81" s="107"/>
      <c r="U81" s="107"/>
      <c r="V81" s="108"/>
      <c r="W81" s="109"/>
    </row>
    <row r="82" spans="1:23" x14ac:dyDescent="0.2">
      <c r="A82" s="104"/>
      <c r="B82" s="105"/>
      <c r="C82" s="106"/>
      <c r="D82" s="107"/>
      <c r="E82" s="107"/>
      <c r="F82" s="108"/>
      <c r="G82" s="109"/>
      <c r="H82" s="104"/>
      <c r="I82" s="104"/>
      <c r="J82" s="105"/>
      <c r="K82" s="106"/>
      <c r="L82" s="107"/>
      <c r="M82" s="107"/>
      <c r="N82" s="108"/>
      <c r="O82" s="109"/>
      <c r="Q82" s="104"/>
      <c r="R82" s="105"/>
      <c r="S82" s="106"/>
      <c r="T82" s="107"/>
      <c r="U82" s="107"/>
      <c r="V82" s="108"/>
      <c r="W82" s="109"/>
    </row>
    <row r="83" spans="1:23" x14ac:dyDescent="0.2">
      <c r="A83" s="104"/>
      <c r="B83" s="105"/>
      <c r="C83" s="106"/>
      <c r="D83" s="107"/>
      <c r="E83" s="107"/>
      <c r="F83" s="108"/>
      <c r="G83" s="109"/>
      <c r="H83" s="104"/>
      <c r="I83" s="104"/>
      <c r="J83" s="105"/>
      <c r="K83" s="106"/>
      <c r="L83" s="107"/>
      <c r="M83" s="107"/>
      <c r="N83" s="108"/>
      <c r="O83" s="109"/>
      <c r="Q83" s="104"/>
      <c r="R83" s="105"/>
      <c r="S83" s="106"/>
      <c r="T83" s="107"/>
      <c r="U83" s="107"/>
      <c r="V83" s="108"/>
      <c r="W83" s="109"/>
    </row>
    <row r="84" spans="1:23" x14ac:dyDescent="0.2">
      <c r="A84" s="104"/>
      <c r="B84" s="105"/>
      <c r="C84" s="106"/>
      <c r="D84" s="107"/>
      <c r="E84" s="107"/>
      <c r="F84" s="108"/>
      <c r="G84" s="109"/>
      <c r="H84" s="104"/>
      <c r="I84" s="104"/>
      <c r="J84" s="105"/>
      <c r="K84" s="106"/>
      <c r="L84" s="107"/>
      <c r="M84" s="107"/>
      <c r="N84" s="108"/>
      <c r="O84" s="109"/>
      <c r="Q84" s="104"/>
      <c r="R84" s="105"/>
      <c r="S84" s="106"/>
      <c r="T84" s="107"/>
      <c r="U84" s="107"/>
      <c r="V84" s="108"/>
      <c r="W84" s="109"/>
    </row>
    <row r="85" spans="1:23" x14ac:dyDescent="0.2">
      <c r="A85" s="104"/>
      <c r="B85" s="105"/>
      <c r="C85" s="106"/>
      <c r="D85" s="107"/>
      <c r="E85" s="107"/>
      <c r="F85" s="108"/>
      <c r="G85" s="109"/>
      <c r="H85" s="104"/>
      <c r="I85" s="104"/>
      <c r="J85" s="105"/>
      <c r="K85" s="106"/>
      <c r="L85" s="107"/>
      <c r="M85" s="107"/>
      <c r="N85" s="108"/>
      <c r="O85" s="109"/>
      <c r="Q85" s="104"/>
      <c r="R85" s="105"/>
      <c r="S85" s="106"/>
      <c r="T85" s="107"/>
      <c r="U85" s="107"/>
      <c r="V85" s="108"/>
      <c r="W85" s="109"/>
    </row>
    <row r="86" spans="1:23" x14ac:dyDescent="0.2">
      <c r="A86" s="104"/>
      <c r="B86" s="105"/>
      <c r="C86" s="106"/>
      <c r="D86" s="107"/>
      <c r="E86" s="107"/>
      <c r="F86" s="108"/>
      <c r="G86" s="109"/>
      <c r="H86" s="104"/>
      <c r="I86" s="104"/>
      <c r="J86" s="105"/>
      <c r="K86" s="106"/>
      <c r="L86" s="107"/>
      <c r="M86" s="107"/>
      <c r="N86" s="108"/>
      <c r="O86" s="109"/>
      <c r="Q86" s="104"/>
      <c r="R86" s="105"/>
      <c r="S86" s="106"/>
      <c r="T86" s="107"/>
      <c r="U86" s="107"/>
      <c r="V86" s="108"/>
      <c r="W86" s="109"/>
    </row>
    <row r="87" spans="1:23" x14ac:dyDescent="0.2">
      <c r="A87" s="104"/>
      <c r="B87" s="105"/>
      <c r="C87" s="106"/>
      <c r="D87" s="107"/>
      <c r="E87" s="107"/>
      <c r="F87" s="108"/>
      <c r="G87" s="109"/>
      <c r="H87" s="104"/>
      <c r="I87" s="104"/>
      <c r="J87" s="105"/>
      <c r="K87" s="106"/>
      <c r="L87" s="107"/>
      <c r="M87" s="107"/>
      <c r="N87" s="108"/>
      <c r="O87" s="109"/>
      <c r="Q87" s="104"/>
      <c r="R87" s="105"/>
      <c r="S87" s="106"/>
      <c r="T87" s="107"/>
      <c r="U87" s="107"/>
      <c r="V87" s="108"/>
      <c r="W87" s="109"/>
    </row>
    <row r="88" spans="1:23" x14ac:dyDescent="0.2">
      <c r="A88" s="104"/>
      <c r="B88" s="105"/>
      <c r="C88" s="106"/>
      <c r="D88" s="107"/>
      <c r="E88" s="107"/>
      <c r="F88" s="108"/>
      <c r="G88" s="109"/>
      <c r="H88" s="104"/>
      <c r="I88" s="104"/>
      <c r="J88" s="105"/>
      <c r="K88" s="106"/>
      <c r="L88" s="107"/>
      <c r="M88" s="107"/>
      <c r="N88" s="108"/>
      <c r="O88" s="109"/>
      <c r="Q88" s="104"/>
      <c r="R88" s="105"/>
      <c r="S88" s="106"/>
      <c r="T88" s="107"/>
      <c r="U88" s="107"/>
      <c r="V88" s="108"/>
      <c r="W88" s="109"/>
    </row>
    <row r="89" spans="1:23" x14ac:dyDescent="0.2">
      <c r="A89" s="104"/>
      <c r="B89" s="105"/>
      <c r="C89" s="106"/>
      <c r="D89" s="107"/>
      <c r="E89" s="107"/>
      <c r="F89" s="108"/>
      <c r="G89" s="109"/>
      <c r="H89" s="104"/>
      <c r="I89" s="104"/>
      <c r="J89" s="105"/>
      <c r="K89" s="106"/>
      <c r="L89" s="107"/>
      <c r="M89" s="107"/>
      <c r="N89" s="108"/>
      <c r="O89" s="109"/>
      <c r="Q89" s="104"/>
      <c r="R89" s="105"/>
      <c r="S89" s="106"/>
      <c r="T89" s="107"/>
      <c r="U89" s="107"/>
      <c r="V89" s="108"/>
      <c r="W89" s="109"/>
    </row>
    <row r="90" spans="1:23" x14ac:dyDescent="0.2">
      <c r="A90" s="104"/>
      <c r="B90" s="105"/>
      <c r="C90" s="106"/>
      <c r="D90" s="107"/>
      <c r="E90" s="107"/>
      <c r="F90" s="108"/>
      <c r="G90" s="109"/>
      <c r="H90" s="104"/>
      <c r="I90" s="104"/>
      <c r="J90" s="105"/>
      <c r="K90" s="106"/>
      <c r="L90" s="107"/>
      <c r="M90" s="107"/>
      <c r="N90" s="108"/>
      <c r="O90" s="109"/>
      <c r="Q90" s="104"/>
      <c r="R90" s="105"/>
      <c r="S90" s="106"/>
      <c r="T90" s="107"/>
      <c r="U90" s="107"/>
      <c r="V90" s="108"/>
      <c r="W90" s="109"/>
    </row>
    <row r="91" spans="1:23" x14ac:dyDescent="0.2">
      <c r="A91" s="104"/>
      <c r="B91" s="105"/>
      <c r="C91" s="106"/>
      <c r="D91" s="107"/>
      <c r="E91" s="107"/>
      <c r="F91" s="108"/>
      <c r="G91" s="109"/>
      <c r="H91" s="104"/>
      <c r="I91" s="104"/>
      <c r="J91" s="105"/>
      <c r="K91" s="106"/>
      <c r="L91" s="107"/>
      <c r="M91" s="107"/>
      <c r="N91" s="108"/>
      <c r="O91" s="109"/>
      <c r="Q91" s="104"/>
      <c r="R91" s="105"/>
      <c r="S91" s="106"/>
      <c r="T91" s="107"/>
      <c r="U91" s="107"/>
      <c r="V91" s="108"/>
      <c r="W91" s="109"/>
    </row>
    <row r="92" spans="1:23" x14ac:dyDescent="0.2">
      <c r="A92" s="104"/>
      <c r="B92" s="105"/>
      <c r="C92" s="106"/>
      <c r="D92" s="107"/>
      <c r="E92" s="107"/>
      <c r="F92" s="108"/>
      <c r="G92" s="109"/>
      <c r="H92" s="104"/>
      <c r="I92" s="104"/>
      <c r="J92" s="105"/>
      <c r="K92" s="106"/>
      <c r="L92" s="107"/>
      <c r="M92" s="107"/>
      <c r="N92" s="108"/>
      <c r="O92" s="109"/>
      <c r="Q92" s="104"/>
      <c r="R92" s="105"/>
      <c r="S92" s="106"/>
      <c r="T92" s="107"/>
      <c r="U92" s="107"/>
      <c r="V92" s="108"/>
      <c r="W92" s="109"/>
    </row>
    <row r="93" spans="1:23" x14ac:dyDescent="0.2">
      <c r="A93" s="104"/>
      <c r="B93" s="105"/>
      <c r="C93" s="106"/>
      <c r="D93" s="107"/>
      <c r="E93" s="107"/>
      <c r="F93" s="108"/>
      <c r="G93" s="109"/>
      <c r="H93" s="104"/>
      <c r="I93" s="104"/>
      <c r="J93" s="105"/>
      <c r="K93" s="106"/>
      <c r="L93" s="107"/>
      <c r="M93" s="107"/>
      <c r="N93" s="108"/>
      <c r="O93" s="109"/>
      <c r="Q93" s="104"/>
      <c r="R93" s="105"/>
      <c r="S93" s="106"/>
      <c r="T93" s="107"/>
      <c r="U93" s="107"/>
      <c r="V93" s="108"/>
      <c r="W93" s="109"/>
    </row>
    <row r="94" spans="1:23" x14ac:dyDescent="0.2">
      <c r="A94" s="104"/>
      <c r="B94" s="105"/>
      <c r="C94" s="106"/>
      <c r="D94" s="107"/>
      <c r="E94" s="107"/>
      <c r="F94" s="108"/>
      <c r="G94" s="109"/>
      <c r="H94" s="104"/>
      <c r="I94" s="104"/>
      <c r="J94" s="105"/>
      <c r="K94" s="106"/>
      <c r="L94" s="107"/>
      <c r="M94" s="107"/>
      <c r="N94" s="108"/>
      <c r="O94" s="109"/>
      <c r="Q94" s="104"/>
      <c r="R94" s="105"/>
      <c r="S94" s="106"/>
      <c r="T94" s="107"/>
      <c r="U94" s="107"/>
      <c r="V94" s="108"/>
      <c r="W94" s="109"/>
    </row>
    <row r="95" spans="1:23" x14ac:dyDescent="0.2">
      <c r="A95" s="104"/>
      <c r="B95" s="105"/>
      <c r="C95" s="106"/>
      <c r="D95" s="107"/>
      <c r="E95" s="107"/>
      <c r="F95" s="108"/>
      <c r="G95" s="109"/>
      <c r="H95" s="104"/>
      <c r="I95" s="104"/>
      <c r="J95" s="105"/>
      <c r="K95" s="106"/>
      <c r="L95" s="107"/>
      <c r="M95" s="107"/>
      <c r="N95" s="108"/>
      <c r="O95" s="109"/>
      <c r="Q95" s="104"/>
      <c r="R95" s="105"/>
      <c r="S95" s="106"/>
      <c r="T95" s="107"/>
      <c r="U95" s="107"/>
      <c r="V95" s="108"/>
      <c r="W95" s="109"/>
    </row>
    <row r="96" spans="1:23" x14ac:dyDescent="0.2">
      <c r="A96" s="104"/>
      <c r="B96" s="105"/>
      <c r="C96" s="106"/>
      <c r="D96" s="107"/>
      <c r="E96" s="107"/>
      <c r="F96" s="108"/>
      <c r="G96" s="109"/>
      <c r="H96" s="104"/>
      <c r="I96" s="104"/>
      <c r="J96" s="105"/>
      <c r="K96" s="106"/>
      <c r="L96" s="107"/>
      <c r="M96" s="107"/>
      <c r="N96" s="108"/>
      <c r="O96" s="109"/>
      <c r="Q96" s="104"/>
      <c r="R96" s="105"/>
      <c r="S96" s="106"/>
      <c r="T96" s="107"/>
      <c r="U96" s="107"/>
      <c r="V96" s="108"/>
      <c r="W96" s="109"/>
    </row>
    <row r="97" spans="1:23" x14ac:dyDescent="0.2">
      <c r="A97" s="104"/>
      <c r="B97" s="105"/>
      <c r="C97" s="106"/>
      <c r="D97" s="107"/>
      <c r="E97" s="107"/>
      <c r="F97" s="108"/>
      <c r="G97" s="109"/>
      <c r="H97" s="104"/>
      <c r="I97" s="104"/>
      <c r="J97" s="105"/>
      <c r="K97" s="106"/>
      <c r="L97" s="107"/>
      <c r="M97" s="107"/>
      <c r="N97" s="108"/>
      <c r="O97" s="109"/>
      <c r="Q97" s="104"/>
      <c r="R97" s="105"/>
      <c r="S97" s="106"/>
      <c r="T97" s="107"/>
      <c r="U97" s="107"/>
      <c r="V97" s="108"/>
      <c r="W97" s="109"/>
    </row>
    <row r="98" spans="1:23" x14ac:dyDescent="0.2">
      <c r="A98" s="104"/>
      <c r="B98" s="105"/>
      <c r="C98" s="106"/>
      <c r="D98" s="107"/>
      <c r="E98" s="107"/>
      <c r="F98" s="108"/>
      <c r="G98" s="109"/>
      <c r="H98" s="104"/>
      <c r="I98" s="104"/>
      <c r="J98" s="105"/>
      <c r="K98" s="106"/>
      <c r="L98" s="107"/>
      <c r="M98" s="107"/>
      <c r="N98" s="108"/>
      <c r="O98" s="109"/>
      <c r="Q98" s="104"/>
      <c r="R98" s="105"/>
      <c r="S98" s="106"/>
      <c r="T98" s="107"/>
      <c r="U98" s="107"/>
      <c r="V98" s="108"/>
      <c r="W98" s="109"/>
    </row>
    <row r="99" spans="1:23" x14ac:dyDescent="0.2">
      <c r="A99" s="104"/>
      <c r="B99" s="105"/>
      <c r="C99" s="106"/>
      <c r="D99" s="107"/>
      <c r="E99" s="107"/>
      <c r="F99" s="108"/>
      <c r="G99" s="109"/>
      <c r="H99" s="104"/>
      <c r="I99" s="104"/>
      <c r="J99" s="105"/>
      <c r="K99" s="106"/>
      <c r="L99" s="107"/>
      <c r="M99" s="107"/>
      <c r="N99" s="108"/>
      <c r="O99" s="109"/>
      <c r="Q99" s="104"/>
      <c r="R99" s="105"/>
      <c r="S99" s="106"/>
      <c r="T99" s="107"/>
      <c r="U99" s="107"/>
      <c r="V99" s="108"/>
      <c r="W99" s="109"/>
    </row>
    <row r="100" spans="1:23" x14ac:dyDescent="0.2">
      <c r="A100" s="104"/>
      <c r="B100" s="105"/>
      <c r="C100" s="106"/>
      <c r="D100" s="107"/>
      <c r="E100" s="107"/>
      <c r="F100" s="108"/>
      <c r="G100" s="109"/>
      <c r="H100" s="104"/>
      <c r="I100" s="104"/>
      <c r="J100" s="105"/>
      <c r="K100" s="106"/>
      <c r="L100" s="107"/>
      <c r="M100" s="107"/>
      <c r="N100" s="108"/>
      <c r="O100" s="109"/>
      <c r="Q100" s="104"/>
      <c r="R100" s="105"/>
      <c r="S100" s="106"/>
      <c r="T100" s="107"/>
      <c r="U100" s="107"/>
      <c r="V100" s="108"/>
      <c r="W100" s="109"/>
    </row>
    <row r="101" spans="1:23" x14ac:dyDescent="0.2">
      <c r="A101" s="104"/>
      <c r="B101" s="105"/>
      <c r="C101" s="106"/>
      <c r="D101" s="107"/>
      <c r="E101" s="107"/>
      <c r="F101" s="108"/>
      <c r="G101" s="109"/>
      <c r="H101" s="104"/>
      <c r="I101" s="104"/>
      <c r="J101" s="105"/>
      <c r="K101" s="106"/>
      <c r="L101" s="107"/>
      <c r="M101" s="107"/>
      <c r="N101" s="108"/>
      <c r="O101" s="109"/>
      <c r="Q101" s="104"/>
      <c r="R101" s="105"/>
      <c r="S101" s="106"/>
      <c r="T101" s="107"/>
      <c r="U101" s="107"/>
      <c r="V101" s="108"/>
      <c r="W101" s="109"/>
    </row>
    <row r="102" spans="1:23" x14ac:dyDescent="0.2">
      <c r="A102" s="104"/>
      <c r="B102" s="105"/>
      <c r="C102" s="106"/>
      <c r="D102" s="107"/>
      <c r="E102" s="107"/>
      <c r="F102" s="108"/>
      <c r="G102" s="109"/>
      <c r="H102" s="104"/>
      <c r="I102" s="104"/>
      <c r="J102" s="105"/>
      <c r="K102" s="106"/>
      <c r="L102" s="107"/>
      <c r="M102" s="107"/>
      <c r="N102" s="108"/>
      <c r="O102" s="109"/>
      <c r="Q102" s="104"/>
      <c r="R102" s="105"/>
      <c r="S102" s="106"/>
      <c r="T102" s="107"/>
      <c r="U102" s="107"/>
      <c r="V102" s="108"/>
      <c r="W102" s="109"/>
    </row>
    <row r="103" spans="1:23" x14ac:dyDescent="0.2">
      <c r="A103" s="104"/>
      <c r="B103" s="105"/>
      <c r="C103" s="106"/>
      <c r="D103" s="107"/>
      <c r="E103" s="107"/>
      <c r="F103" s="108"/>
      <c r="G103" s="109"/>
      <c r="H103" s="104"/>
      <c r="I103" s="104"/>
      <c r="J103" s="105"/>
      <c r="K103" s="106"/>
      <c r="L103" s="107"/>
      <c r="M103" s="107"/>
      <c r="N103" s="108"/>
      <c r="O103" s="109"/>
      <c r="Q103" s="104"/>
      <c r="R103" s="105"/>
      <c r="S103" s="106"/>
      <c r="T103" s="107"/>
      <c r="U103" s="107"/>
      <c r="V103" s="108"/>
      <c r="W103" s="109"/>
    </row>
    <row r="104" spans="1:23" x14ac:dyDescent="0.2">
      <c r="A104" s="104"/>
      <c r="B104" s="105"/>
      <c r="C104" s="106"/>
      <c r="D104" s="107"/>
      <c r="E104" s="107"/>
      <c r="F104" s="108"/>
      <c r="G104" s="109"/>
      <c r="H104" s="104"/>
      <c r="I104" s="104"/>
      <c r="J104" s="105"/>
      <c r="K104" s="106"/>
      <c r="L104" s="107"/>
      <c r="M104" s="107"/>
      <c r="N104" s="108"/>
      <c r="O104" s="109"/>
      <c r="Q104" s="104"/>
      <c r="R104" s="105"/>
      <c r="S104" s="106"/>
      <c r="T104" s="107"/>
      <c r="U104" s="107"/>
      <c r="V104" s="108"/>
      <c r="W104" s="109"/>
    </row>
    <row r="105" spans="1:23" x14ac:dyDescent="0.2">
      <c r="A105" s="104"/>
      <c r="B105" s="105"/>
      <c r="C105" s="106"/>
      <c r="D105" s="107"/>
      <c r="E105" s="107"/>
      <c r="F105" s="108"/>
      <c r="G105" s="109"/>
      <c r="H105" s="104"/>
      <c r="I105" s="104"/>
      <c r="J105" s="105"/>
      <c r="K105" s="106"/>
      <c r="L105" s="107"/>
      <c r="M105" s="107"/>
      <c r="N105" s="108"/>
      <c r="O105" s="109"/>
      <c r="Q105" s="104"/>
      <c r="R105" s="105"/>
      <c r="S105" s="106"/>
      <c r="T105" s="107"/>
      <c r="U105" s="107"/>
      <c r="V105" s="108"/>
      <c r="W105" s="109"/>
    </row>
    <row r="106" spans="1:23" x14ac:dyDescent="0.2">
      <c r="A106" s="104"/>
      <c r="B106" s="105"/>
      <c r="C106" s="106"/>
      <c r="D106" s="107"/>
      <c r="E106" s="107"/>
      <c r="F106" s="108"/>
      <c r="G106" s="109"/>
      <c r="H106" s="104"/>
      <c r="I106" s="104"/>
      <c r="J106" s="105"/>
      <c r="K106" s="106"/>
      <c r="L106" s="107"/>
      <c r="M106" s="107"/>
      <c r="N106" s="108"/>
      <c r="O106" s="109"/>
      <c r="Q106" s="104"/>
      <c r="R106" s="105"/>
      <c r="S106" s="106"/>
      <c r="T106" s="107"/>
      <c r="U106" s="107"/>
      <c r="V106" s="108"/>
      <c r="W106" s="109"/>
    </row>
    <row r="107" spans="1:23" x14ac:dyDescent="0.2">
      <c r="A107" s="104"/>
      <c r="B107" s="105"/>
      <c r="C107" s="106"/>
      <c r="D107" s="107"/>
      <c r="E107" s="107"/>
      <c r="F107" s="108"/>
      <c r="G107" s="109"/>
      <c r="H107" s="104"/>
      <c r="I107" s="104"/>
      <c r="J107" s="105"/>
      <c r="K107" s="106"/>
      <c r="L107" s="107"/>
      <c r="M107" s="107"/>
      <c r="N107" s="108"/>
      <c r="O107" s="109"/>
      <c r="Q107" s="104"/>
      <c r="R107" s="105"/>
      <c r="S107" s="106"/>
      <c r="T107" s="107"/>
      <c r="U107" s="107"/>
      <c r="V107" s="108"/>
      <c r="W107" s="109"/>
    </row>
    <row r="108" spans="1:23" x14ac:dyDescent="0.2">
      <c r="A108" s="104"/>
      <c r="B108" s="105"/>
      <c r="C108" s="106"/>
      <c r="D108" s="107"/>
      <c r="E108" s="107"/>
      <c r="F108" s="108"/>
      <c r="G108" s="109"/>
      <c r="H108" s="104"/>
      <c r="I108" s="104"/>
      <c r="J108" s="105"/>
      <c r="K108" s="106"/>
      <c r="L108" s="107"/>
      <c r="M108" s="107"/>
      <c r="N108" s="108"/>
      <c r="O108" s="109"/>
      <c r="Q108" s="104"/>
      <c r="R108" s="105"/>
      <c r="S108" s="106"/>
      <c r="T108" s="107"/>
      <c r="U108" s="107"/>
      <c r="V108" s="108"/>
      <c r="W108" s="109"/>
    </row>
    <row r="109" spans="1:23" x14ac:dyDescent="0.2">
      <c r="A109" s="104"/>
      <c r="B109" s="105"/>
      <c r="C109" s="106"/>
      <c r="D109" s="107"/>
      <c r="E109" s="107"/>
      <c r="F109" s="108"/>
      <c r="G109" s="109"/>
      <c r="H109" s="104"/>
      <c r="I109" s="104"/>
      <c r="J109" s="105"/>
      <c r="K109" s="106"/>
      <c r="L109" s="107"/>
      <c r="M109" s="107"/>
      <c r="N109" s="108"/>
      <c r="O109" s="109"/>
      <c r="Q109" s="104"/>
      <c r="R109" s="105"/>
      <c r="S109" s="106"/>
      <c r="T109" s="107"/>
      <c r="U109" s="107"/>
      <c r="V109" s="108"/>
      <c r="W109" s="109"/>
    </row>
    <row r="110" spans="1:23" x14ac:dyDescent="0.2">
      <c r="A110" s="104"/>
      <c r="B110" s="105"/>
      <c r="C110" s="106"/>
      <c r="D110" s="107"/>
      <c r="E110" s="107"/>
      <c r="F110" s="108"/>
      <c r="G110" s="109"/>
      <c r="H110" s="104"/>
      <c r="I110" s="104"/>
      <c r="J110" s="105"/>
      <c r="K110" s="106"/>
      <c r="L110" s="107"/>
      <c r="M110" s="107"/>
      <c r="N110" s="108"/>
      <c r="O110" s="109"/>
      <c r="Q110" s="104"/>
      <c r="R110" s="105"/>
      <c r="S110" s="106"/>
      <c r="T110" s="107"/>
      <c r="U110" s="107"/>
      <c r="V110" s="108"/>
      <c r="W110" s="109"/>
    </row>
    <row r="111" spans="1:23" x14ac:dyDescent="0.2">
      <c r="A111" s="104"/>
      <c r="B111" s="105"/>
      <c r="C111" s="106"/>
      <c r="D111" s="107"/>
      <c r="E111" s="107"/>
      <c r="F111" s="108"/>
      <c r="G111" s="109"/>
      <c r="H111" s="104"/>
      <c r="I111" s="104"/>
      <c r="J111" s="105"/>
      <c r="K111" s="106"/>
      <c r="L111" s="107"/>
      <c r="M111" s="107"/>
      <c r="N111" s="108"/>
      <c r="O111" s="109"/>
      <c r="Q111" s="104"/>
      <c r="R111" s="105"/>
      <c r="S111" s="106"/>
      <c r="T111" s="107"/>
      <c r="U111" s="107"/>
      <c r="V111" s="108"/>
      <c r="W111" s="109"/>
    </row>
    <row r="112" spans="1:23" x14ac:dyDescent="0.2">
      <c r="A112" s="104"/>
      <c r="B112" s="105"/>
      <c r="C112" s="106"/>
      <c r="D112" s="107"/>
      <c r="E112" s="107"/>
      <c r="F112" s="108"/>
      <c r="G112" s="109"/>
      <c r="H112" s="104"/>
      <c r="I112" s="104"/>
      <c r="J112" s="105"/>
      <c r="K112" s="106"/>
      <c r="L112" s="107"/>
      <c r="M112" s="107"/>
      <c r="N112" s="108"/>
      <c r="O112" s="109"/>
      <c r="Q112" s="104"/>
      <c r="R112" s="105"/>
      <c r="S112" s="106"/>
      <c r="T112" s="107"/>
      <c r="U112" s="107"/>
      <c r="V112" s="108"/>
      <c r="W112" s="109"/>
    </row>
    <row r="113" spans="1:23" x14ac:dyDescent="0.2">
      <c r="A113" s="104"/>
      <c r="B113" s="105"/>
      <c r="C113" s="106"/>
      <c r="D113" s="107"/>
      <c r="E113" s="107"/>
      <c r="F113" s="108"/>
      <c r="G113" s="109"/>
      <c r="H113" s="104"/>
      <c r="I113" s="104"/>
      <c r="J113" s="105"/>
      <c r="K113" s="106"/>
      <c r="L113" s="107"/>
      <c r="M113" s="107"/>
      <c r="N113" s="108"/>
      <c r="O113" s="109"/>
      <c r="Q113" s="104"/>
      <c r="R113" s="105"/>
      <c r="S113" s="106"/>
      <c r="T113" s="107"/>
      <c r="U113" s="107"/>
      <c r="V113" s="108"/>
      <c r="W113" s="109"/>
    </row>
    <row r="114" spans="1:23" x14ac:dyDescent="0.2">
      <c r="A114" s="104"/>
      <c r="B114" s="105"/>
      <c r="C114" s="106"/>
      <c r="D114" s="107"/>
      <c r="E114" s="107"/>
      <c r="F114" s="108"/>
      <c r="G114" s="109"/>
      <c r="H114" s="104"/>
      <c r="I114" s="104"/>
      <c r="J114" s="105"/>
      <c r="K114" s="106"/>
      <c r="L114" s="107"/>
      <c r="M114" s="107"/>
      <c r="N114" s="108"/>
      <c r="O114" s="109"/>
      <c r="Q114" s="104"/>
      <c r="R114" s="105"/>
      <c r="S114" s="106"/>
      <c r="T114" s="107"/>
      <c r="U114" s="107"/>
      <c r="V114" s="108"/>
      <c r="W114" s="109"/>
    </row>
    <row r="115" spans="1:23" x14ac:dyDescent="0.2">
      <c r="A115" s="104"/>
      <c r="B115" s="105"/>
      <c r="C115" s="106"/>
      <c r="D115" s="107"/>
      <c r="E115" s="107"/>
      <c r="F115" s="108"/>
      <c r="G115" s="109"/>
      <c r="H115" s="104"/>
      <c r="I115" s="104"/>
      <c r="J115" s="105"/>
      <c r="K115" s="106"/>
      <c r="L115" s="107"/>
      <c r="M115" s="107"/>
      <c r="N115" s="108"/>
      <c r="O115" s="109"/>
      <c r="Q115" s="104"/>
      <c r="R115" s="105"/>
      <c r="S115" s="106"/>
      <c r="T115" s="107"/>
      <c r="U115" s="107"/>
      <c r="V115" s="108"/>
      <c r="W115" s="109"/>
    </row>
    <row r="116" spans="1:23" x14ac:dyDescent="0.2">
      <c r="A116" s="104"/>
      <c r="B116" s="105"/>
      <c r="C116" s="106"/>
      <c r="D116" s="107"/>
      <c r="E116" s="107"/>
      <c r="F116" s="108"/>
      <c r="G116" s="109"/>
      <c r="H116" s="104"/>
      <c r="I116" s="104"/>
      <c r="J116" s="105"/>
      <c r="K116" s="106"/>
      <c r="L116" s="107"/>
      <c r="M116" s="107"/>
      <c r="N116" s="108"/>
      <c r="O116" s="109"/>
      <c r="Q116" s="104"/>
      <c r="R116" s="105"/>
      <c r="S116" s="106"/>
      <c r="T116" s="107"/>
      <c r="U116" s="107"/>
      <c r="V116" s="108"/>
      <c r="W116" s="109"/>
    </row>
    <row r="117" spans="1:23" x14ac:dyDescent="0.2">
      <c r="A117" s="104"/>
      <c r="B117" s="105"/>
      <c r="C117" s="106"/>
      <c r="D117" s="107"/>
      <c r="E117" s="107"/>
      <c r="F117" s="108"/>
      <c r="G117" s="109"/>
      <c r="H117" s="104"/>
      <c r="I117" s="104"/>
      <c r="J117" s="105"/>
      <c r="K117" s="106"/>
      <c r="L117" s="107"/>
      <c r="M117" s="107"/>
      <c r="N117" s="108"/>
      <c r="O117" s="109"/>
      <c r="Q117" s="104"/>
      <c r="R117" s="105"/>
      <c r="S117" s="106"/>
      <c r="T117" s="107"/>
      <c r="U117" s="107"/>
      <c r="V117" s="108"/>
      <c r="W117" s="109"/>
    </row>
    <row r="118" spans="1:23" x14ac:dyDescent="0.2">
      <c r="A118" s="104"/>
      <c r="B118" s="105"/>
      <c r="C118" s="106"/>
      <c r="D118" s="107"/>
      <c r="E118" s="107"/>
      <c r="F118" s="108"/>
      <c r="G118" s="109"/>
      <c r="H118" s="104"/>
      <c r="I118" s="104"/>
      <c r="J118" s="105"/>
      <c r="K118" s="106"/>
      <c r="L118" s="107"/>
      <c r="M118" s="107"/>
      <c r="N118" s="108"/>
      <c r="O118" s="109"/>
      <c r="Q118" s="104"/>
      <c r="R118" s="105"/>
      <c r="S118" s="106"/>
      <c r="T118" s="107"/>
      <c r="U118" s="107"/>
      <c r="V118" s="108"/>
      <c r="W118" s="109"/>
    </row>
    <row r="119" spans="1:23" x14ac:dyDescent="0.2">
      <c r="A119" s="104"/>
      <c r="B119" s="105"/>
      <c r="C119" s="106"/>
      <c r="D119" s="107"/>
      <c r="E119" s="107"/>
      <c r="F119" s="108"/>
      <c r="G119" s="109"/>
      <c r="H119" s="104"/>
      <c r="I119" s="104"/>
      <c r="J119" s="105"/>
      <c r="K119" s="106"/>
      <c r="L119" s="107"/>
      <c r="M119" s="107"/>
      <c r="N119" s="108"/>
      <c r="O119" s="109"/>
      <c r="Q119" s="104"/>
      <c r="R119" s="105"/>
      <c r="S119" s="106"/>
      <c r="T119" s="107"/>
      <c r="U119" s="107"/>
      <c r="V119" s="108"/>
      <c r="W119" s="109"/>
    </row>
    <row r="120" spans="1:23" x14ac:dyDescent="0.2">
      <c r="A120" s="104"/>
      <c r="B120" s="105"/>
      <c r="C120" s="106"/>
      <c r="D120" s="107"/>
      <c r="E120" s="107"/>
      <c r="F120" s="108"/>
      <c r="G120" s="109"/>
      <c r="H120" s="104"/>
      <c r="I120" s="104"/>
      <c r="J120" s="105"/>
      <c r="K120" s="106"/>
      <c r="L120" s="107"/>
      <c r="M120" s="107"/>
      <c r="N120" s="108"/>
      <c r="O120" s="109"/>
      <c r="Q120" s="104"/>
      <c r="R120" s="105"/>
      <c r="S120" s="106"/>
      <c r="T120" s="107"/>
      <c r="U120" s="107"/>
      <c r="V120" s="108"/>
      <c r="W120" s="109"/>
    </row>
    <row r="121" spans="1:23" x14ac:dyDescent="0.2">
      <c r="A121" s="104"/>
      <c r="B121" s="105"/>
      <c r="C121" s="106"/>
      <c r="D121" s="107"/>
      <c r="E121" s="107"/>
      <c r="F121" s="108"/>
      <c r="G121" s="109"/>
      <c r="H121" s="104"/>
      <c r="I121" s="104"/>
      <c r="J121" s="105"/>
      <c r="K121" s="106"/>
      <c r="L121" s="107"/>
      <c r="M121" s="107"/>
      <c r="N121" s="108"/>
      <c r="O121" s="109"/>
      <c r="Q121" s="104"/>
      <c r="R121" s="105"/>
      <c r="S121" s="106"/>
      <c r="T121" s="107"/>
      <c r="U121" s="107"/>
      <c r="V121" s="108"/>
      <c r="W121" s="109"/>
    </row>
    <row r="122" spans="1:23" x14ac:dyDescent="0.2">
      <c r="A122" s="104"/>
      <c r="B122" s="105"/>
      <c r="C122" s="106"/>
      <c r="D122" s="107"/>
      <c r="E122" s="107"/>
      <c r="F122" s="108"/>
      <c r="G122" s="109"/>
      <c r="H122" s="104"/>
      <c r="I122" s="104"/>
      <c r="J122" s="105"/>
      <c r="K122" s="106"/>
      <c r="L122" s="107"/>
      <c r="M122" s="107"/>
      <c r="N122" s="108"/>
      <c r="O122" s="109"/>
      <c r="Q122" s="104"/>
      <c r="R122" s="105"/>
      <c r="S122" s="106"/>
      <c r="T122" s="107"/>
      <c r="U122" s="107"/>
      <c r="V122" s="108"/>
      <c r="W122" s="109"/>
    </row>
    <row r="123" spans="1:23" x14ac:dyDescent="0.2">
      <c r="A123" s="104"/>
      <c r="B123" s="105"/>
      <c r="C123" s="106"/>
      <c r="D123" s="107"/>
      <c r="E123" s="107"/>
      <c r="F123" s="108"/>
      <c r="G123" s="109"/>
      <c r="H123" s="104"/>
      <c r="I123" s="104"/>
      <c r="J123" s="105"/>
      <c r="K123" s="106"/>
      <c r="L123" s="107"/>
      <c r="M123" s="107"/>
      <c r="N123" s="108"/>
      <c r="O123" s="109"/>
      <c r="Q123" s="104"/>
      <c r="R123" s="105"/>
      <c r="S123" s="106"/>
      <c r="T123" s="107"/>
      <c r="U123" s="107"/>
      <c r="V123" s="108"/>
      <c r="W123" s="109"/>
    </row>
    <row r="124" spans="1:23" x14ac:dyDescent="0.2">
      <c r="A124" s="104"/>
      <c r="B124" s="105"/>
      <c r="C124" s="106"/>
      <c r="D124" s="107"/>
      <c r="E124" s="107"/>
      <c r="F124" s="108"/>
      <c r="G124" s="109"/>
      <c r="H124" s="104"/>
      <c r="I124" s="104"/>
      <c r="J124" s="105"/>
      <c r="K124" s="106"/>
      <c r="L124" s="107"/>
      <c r="M124" s="107"/>
      <c r="N124" s="108"/>
      <c r="O124" s="109"/>
      <c r="Q124" s="104"/>
      <c r="R124" s="105"/>
      <c r="S124" s="106"/>
      <c r="T124" s="107"/>
      <c r="U124" s="107"/>
      <c r="V124" s="108"/>
      <c r="W124" s="109"/>
    </row>
    <row r="125" spans="1:23" x14ac:dyDescent="0.2">
      <c r="A125" s="104"/>
      <c r="B125" s="105"/>
      <c r="C125" s="106"/>
      <c r="D125" s="107"/>
      <c r="E125" s="107"/>
      <c r="F125" s="108"/>
      <c r="G125" s="109"/>
      <c r="H125" s="104"/>
      <c r="I125" s="104"/>
      <c r="J125" s="105"/>
      <c r="K125" s="106"/>
      <c r="L125" s="107"/>
      <c r="M125" s="107"/>
      <c r="N125" s="108"/>
      <c r="O125" s="109"/>
      <c r="Q125" s="104"/>
      <c r="R125" s="105"/>
      <c r="S125" s="106"/>
      <c r="T125" s="107"/>
      <c r="U125" s="107"/>
      <c r="V125" s="108"/>
      <c r="W125" s="109"/>
    </row>
    <row r="126" spans="1:23" x14ac:dyDescent="0.2">
      <c r="A126" s="104"/>
      <c r="B126" s="105"/>
      <c r="C126" s="106"/>
      <c r="D126" s="107"/>
      <c r="E126" s="107"/>
      <c r="F126" s="108"/>
      <c r="G126" s="109"/>
      <c r="H126" s="104"/>
      <c r="I126" s="104"/>
      <c r="J126" s="105"/>
      <c r="K126" s="106"/>
      <c r="L126" s="107"/>
      <c r="M126" s="107"/>
      <c r="N126" s="108"/>
      <c r="O126" s="109"/>
      <c r="Q126" s="104"/>
      <c r="R126" s="105"/>
      <c r="S126" s="106"/>
      <c r="T126" s="107"/>
      <c r="U126" s="107"/>
      <c r="V126" s="108"/>
      <c r="W126" s="109"/>
    </row>
    <row r="127" spans="1:23" x14ac:dyDescent="0.2">
      <c r="A127" s="104"/>
      <c r="B127" s="105"/>
      <c r="C127" s="106"/>
      <c r="D127" s="107"/>
      <c r="E127" s="107"/>
      <c r="F127" s="108"/>
      <c r="G127" s="109"/>
      <c r="H127" s="104"/>
      <c r="I127" s="104"/>
      <c r="J127" s="105"/>
      <c r="K127" s="106"/>
      <c r="L127" s="107"/>
      <c r="M127" s="107"/>
      <c r="N127" s="108"/>
      <c r="O127" s="109"/>
      <c r="Q127" s="104"/>
      <c r="R127" s="105"/>
      <c r="S127" s="106"/>
      <c r="T127" s="107"/>
      <c r="U127" s="107"/>
      <c r="V127" s="108"/>
      <c r="W127" s="109"/>
    </row>
    <row r="128" spans="1:23" x14ac:dyDescent="0.2">
      <c r="A128" s="104"/>
      <c r="B128" s="105"/>
      <c r="C128" s="106"/>
      <c r="D128" s="107"/>
      <c r="E128" s="107"/>
      <c r="F128" s="108"/>
      <c r="G128" s="109"/>
      <c r="H128" s="104"/>
      <c r="I128" s="104"/>
      <c r="J128" s="105"/>
      <c r="K128" s="106"/>
      <c r="L128" s="107"/>
      <c r="M128" s="107"/>
      <c r="N128" s="108"/>
      <c r="O128" s="109"/>
      <c r="Q128" s="104"/>
      <c r="R128" s="105"/>
      <c r="S128" s="106"/>
      <c r="T128" s="107"/>
      <c r="U128" s="107"/>
      <c r="V128" s="108"/>
      <c r="W128" s="109"/>
    </row>
    <row r="129" spans="1:23" x14ac:dyDescent="0.2">
      <c r="A129" s="104"/>
      <c r="B129" s="105"/>
      <c r="C129" s="106"/>
      <c r="D129" s="107"/>
      <c r="E129" s="107"/>
      <c r="F129" s="108"/>
      <c r="G129" s="109"/>
      <c r="H129" s="104"/>
      <c r="I129" s="104"/>
      <c r="J129" s="105"/>
      <c r="K129" s="106"/>
      <c r="L129" s="107"/>
      <c r="M129" s="107"/>
      <c r="N129" s="108"/>
      <c r="O129" s="109"/>
      <c r="Q129" s="104"/>
      <c r="R129" s="105"/>
      <c r="S129" s="106"/>
      <c r="T129" s="107"/>
      <c r="U129" s="107"/>
      <c r="V129" s="108"/>
      <c r="W129" s="109"/>
    </row>
    <row r="130" spans="1:23" x14ac:dyDescent="0.2">
      <c r="A130" s="104"/>
      <c r="B130" s="105"/>
      <c r="C130" s="106"/>
      <c r="D130" s="107"/>
      <c r="E130" s="107"/>
      <c r="F130" s="108"/>
      <c r="G130" s="109"/>
      <c r="H130" s="104"/>
      <c r="I130" s="104"/>
      <c r="J130" s="105"/>
      <c r="K130" s="106"/>
      <c r="L130" s="107"/>
      <c r="M130" s="107"/>
      <c r="N130" s="108"/>
      <c r="O130" s="109"/>
      <c r="Q130" s="104"/>
      <c r="R130" s="105"/>
      <c r="S130" s="106"/>
      <c r="T130" s="107"/>
      <c r="U130" s="107"/>
      <c r="V130" s="108"/>
      <c r="W130" s="109"/>
    </row>
    <row r="131" spans="1:23" x14ac:dyDescent="0.2">
      <c r="A131" s="104"/>
      <c r="B131" s="105"/>
      <c r="C131" s="106"/>
      <c r="D131" s="107"/>
      <c r="E131" s="107"/>
      <c r="F131" s="108"/>
      <c r="G131" s="109"/>
      <c r="H131" s="104"/>
      <c r="I131" s="104"/>
      <c r="J131" s="105"/>
      <c r="K131" s="106"/>
      <c r="L131" s="107"/>
      <c r="M131" s="107"/>
      <c r="N131" s="108"/>
      <c r="O131" s="109"/>
      <c r="Q131" s="104"/>
      <c r="R131" s="105"/>
      <c r="S131" s="106"/>
      <c r="T131" s="107"/>
      <c r="U131" s="107"/>
      <c r="V131" s="108"/>
      <c r="W131" s="109"/>
    </row>
    <row r="132" spans="1:23" x14ac:dyDescent="0.2">
      <c r="A132" s="104"/>
      <c r="B132" s="105"/>
      <c r="C132" s="106"/>
      <c r="D132" s="107"/>
      <c r="E132" s="107"/>
      <c r="F132" s="108"/>
      <c r="G132" s="109"/>
      <c r="H132" s="104"/>
      <c r="I132" s="104"/>
      <c r="J132" s="105"/>
      <c r="K132" s="106"/>
      <c r="L132" s="107"/>
      <c r="M132" s="107"/>
      <c r="N132" s="108"/>
      <c r="O132" s="109"/>
      <c r="Q132" s="104"/>
      <c r="R132" s="105"/>
      <c r="S132" s="106"/>
      <c r="T132" s="107"/>
      <c r="U132" s="107"/>
      <c r="V132" s="108"/>
      <c r="W132" s="109"/>
    </row>
    <row r="133" spans="1:23" x14ac:dyDescent="0.2">
      <c r="A133" s="104"/>
      <c r="B133" s="105"/>
      <c r="C133" s="106"/>
      <c r="D133" s="107"/>
      <c r="E133" s="107"/>
      <c r="F133" s="108"/>
      <c r="G133" s="109"/>
      <c r="H133" s="104"/>
      <c r="I133" s="104"/>
      <c r="J133" s="105"/>
      <c r="K133" s="106"/>
      <c r="L133" s="107"/>
      <c r="M133" s="107"/>
      <c r="N133" s="108"/>
      <c r="O133" s="109"/>
      <c r="Q133" s="104"/>
      <c r="R133" s="105"/>
      <c r="S133" s="106"/>
      <c r="T133" s="107"/>
      <c r="U133" s="107"/>
      <c r="V133" s="108"/>
      <c r="W133" s="109"/>
    </row>
    <row r="134" spans="1:23" x14ac:dyDescent="0.2">
      <c r="A134" s="104"/>
      <c r="B134" s="105"/>
      <c r="C134" s="106"/>
      <c r="D134" s="107"/>
      <c r="E134" s="107"/>
      <c r="F134" s="108"/>
      <c r="G134" s="109"/>
      <c r="H134" s="104"/>
      <c r="I134" s="104"/>
      <c r="J134" s="105"/>
      <c r="K134" s="106"/>
      <c r="L134" s="107"/>
      <c r="M134" s="107"/>
      <c r="N134" s="108"/>
      <c r="O134" s="109"/>
      <c r="Q134" s="104"/>
      <c r="R134" s="105"/>
      <c r="S134" s="106"/>
      <c r="T134" s="107"/>
      <c r="U134" s="107"/>
      <c r="V134" s="108"/>
      <c r="W134" s="109"/>
    </row>
    <row r="135" spans="1:23" x14ac:dyDescent="0.2">
      <c r="A135" s="104"/>
      <c r="B135" s="105"/>
      <c r="C135" s="106"/>
      <c r="D135" s="107"/>
      <c r="E135" s="107"/>
      <c r="F135" s="108"/>
      <c r="G135" s="109"/>
      <c r="H135" s="104"/>
      <c r="I135" s="104"/>
      <c r="J135" s="105"/>
      <c r="K135" s="106"/>
      <c r="L135" s="107"/>
      <c r="M135" s="107"/>
      <c r="N135" s="108"/>
      <c r="O135" s="109"/>
      <c r="Q135" s="104"/>
      <c r="R135" s="105"/>
      <c r="S135" s="106"/>
      <c r="T135" s="107"/>
      <c r="U135" s="107"/>
      <c r="V135" s="108"/>
      <c r="W135" s="109"/>
    </row>
    <row r="136" spans="1:23" x14ac:dyDescent="0.2">
      <c r="A136" s="104"/>
      <c r="B136" s="105"/>
      <c r="C136" s="106"/>
      <c r="D136" s="107"/>
      <c r="E136" s="107"/>
      <c r="F136" s="108"/>
      <c r="G136" s="109"/>
      <c r="H136" s="104"/>
      <c r="I136" s="104"/>
      <c r="J136" s="105"/>
      <c r="K136" s="106"/>
      <c r="L136" s="107"/>
      <c r="M136" s="107"/>
      <c r="N136" s="108"/>
      <c r="O136" s="109"/>
      <c r="Q136" s="104"/>
      <c r="R136" s="105"/>
      <c r="S136" s="106"/>
      <c r="T136" s="107"/>
      <c r="U136" s="107"/>
      <c r="V136" s="108"/>
      <c r="W136" s="109"/>
    </row>
    <row r="137" spans="1:23" x14ac:dyDescent="0.2">
      <c r="A137" s="104"/>
      <c r="B137" s="105"/>
      <c r="C137" s="106"/>
      <c r="D137" s="107"/>
      <c r="E137" s="107"/>
      <c r="F137" s="108"/>
      <c r="G137" s="109"/>
      <c r="H137" s="104"/>
      <c r="I137" s="104"/>
      <c r="J137" s="105"/>
      <c r="K137" s="106"/>
      <c r="L137" s="107"/>
      <c r="M137" s="107"/>
      <c r="N137" s="108"/>
      <c r="O137" s="109"/>
      <c r="Q137" s="104"/>
      <c r="R137" s="105"/>
      <c r="S137" s="106"/>
      <c r="T137" s="107"/>
      <c r="U137" s="107"/>
      <c r="V137" s="108"/>
      <c r="W137" s="109"/>
    </row>
    <row r="138" spans="1:23" x14ac:dyDescent="0.2">
      <c r="A138" s="104"/>
      <c r="B138" s="105"/>
      <c r="C138" s="106"/>
      <c r="D138" s="107"/>
      <c r="E138" s="107"/>
      <c r="F138" s="108"/>
      <c r="G138" s="109"/>
      <c r="H138" s="104"/>
      <c r="I138" s="104"/>
      <c r="J138" s="105"/>
      <c r="K138" s="106"/>
      <c r="L138" s="107"/>
      <c r="M138" s="107"/>
      <c r="N138" s="108"/>
      <c r="O138" s="109"/>
      <c r="Q138" s="104"/>
      <c r="R138" s="105"/>
      <c r="S138" s="106"/>
      <c r="T138" s="107"/>
      <c r="U138" s="107"/>
      <c r="V138" s="108"/>
      <c r="W138" s="109"/>
    </row>
    <row r="139" spans="1:23" x14ac:dyDescent="0.2">
      <c r="A139" s="104"/>
      <c r="B139" s="105"/>
      <c r="C139" s="106"/>
      <c r="D139" s="107"/>
      <c r="E139" s="107"/>
      <c r="F139" s="108"/>
      <c r="G139" s="109"/>
      <c r="H139" s="104"/>
      <c r="I139" s="104"/>
      <c r="J139" s="105"/>
      <c r="K139" s="106"/>
      <c r="L139" s="107"/>
      <c r="M139" s="107"/>
      <c r="N139" s="108"/>
      <c r="O139" s="109"/>
      <c r="Q139" s="104"/>
      <c r="R139" s="105"/>
      <c r="S139" s="106"/>
      <c r="T139" s="107"/>
      <c r="U139" s="107"/>
      <c r="V139" s="108"/>
      <c r="W139" s="109"/>
    </row>
    <row r="140" spans="1:23" x14ac:dyDescent="0.2">
      <c r="A140" s="104"/>
      <c r="B140" s="105"/>
      <c r="C140" s="106"/>
      <c r="D140" s="107"/>
      <c r="E140" s="107"/>
      <c r="F140" s="108"/>
      <c r="G140" s="109"/>
      <c r="H140" s="104"/>
      <c r="I140" s="104"/>
      <c r="J140" s="105"/>
      <c r="K140" s="106"/>
      <c r="L140" s="107"/>
      <c r="M140" s="107"/>
      <c r="N140" s="108"/>
      <c r="O140" s="109"/>
      <c r="Q140" s="104"/>
      <c r="R140" s="105"/>
      <c r="S140" s="106"/>
      <c r="T140" s="107"/>
      <c r="U140" s="107"/>
      <c r="V140" s="108"/>
      <c r="W140" s="109"/>
    </row>
    <row r="141" spans="1:23" x14ac:dyDescent="0.2">
      <c r="A141" s="104"/>
      <c r="B141" s="105"/>
      <c r="C141" s="106"/>
      <c r="D141" s="107"/>
      <c r="E141" s="107"/>
      <c r="F141" s="108"/>
      <c r="G141" s="109"/>
      <c r="H141" s="104"/>
      <c r="I141" s="104"/>
      <c r="J141" s="105"/>
      <c r="K141" s="106"/>
      <c r="L141" s="107"/>
      <c r="M141" s="107"/>
      <c r="N141" s="108"/>
      <c r="O141" s="109"/>
      <c r="Q141" s="104"/>
      <c r="R141" s="105"/>
      <c r="S141" s="106"/>
      <c r="T141" s="107"/>
      <c r="U141" s="107"/>
      <c r="V141" s="108"/>
      <c r="W141" s="109"/>
    </row>
    <row r="142" spans="1:23" x14ac:dyDescent="0.2">
      <c r="A142" s="104"/>
      <c r="B142" s="105"/>
      <c r="C142" s="106"/>
      <c r="D142" s="107"/>
      <c r="E142" s="107"/>
      <c r="F142" s="108"/>
      <c r="G142" s="109"/>
      <c r="H142" s="104"/>
      <c r="I142" s="104"/>
      <c r="J142" s="105"/>
      <c r="K142" s="106"/>
      <c r="L142" s="107"/>
      <c r="M142" s="107"/>
      <c r="N142" s="108"/>
      <c r="O142" s="109"/>
      <c r="Q142" s="104"/>
      <c r="R142" s="105"/>
      <c r="S142" s="106"/>
      <c r="T142" s="107"/>
      <c r="U142" s="107"/>
      <c r="V142" s="108"/>
      <c r="W142" s="109"/>
    </row>
    <row r="143" spans="1:23" x14ac:dyDescent="0.2">
      <c r="A143" s="104"/>
      <c r="B143" s="105"/>
      <c r="C143" s="106"/>
      <c r="D143" s="107"/>
      <c r="E143" s="107"/>
      <c r="F143" s="108"/>
      <c r="G143" s="109"/>
      <c r="H143" s="104"/>
      <c r="I143" s="104"/>
      <c r="J143" s="105"/>
      <c r="K143" s="106"/>
      <c r="L143" s="107"/>
      <c r="M143" s="107"/>
      <c r="N143" s="108"/>
      <c r="O143" s="109"/>
      <c r="Q143" s="104"/>
      <c r="R143" s="105"/>
      <c r="S143" s="106"/>
      <c r="T143" s="107"/>
      <c r="U143" s="107"/>
      <c r="V143" s="108"/>
      <c r="W143" s="109"/>
    </row>
    <row r="144" spans="1:23" x14ac:dyDescent="0.2">
      <c r="A144" s="104"/>
      <c r="B144" s="105"/>
      <c r="C144" s="106"/>
      <c r="D144" s="107"/>
      <c r="E144" s="107"/>
      <c r="F144" s="108"/>
      <c r="G144" s="109"/>
      <c r="H144" s="104"/>
      <c r="I144" s="104"/>
      <c r="J144" s="105"/>
      <c r="K144" s="106"/>
      <c r="L144" s="107"/>
      <c r="M144" s="107"/>
      <c r="N144" s="108"/>
      <c r="O144" s="109"/>
      <c r="Q144" s="104"/>
      <c r="R144" s="105"/>
      <c r="S144" s="106"/>
      <c r="T144" s="107"/>
      <c r="U144" s="107"/>
      <c r="V144" s="108"/>
      <c r="W144" s="109"/>
    </row>
    <row r="145" spans="1:23" x14ac:dyDescent="0.2">
      <c r="A145" s="104"/>
      <c r="B145" s="105"/>
      <c r="C145" s="106"/>
      <c r="D145" s="107"/>
      <c r="E145" s="107"/>
      <c r="F145" s="108"/>
      <c r="G145" s="109"/>
      <c r="H145" s="104"/>
      <c r="I145" s="104"/>
      <c r="J145" s="105"/>
      <c r="K145" s="106"/>
      <c r="L145" s="107"/>
      <c r="M145" s="107"/>
      <c r="N145" s="108"/>
      <c r="O145" s="109"/>
      <c r="Q145" s="104"/>
      <c r="R145" s="105"/>
      <c r="S145" s="106"/>
      <c r="T145" s="107"/>
      <c r="U145" s="107"/>
      <c r="V145" s="108"/>
      <c r="W145" s="109"/>
    </row>
    <row r="146" spans="1:23" x14ac:dyDescent="0.2">
      <c r="A146" s="104"/>
      <c r="B146" s="105"/>
      <c r="C146" s="106"/>
      <c r="D146" s="107"/>
      <c r="E146" s="107"/>
      <c r="F146" s="108"/>
      <c r="G146" s="109"/>
      <c r="H146" s="104"/>
      <c r="I146" s="104"/>
      <c r="J146" s="105"/>
      <c r="K146" s="106"/>
      <c r="L146" s="107"/>
      <c r="M146" s="107"/>
      <c r="N146" s="108"/>
      <c r="O146" s="109"/>
      <c r="Q146" s="104"/>
      <c r="R146" s="105"/>
      <c r="S146" s="106"/>
      <c r="T146" s="107"/>
      <c r="U146" s="107"/>
      <c r="V146" s="108"/>
      <c r="W146" s="109"/>
    </row>
    <row r="147" spans="1:23" x14ac:dyDescent="0.2">
      <c r="A147" s="104"/>
      <c r="B147" s="105"/>
      <c r="C147" s="106"/>
      <c r="D147" s="107"/>
      <c r="E147" s="107"/>
      <c r="F147" s="108"/>
      <c r="G147" s="109"/>
      <c r="H147" s="104"/>
      <c r="I147" s="104"/>
      <c r="J147" s="105"/>
      <c r="K147" s="106"/>
      <c r="L147" s="107"/>
      <c r="M147" s="107"/>
      <c r="N147" s="108"/>
      <c r="O147" s="109"/>
      <c r="Q147" s="104"/>
      <c r="R147" s="105"/>
      <c r="S147" s="106"/>
      <c r="T147" s="107"/>
      <c r="U147" s="107"/>
      <c r="V147" s="108"/>
      <c r="W147" s="109"/>
    </row>
    <row r="148" spans="1:23" x14ac:dyDescent="0.2">
      <c r="A148" s="104"/>
      <c r="B148" s="105"/>
      <c r="C148" s="106"/>
      <c r="D148" s="107"/>
      <c r="E148" s="107"/>
      <c r="F148" s="108"/>
      <c r="G148" s="109"/>
      <c r="H148" s="104"/>
      <c r="I148" s="104"/>
      <c r="J148" s="105"/>
      <c r="K148" s="106"/>
      <c r="L148" s="107"/>
      <c r="M148" s="107"/>
      <c r="N148" s="108"/>
      <c r="O148" s="109"/>
      <c r="Q148" s="104"/>
      <c r="R148" s="105"/>
      <c r="S148" s="106"/>
      <c r="T148" s="107"/>
      <c r="U148" s="107"/>
      <c r="V148" s="108"/>
      <c r="W148" s="109"/>
    </row>
    <row r="149" spans="1:23" x14ac:dyDescent="0.2">
      <c r="A149" s="104"/>
      <c r="B149" s="105"/>
      <c r="C149" s="106"/>
      <c r="D149" s="107"/>
      <c r="E149" s="107"/>
      <c r="F149" s="108"/>
      <c r="G149" s="109"/>
      <c r="H149" s="104"/>
      <c r="I149" s="104"/>
      <c r="J149" s="105"/>
      <c r="K149" s="106"/>
      <c r="L149" s="107"/>
      <c r="M149" s="107"/>
      <c r="N149" s="108"/>
      <c r="O149" s="109"/>
      <c r="Q149" s="104"/>
      <c r="R149" s="105"/>
      <c r="S149" s="106"/>
      <c r="T149" s="107"/>
      <c r="U149" s="107"/>
      <c r="V149" s="108"/>
      <c r="W149" s="109"/>
    </row>
    <row r="150" spans="1:23" x14ac:dyDescent="0.2">
      <c r="A150" s="104"/>
      <c r="B150" s="105"/>
      <c r="C150" s="106"/>
      <c r="D150" s="107"/>
      <c r="E150" s="107"/>
      <c r="F150" s="108"/>
      <c r="G150" s="109"/>
      <c r="H150" s="104"/>
      <c r="I150" s="104"/>
      <c r="J150" s="105"/>
      <c r="K150" s="106"/>
      <c r="L150" s="107"/>
      <c r="M150" s="107"/>
      <c r="N150" s="108"/>
      <c r="O150" s="109"/>
      <c r="Q150" s="104"/>
      <c r="R150" s="105"/>
      <c r="S150" s="106"/>
      <c r="T150" s="107"/>
      <c r="U150" s="107"/>
      <c r="V150" s="108"/>
      <c r="W150" s="109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2:W150"/>
  <sheetViews>
    <sheetView workbookViewId="0"/>
  </sheetViews>
  <sheetFormatPr baseColWidth="10" defaultRowHeight="14.25" x14ac:dyDescent="0.2"/>
  <cols>
    <col min="1" max="1" width="17.125" bestFit="1" customWidth="1"/>
    <col min="3" max="3" width="14" customWidth="1"/>
    <col min="6" max="6" width="14" customWidth="1"/>
  </cols>
  <sheetData>
    <row r="2" spans="1:23" x14ac:dyDescent="0.2">
      <c r="A2" s="98"/>
      <c r="B2" s="98"/>
      <c r="C2" s="98"/>
      <c r="D2" s="98"/>
      <c r="E2" s="98"/>
      <c r="F2" s="98"/>
      <c r="G2" s="98"/>
      <c r="I2" s="98"/>
      <c r="J2" s="98"/>
      <c r="K2" s="98"/>
      <c r="L2" s="98"/>
      <c r="M2" s="98"/>
      <c r="N2" s="98"/>
      <c r="O2" s="98"/>
      <c r="Q2" s="98"/>
      <c r="R2" s="98"/>
      <c r="S2" s="98"/>
      <c r="T2" s="98"/>
      <c r="U2" s="98"/>
      <c r="V2" s="98"/>
      <c r="W2" s="98"/>
    </row>
    <row r="3" spans="1:23" x14ac:dyDescent="0.2">
      <c r="A3" s="99"/>
      <c r="B3" s="100"/>
      <c r="C3" s="100"/>
      <c r="D3" s="101"/>
      <c r="E3" s="101"/>
      <c r="F3" s="102"/>
      <c r="G3" s="103"/>
      <c r="I3" s="99"/>
      <c r="J3" s="100"/>
      <c r="K3" s="100"/>
      <c r="L3" s="101"/>
      <c r="M3" s="101"/>
      <c r="N3" s="102"/>
      <c r="O3" s="103"/>
      <c r="Q3" s="99"/>
      <c r="R3" s="100"/>
      <c r="S3" s="100"/>
      <c r="T3" s="101"/>
      <c r="U3" s="101"/>
      <c r="V3" s="102"/>
      <c r="W3" s="103"/>
    </row>
    <row r="4" spans="1:23" x14ac:dyDescent="0.2">
      <c r="A4" s="104"/>
      <c r="B4" s="105"/>
      <c r="C4" s="106"/>
      <c r="D4" s="107"/>
      <c r="E4" s="107"/>
      <c r="F4" s="108"/>
      <c r="G4" s="109"/>
      <c r="I4" s="104"/>
      <c r="J4" s="105"/>
      <c r="K4" s="106"/>
      <c r="L4" s="107"/>
      <c r="M4" s="107"/>
      <c r="N4" s="108"/>
      <c r="O4" s="109"/>
      <c r="Q4" s="104"/>
      <c r="R4" s="105"/>
      <c r="S4" s="106"/>
      <c r="T4" s="107"/>
      <c r="U4" s="107"/>
      <c r="V4" s="108"/>
      <c r="W4" s="109"/>
    </row>
    <row r="5" spans="1:23" x14ac:dyDescent="0.2">
      <c r="A5" s="104"/>
      <c r="B5" s="105"/>
      <c r="C5" s="106"/>
      <c r="D5" s="107"/>
      <c r="E5" s="107"/>
      <c r="F5" s="108"/>
      <c r="G5" s="109"/>
      <c r="I5" s="104"/>
      <c r="J5" s="105"/>
      <c r="K5" s="106"/>
      <c r="L5" s="107"/>
      <c r="M5" s="107"/>
      <c r="N5" s="108"/>
      <c r="O5" s="109"/>
      <c r="Q5" s="104"/>
      <c r="R5" s="105"/>
      <c r="S5" s="106"/>
      <c r="T5" s="107"/>
      <c r="U5" s="107"/>
      <c r="V5" s="108"/>
      <c r="W5" s="109"/>
    </row>
    <row r="6" spans="1:23" x14ac:dyDescent="0.2">
      <c r="A6" s="104"/>
      <c r="B6" s="105"/>
      <c r="C6" s="106"/>
      <c r="D6" s="107"/>
      <c r="E6" s="107"/>
      <c r="F6" s="108"/>
      <c r="G6" s="109"/>
      <c r="I6" s="104"/>
      <c r="J6" s="105"/>
      <c r="K6" s="106"/>
      <c r="L6" s="107"/>
      <c r="M6" s="107"/>
      <c r="N6" s="108"/>
      <c r="O6" s="109"/>
      <c r="Q6" s="104"/>
      <c r="R6" s="105"/>
      <c r="S6" s="106"/>
      <c r="T6" s="107"/>
      <c r="U6" s="107"/>
      <c r="V6" s="108"/>
      <c r="W6" s="109"/>
    </row>
    <row r="7" spans="1:23" x14ac:dyDescent="0.2">
      <c r="A7" s="104"/>
      <c r="B7" s="105"/>
      <c r="C7" s="106"/>
      <c r="D7" s="107"/>
      <c r="E7" s="107"/>
      <c r="F7" s="108"/>
      <c r="G7" s="109"/>
      <c r="I7" s="104"/>
      <c r="J7" s="105"/>
      <c r="K7" s="106"/>
      <c r="L7" s="107"/>
      <c r="M7" s="107"/>
      <c r="N7" s="108"/>
      <c r="O7" s="109"/>
      <c r="Q7" s="104"/>
      <c r="R7" s="105"/>
      <c r="S7" s="106"/>
      <c r="T7" s="107"/>
      <c r="U7" s="107"/>
      <c r="V7" s="108"/>
      <c r="W7" s="109"/>
    </row>
    <row r="8" spans="1:23" x14ac:dyDescent="0.2">
      <c r="A8" s="104"/>
      <c r="B8" s="105"/>
      <c r="C8" s="106"/>
      <c r="D8" s="107"/>
      <c r="E8" s="107"/>
      <c r="F8" s="108"/>
      <c r="G8" s="109"/>
      <c r="I8" s="104"/>
      <c r="J8" s="105"/>
      <c r="K8" s="106"/>
      <c r="L8" s="107"/>
      <c r="M8" s="107"/>
      <c r="N8" s="108"/>
      <c r="O8" s="109"/>
      <c r="Q8" s="104"/>
      <c r="R8" s="105"/>
      <c r="S8" s="106"/>
      <c r="T8" s="107"/>
      <c r="U8" s="107"/>
      <c r="V8" s="108"/>
      <c r="W8" s="109"/>
    </row>
    <row r="9" spans="1:23" x14ac:dyDescent="0.2">
      <c r="A9" s="104"/>
      <c r="B9" s="105"/>
      <c r="C9" s="106"/>
      <c r="D9" s="107"/>
      <c r="E9" s="107"/>
      <c r="F9" s="108"/>
      <c r="G9" s="109"/>
      <c r="I9" s="104"/>
      <c r="J9" s="105"/>
      <c r="K9" s="106"/>
      <c r="L9" s="107"/>
      <c r="M9" s="107"/>
      <c r="N9" s="108"/>
      <c r="O9" s="109"/>
      <c r="Q9" s="104"/>
      <c r="R9" s="105"/>
      <c r="S9" s="106"/>
      <c r="T9" s="107"/>
      <c r="U9" s="107"/>
      <c r="V9" s="108"/>
      <c r="W9" s="109"/>
    </row>
    <row r="10" spans="1:23" x14ac:dyDescent="0.2">
      <c r="A10" s="104"/>
      <c r="B10" s="105"/>
      <c r="C10" s="106"/>
      <c r="D10" s="107"/>
      <c r="E10" s="107"/>
      <c r="F10" s="108"/>
      <c r="G10" s="109"/>
      <c r="I10" s="104"/>
      <c r="J10" s="105"/>
      <c r="K10" s="106"/>
      <c r="L10" s="107"/>
      <c r="M10" s="107"/>
      <c r="N10" s="108"/>
      <c r="O10" s="109"/>
      <c r="Q10" s="104"/>
      <c r="R10" s="105"/>
      <c r="S10" s="106"/>
      <c r="T10" s="107"/>
      <c r="U10" s="107"/>
      <c r="V10" s="108"/>
      <c r="W10" s="109"/>
    </row>
    <row r="11" spans="1:23" x14ac:dyDescent="0.2">
      <c r="A11" s="104"/>
      <c r="B11" s="105"/>
      <c r="C11" s="106"/>
      <c r="D11" s="107"/>
      <c r="E11" s="107"/>
      <c r="F11" s="108"/>
      <c r="G11" s="109"/>
      <c r="I11" s="104"/>
      <c r="J11" s="105"/>
      <c r="K11" s="106"/>
      <c r="L11" s="107"/>
      <c r="M11" s="107"/>
      <c r="N11" s="108"/>
      <c r="O11" s="109"/>
      <c r="Q11" s="104"/>
      <c r="R11" s="105"/>
      <c r="S11" s="106"/>
      <c r="T11" s="107"/>
      <c r="U11" s="107"/>
      <c r="V11" s="108"/>
      <c r="W11" s="109"/>
    </row>
    <row r="12" spans="1:23" x14ac:dyDescent="0.2">
      <c r="A12" s="104"/>
      <c r="B12" s="105"/>
      <c r="C12" s="106"/>
      <c r="D12" s="107"/>
      <c r="E12" s="107"/>
      <c r="F12" s="108"/>
      <c r="G12" s="109"/>
      <c r="I12" s="104"/>
      <c r="J12" s="105"/>
      <c r="K12" s="106"/>
      <c r="L12" s="107"/>
      <c r="M12" s="107"/>
      <c r="N12" s="108"/>
      <c r="O12" s="109"/>
      <c r="Q12" s="104"/>
      <c r="R12" s="105"/>
      <c r="S12" s="106"/>
      <c r="T12" s="107"/>
      <c r="U12" s="107"/>
      <c r="V12" s="108"/>
      <c r="W12" s="109"/>
    </row>
    <row r="13" spans="1:23" x14ac:dyDescent="0.2">
      <c r="A13" s="104"/>
      <c r="B13" s="105"/>
      <c r="C13" s="106"/>
      <c r="D13" s="107"/>
      <c r="E13" s="107"/>
      <c r="F13" s="108"/>
      <c r="G13" s="109"/>
      <c r="I13" s="104"/>
      <c r="J13" s="105"/>
      <c r="K13" s="106"/>
      <c r="L13" s="107"/>
      <c r="M13" s="107"/>
      <c r="N13" s="108"/>
      <c r="O13" s="109"/>
      <c r="Q13" s="104"/>
      <c r="R13" s="105"/>
      <c r="S13" s="106"/>
      <c r="T13" s="107"/>
      <c r="U13" s="107"/>
      <c r="V13" s="108"/>
      <c r="W13" s="109"/>
    </row>
    <row r="14" spans="1:23" x14ac:dyDescent="0.2">
      <c r="A14" s="104"/>
      <c r="B14" s="105"/>
      <c r="C14" s="106"/>
      <c r="D14" s="107"/>
      <c r="E14" s="107"/>
      <c r="F14" s="108"/>
      <c r="G14" s="109"/>
      <c r="I14" s="104"/>
      <c r="J14" s="105"/>
      <c r="K14" s="106"/>
      <c r="L14" s="107"/>
      <c r="M14" s="107"/>
      <c r="N14" s="108"/>
      <c r="O14" s="109"/>
      <c r="Q14" s="104"/>
      <c r="R14" s="105"/>
      <c r="S14" s="106"/>
      <c r="T14" s="107"/>
      <c r="U14" s="107"/>
      <c r="V14" s="108"/>
      <c r="W14" s="109"/>
    </row>
    <row r="15" spans="1:23" x14ac:dyDescent="0.2">
      <c r="A15" s="104"/>
      <c r="B15" s="105"/>
      <c r="C15" s="106"/>
      <c r="D15" s="107"/>
      <c r="E15" s="107"/>
      <c r="F15" s="108"/>
      <c r="G15" s="109"/>
      <c r="I15" s="104"/>
      <c r="J15" s="105"/>
      <c r="K15" s="106"/>
      <c r="L15" s="107"/>
      <c r="M15" s="107"/>
      <c r="N15" s="108"/>
      <c r="O15" s="109"/>
      <c r="Q15" s="104"/>
      <c r="R15" s="105"/>
      <c r="S15" s="106"/>
      <c r="T15" s="107"/>
      <c r="U15" s="107"/>
      <c r="V15" s="108"/>
      <c r="W15" s="109"/>
    </row>
    <row r="16" spans="1:23" x14ac:dyDescent="0.2">
      <c r="A16" s="104"/>
      <c r="B16" s="105"/>
      <c r="C16" s="106"/>
      <c r="D16" s="107"/>
      <c r="E16" s="107"/>
      <c r="F16" s="108"/>
      <c r="G16" s="109"/>
      <c r="I16" s="104"/>
      <c r="J16" s="105"/>
      <c r="K16" s="106"/>
      <c r="L16" s="107"/>
      <c r="M16" s="107"/>
      <c r="N16" s="108"/>
      <c r="O16" s="109"/>
      <c r="Q16" s="104"/>
      <c r="R16" s="105"/>
      <c r="S16" s="106"/>
      <c r="T16" s="107"/>
      <c r="U16" s="107"/>
      <c r="V16" s="108"/>
      <c r="W16" s="109"/>
    </row>
    <row r="17" spans="1:23" x14ac:dyDescent="0.2">
      <c r="A17" s="104"/>
      <c r="B17" s="105"/>
      <c r="C17" s="106"/>
      <c r="D17" s="107"/>
      <c r="E17" s="107"/>
      <c r="F17" s="108"/>
      <c r="G17" s="109"/>
      <c r="I17" s="104"/>
      <c r="J17" s="105"/>
      <c r="K17" s="106"/>
      <c r="L17" s="107"/>
      <c r="M17" s="107"/>
      <c r="N17" s="108"/>
      <c r="O17" s="109"/>
      <c r="Q17" s="104"/>
      <c r="R17" s="105"/>
      <c r="S17" s="106"/>
      <c r="T17" s="107"/>
      <c r="U17" s="107"/>
      <c r="V17" s="108"/>
      <c r="W17" s="109"/>
    </row>
    <row r="18" spans="1:23" x14ac:dyDescent="0.2">
      <c r="A18" s="104"/>
      <c r="B18" s="105"/>
      <c r="C18" s="106"/>
      <c r="D18" s="107"/>
      <c r="E18" s="107"/>
      <c r="F18" s="108"/>
      <c r="G18" s="109"/>
      <c r="I18" s="104"/>
      <c r="J18" s="105"/>
      <c r="K18" s="106"/>
      <c r="L18" s="107"/>
      <c r="M18" s="107"/>
      <c r="N18" s="108"/>
      <c r="O18" s="109"/>
      <c r="Q18" s="104"/>
      <c r="R18" s="105"/>
      <c r="S18" s="106"/>
      <c r="T18" s="107"/>
      <c r="U18" s="107"/>
      <c r="V18" s="108"/>
      <c r="W18" s="109"/>
    </row>
    <row r="19" spans="1:23" x14ac:dyDescent="0.2">
      <c r="A19" s="104"/>
      <c r="B19" s="105"/>
      <c r="C19" s="106"/>
      <c r="D19" s="107"/>
      <c r="E19" s="107"/>
      <c r="F19" s="108"/>
      <c r="G19" s="109"/>
      <c r="I19" s="104"/>
      <c r="J19" s="105"/>
      <c r="K19" s="106"/>
      <c r="L19" s="107"/>
      <c r="M19" s="107"/>
      <c r="N19" s="108"/>
      <c r="O19" s="109"/>
      <c r="Q19" s="104"/>
      <c r="R19" s="105"/>
      <c r="S19" s="106"/>
      <c r="T19" s="107"/>
      <c r="U19" s="107"/>
      <c r="V19" s="108"/>
      <c r="W19" s="109"/>
    </row>
    <row r="20" spans="1:23" x14ac:dyDescent="0.2">
      <c r="A20" s="104"/>
      <c r="B20" s="105"/>
      <c r="C20" s="106"/>
      <c r="D20" s="107"/>
      <c r="E20" s="107"/>
      <c r="F20" s="108"/>
      <c r="G20" s="109"/>
      <c r="I20" s="104"/>
      <c r="J20" s="105"/>
      <c r="K20" s="106"/>
      <c r="L20" s="107"/>
      <c r="M20" s="107"/>
      <c r="N20" s="108"/>
      <c r="O20" s="109"/>
      <c r="Q20" s="104"/>
      <c r="R20" s="105"/>
      <c r="S20" s="106"/>
      <c r="T20" s="107"/>
      <c r="U20" s="107"/>
      <c r="V20" s="108"/>
      <c r="W20" s="109"/>
    </row>
    <row r="21" spans="1:23" x14ac:dyDescent="0.2">
      <c r="A21" s="104"/>
      <c r="B21" s="105"/>
      <c r="C21" s="106"/>
      <c r="D21" s="107"/>
      <c r="E21" s="107"/>
      <c r="F21" s="108"/>
      <c r="G21" s="109"/>
      <c r="I21" s="104"/>
      <c r="J21" s="105"/>
      <c r="K21" s="106"/>
      <c r="L21" s="107"/>
      <c r="M21" s="107"/>
      <c r="N21" s="108"/>
      <c r="O21" s="109"/>
      <c r="Q21" s="104"/>
      <c r="R21" s="105"/>
      <c r="S21" s="106"/>
      <c r="T21" s="107"/>
      <c r="U21" s="107"/>
      <c r="V21" s="108"/>
      <c r="W21" s="109"/>
    </row>
    <row r="22" spans="1:23" x14ac:dyDescent="0.2">
      <c r="A22" s="104"/>
      <c r="B22" s="105"/>
      <c r="C22" s="106"/>
      <c r="D22" s="107"/>
      <c r="E22" s="107"/>
      <c r="F22" s="108"/>
      <c r="G22" s="109"/>
      <c r="I22" s="104"/>
      <c r="J22" s="105"/>
      <c r="K22" s="106"/>
      <c r="L22" s="107"/>
      <c r="M22" s="107"/>
      <c r="N22" s="108"/>
      <c r="O22" s="109"/>
      <c r="Q22" s="104"/>
      <c r="R22" s="105"/>
      <c r="S22" s="106"/>
      <c r="T22" s="107"/>
      <c r="U22" s="107"/>
      <c r="V22" s="108"/>
      <c r="W22" s="109"/>
    </row>
    <row r="23" spans="1:23" x14ac:dyDescent="0.2">
      <c r="A23" s="104"/>
      <c r="B23" s="105"/>
      <c r="C23" s="106"/>
      <c r="D23" s="107"/>
      <c r="E23" s="107"/>
      <c r="F23" s="108"/>
      <c r="G23" s="109"/>
      <c r="I23" s="104"/>
      <c r="J23" s="105"/>
      <c r="K23" s="106"/>
      <c r="L23" s="107"/>
      <c r="M23" s="107"/>
      <c r="N23" s="108"/>
      <c r="O23" s="109"/>
      <c r="Q23" s="104"/>
      <c r="R23" s="105"/>
      <c r="S23" s="106"/>
      <c r="T23" s="107"/>
      <c r="U23" s="107"/>
      <c r="V23" s="108"/>
      <c r="W23" s="109"/>
    </row>
    <row r="24" spans="1:23" x14ac:dyDescent="0.2">
      <c r="A24" s="104"/>
      <c r="B24" s="105"/>
      <c r="C24" s="106"/>
      <c r="D24" s="107"/>
      <c r="E24" s="107"/>
      <c r="F24" s="108"/>
      <c r="G24" s="109"/>
      <c r="I24" s="104"/>
      <c r="J24" s="105"/>
      <c r="K24" s="106"/>
      <c r="L24" s="107"/>
      <c r="M24" s="107"/>
      <c r="N24" s="108"/>
      <c r="O24" s="109"/>
      <c r="Q24" s="104"/>
      <c r="R24" s="105"/>
      <c r="S24" s="106"/>
      <c r="T24" s="107"/>
      <c r="U24" s="107"/>
      <c r="V24" s="108"/>
      <c r="W24" s="109"/>
    </row>
    <row r="25" spans="1:23" x14ac:dyDescent="0.2">
      <c r="A25" s="104"/>
      <c r="B25" s="105"/>
      <c r="C25" s="106"/>
      <c r="D25" s="107"/>
      <c r="E25" s="107"/>
      <c r="F25" s="108"/>
      <c r="G25" s="109"/>
      <c r="I25" s="104"/>
      <c r="J25" s="105"/>
      <c r="K25" s="106"/>
      <c r="L25" s="107"/>
      <c r="M25" s="107"/>
      <c r="N25" s="108"/>
      <c r="O25" s="109"/>
      <c r="Q25" s="104"/>
      <c r="R25" s="105"/>
      <c r="S25" s="106"/>
      <c r="T25" s="107"/>
      <c r="U25" s="107"/>
      <c r="V25" s="108"/>
      <c r="W25" s="109"/>
    </row>
    <row r="26" spans="1:23" x14ac:dyDescent="0.2">
      <c r="A26" s="104"/>
      <c r="B26" s="105"/>
      <c r="C26" s="106"/>
      <c r="D26" s="107"/>
      <c r="E26" s="107"/>
      <c r="F26" s="108"/>
      <c r="G26" s="109"/>
      <c r="I26" s="104"/>
      <c r="J26" s="105"/>
      <c r="K26" s="106"/>
      <c r="L26" s="107"/>
      <c r="M26" s="107"/>
      <c r="N26" s="108"/>
      <c r="O26" s="109"/>
      <c r="Q26" s="104"/>
      <c r="R26" s="105"/>
      <c r="S26" s="106"/>
      <c r="T26" s="107"/>
      <c r="U26" s="107"/>
      <c r="V26" s="108"/>
      <c r="W26" s="109"/>
    </row>
    <row r="27" spans="1:23" x14ac:dyDescent="0.2">
      <c r="A27" s="104"/>
      <c r="B27" s="105"/>
      <c r="C27" s="106"/>
      <c r="D27" s="107"/>
      <c r="E27" s="107"/>
      <c r="F27" s="108"/>
      <c r="G27" s="109"/>
      <c r="I27" s="104"/>
      <c r="J27" s="105"/>
      <c r="K27" s="106"/>
      <c r="L27" s="107"/>
      <c r="M27" s="107"/>
      <c r="N27" s="108"/>
      <c r="O27" s="109"/>
      <c r="Q27" s="104"/>
      <c r="R27" s="105"/>
      <c r="S27" s="106"/>
      <c r="T27" s="107"/>
      <c r="U27" s="107"/>
      <c r="V27" s="108"/>
      <c r="W27" s="109"/>
    </row>
    <row r="28" spans="1:23" x14ac:dyDescent="0.2">
      <c r="A28" s="104"/>
      <c r="B28" s="105"/>
      <c r="C28" s="106"/>
      <c r="D28" s="107"/>
      <c r="E28" s="107"/>
      <c r="F28" s="108"/>
      <c r="G28" s="109"/>
      <c r="I28" s="104"/>
      <c r="J28" s="105"/>
      <c r="K28" s="106"/>
      <c r="L28" s="107"/>
      <c r="M28" s="107"/>
      <c r="N28" s="108"/>
      <c r="O28" s="109"/>
      <c r="Q28" s="104"/>
      <c r="R28" s="105"/>
      <c r="S28" s="106"/>
      <c r="T28" s="107"/>
      <c r="U28" s="107"/>
      <c r="V28" s="108"/>
      <c r="W28" s="109"/>
    </row>
    <row r="29" spans="1:23" x14ac:dyDescent="0.2">
      <c r="A29" s="104"/>
      <c r="B29" s="105"/>
      <c r="C29" s="106"/>
      <c r="D29" s="107"/>
      <c r="E29" s="107"/>
      <c r="F29" s="108"/>
      <c r="G29" s="109"/>
      <c r="I29" s="104"/>
      <c r="J29" s="105"/>
      <c r="K29" s="106"/>
      <c r="L29" s="107"/>
      <c r="M29" s="107"/>
      <c r="N29" s="108"/>
      <c r="O29" s="109"/>
      <c r="Q29" s="104"/>
      <c r="R29" s="105"/>
      <c r="S29" s="106"/>
      <c r="T29" s="107"/>
      <c r="U29" s="107"/>
      <c r="V29" s="108"/>
      <c r="W29" s="109"/>
    </row>
    <row r="30" spans="1:23" x14ac:dyDescent="0.2">
      <c r="A30" s="104"/>
      <c r="B30" s="105"/>
      <c r="C30" s="106"/>
      <c r="D30" s="107"/>
      <c r="E30" s="107"/>
      <c r="F30" s="108"/>
      <c r="G30" s="109"/>
      <c r="I30" s="104"/>
      <c r="J30" s="105"/>
      <c r="K30" s="106"/>
      <c r="L30" s="107"/>
      <c r="M30" s="107"/>
      <c r="N30" s="108"/>
      <c r="O30" s="109"/>
      <c r="Q30" s="104"/>
      <c r="R30" s="105"/>
      <c r="S30" s="106"/>
      <c r="T30" s="107"/>
      <c r="U30" s="107"/>
      <c r="V30" s="108"/>
      <c r="W30" s="109"/>
    </row>
    <row r="31" spans="1:23" x14ac:dyDescent="0.2">
      <c r="A31" s="104"/>
      <c r="B31" s="105"/>
      <c r="C31" s="106"/>
      <c r="D31" s="107"/>
      <c r="E31" s="107"/>
      <c r="F31" s="108"/>
      <c r="G31" s="109"/>
      <c r="I31" s="104"/>
      <c r="J31" s="105"/>
      <c r="K31" s="106"/>
      <c r="L31" s="107"/>
      <c r="M31" s="107"/>
      <c r="N31" s="108"/>
      <c r="O31" s="109"/>
      <c r="Q31" s="104"/>
      <c r="R31" s="105"/>
      <c r="S31" s="106"/>
      <c r="T31" s="107"/>
      <c r="U31" s="107"/>
      <c r="V31" s="108"/>
      <c r="W31" s="109"/>
    </row>
    <row r="32" spans="1:23" x14ac:dyDescent="0.2">
      <c r="A32" s="104"/>
      <c r="B32" s="105"/>
      <c r="C32" s="106"/>
      <c r="D32" s="107"/>
      <c r="E32" s="107"/>
      <c r="F32" s="108"/>
      <c r="G32" s="109"/>
      <c r="I32" s="104"/>
      <c r="J32" s="105"/>
      <c r="K32" s="106"/>
      <c r="L32" s="107"/>
      <c r="M32" s="107"/>
      <c r="N32" s="108"/>
      <c r="O32" s="109"/>
      <c r="Q32" s="104"/>
      <c r="R32" s="105"/>
      <c r="S32" s="106"/>
      <c r="T32" s="107"/>
      <c r="U32" s="107"/>
      <c r="V32" s="108"/>
      <c r="W32" s="109"/>
    </row>
    <row r="33" spans="1:23" x14ac:dyDescent="0.2">
      <c r="A33" s="104"/>
      <c r="B33" s="105"/>
      <c r="C33" s="106"/>
      <c r="D33" s="107"/>
      <c r="E33" s="107"/>
      <c r="F33" s="108"/>
      <c r="G33" s="109"/>
      <c r="I33" s="104"/>
      <c r="J33" s="105"/>
      <c r="K33" s="106"/>
      <c r="L33" s="107"/>
      <c r="M33" s="107"/>
      <c r="N33" s="108"/>
      <c r="O33" s="109"/>
      <c r="Q33" s="104"/>
      <c r="R33" s="105"/>
      <c r="S33" s="106"/>
      <c r="T33" s="107"/>
      <c r="U33" s="107"/>
      <c r="V33" s="108"/>
      <c r="W33" s="109"/>
    </row>
    <row r="34" spans="1:23" x14ac:dyDescent="0.2">
      <c r="A34" s="104"/>
      <c r="B34" s="105"/>
      <c r="C34" s="106"/>
      <c r="D34" s="107"/>
      <c r="E34" s="107"/>
      <c r="F34" s="108"/>
      <c r="G34" s="109"/>
      <c r="I34" s="104"/>
      <c r="J34" s="105"/>
      <c r="K34" s="106"/>
      <c r="L34" s="107"/>
      <c r="M34" s="107"/>
      <c r="N34" s="108"/>
      <c r="O34" s="109"/>
      <c r="Q34" s="104"/>
      <c r="R34" s="105"/>
      <c r="S34" s="106"/>
      <c r="T34" s="107"/>
      <c r="U34" s="107"/>
      <c r="V34" s="108"/>
      <c r="W34" s="109"/>
    </row>
    <row r="35" spans="1:23" x14ac:dyDescent="0.2">
      <c r="A35" s="104"/>
      <c r="B35" s="105"/>
      <c r="C35" s="106"/>
      <c r="D35" s="107"/>
      <c r="E35" s="107"/>
      <c r="F35" s="108"/>
      <c r="G35" s="109"/>
      <c r="I35" s="104"/>
      <c r="J35" s="105"/>
      <c r="K35" s="106"/>
      <c r="L35" s="107"/>
      <c r="M35" s="107"/>
      <c r="N35" s="108"/>
      <c r="O35" s="109"/>
      <c r="Q35" s="104"/>
      <c r="R35" s="105"/>
      <c r="S35" s="106"/>
      <c r="T35" s="107"/>
      <c r="U35" s="107"/>
      <c r="V35" s="108"/>
      <c r="W35" s="109"/>
    </row>
    <row r="36" spans="1:23" x14ac:dyDescent="0.2">
      <c r="A36" s="104"/>
      <c r="B36" s="105"/>
      <c r="C36" s="106"/>
      <c r="D36" s="107"/>
      <c r="E36" s="107"/>
      <c r="F36" s="108"/>
      <c r="G36" s="109"/>
      <c r="I36" s="104"/>
      <c r="J36" s="105"/>
      <c r="K36" s="106"/>
      <c r="L36" s="107"/>
      <c r="M36" s="107"/>
      <c r="N36" s="108"/>
      <c r="O36" s="109"/>
      <c r="Q36" s="104"/>
      <c r="R36" s="105"/>
      <c r="S36" s="106"/>
      <c r="T36" s="107"/>
      <c r="U36" s="107"/>
      <c r="V36" s="108"/>
      <c r="W36" s="109"/>
    </row>
    <row r="37" spans="1:23" x14ac:dyDescent="0.2">
      <c r="A37" s="104"/>
      <c r="B37" s="105"/>
      <c r="C37" s="106"/>
      <c r="D37" s="107"/>
      <c r="E37" s="107"/>
      <c r="F37" s="108"/>
      <c r="G37" s="109"/>
      <c r="I37" s="104"/>
      <c r="J37" s="105"/>
      <c r="K37" s="106"/>
      <c r="L37" s="107"/>
      <c r="M37" s="107"/>
      <c r="N37" s="108"/>
      <c r="O37" s="109"/>
      <c r="Q37" s="104"/>
      <c r="R37" s="105"/>
      <c r="S37" s="106"/>
      <c r="T37" s="107"/>
      <c r="U37" s="107"/>
      <c r="V37" s="108"/>
      <c r="W37" s="109"/>
    </row>
    <row r="38" spans="1:23" x14ac:dyDescent="0.2">
      <c r="A38" s="104"/>
      <c r="B38" s="105"/>
      <c r="C38" s="106"/>
      <c r="D38" s="107"/>
      <c r="E38" s="107"/>
      <c r="F38" s="108"/>
      <c r="G38" s="109"/>
      <c r="I38" s="104"/>
      <c r="J38" s="105"/>
      <c r="K38" s="106"/>
      <c r="L38" s="107"/>
      <c r="M38" s="107"/>
      <c r="N38" s="108"/>
      <c r="O38" s="109"/>
      <c r="Q38" s="104"/>
      <c r="R38" s="105"/>
      <c r="S38" s="106"/>
      <c r="T38" s="107"/>
      <c r="U38" s="107"/>
      <c r="V38" s="108"/>
      <c r="W38" s="109"/>
    </row>
    <row r="39" spans="1:23" x14ac:dyDescent="0.2">
      <c r="A39" s="104"/>
      <c r="B39" s="105"/>
      <c r="C39" s="106"/>
      <c r="D39" s="107"/>
      <c r="E39" s="107"/>
      <c r="F39" s="108"/>
      <c r="G39" s="109"/>
      <c r="I39" s="104"/>
      <c r="J39" s="105"/>
      <c r="K39" s="106"/>
      <c r="L39" s="107"/>
      <c r="M39" s="107"/>
      <c r="N39" s="108"/>
      <c r="O39" s="109"/>
      <c r="Q39" s="104"/>
      <c r="R39" s="105"/>
      <c r="S39" s="106"/>
      <c r="T39" s="107"/>
      <c r="U39" s="107"/>
      <c r="V39" s="108"/>
      <c r="W39" s="109"/>
    </row>
    <row r="40" spans="1:23" x14ac:dyDescent="0.2">
      <c r="A40" s="104"/>
      <c r="B40" s="105"/>
      <c r="C40" s="106"/>
      <c r="D40" s="107"/>
      <c r="E40" s="107"/>
      <c r="F40" s="108"/>
      <c r="G40" s="109"/>
      <c r="I40" s="104"/>
      <c r="J40" s="105"/>
      <c r="K40" s="106"/>
      <c r="L40" s="107"/>
      <c r="M40" s="107"/>
      <c r="N40" s="108"/>
      <c r="O40" s="109"/>
      <c r="Q40" s="104"/>
      <c r="R40" s="105"/>
      <c r="S40" s="106"/>
      <c r="T40" s="107"/>
      <c r="U40" s="107"/>
      <c r="V40" s="108"/>
      <c r="W40" s="109"/>
    </row>
    <row r="41" spans="1:23" x14ac:dyDescent="0.2">
      <c r="A41" s="104"/>
      <c r="B41" s="105"/>
      <c r="C41" s="106"/>
      <c r="D41" s="107"/>
      <c r="E41" s="107"/>
      <c r="F41" s="108"/>
      <c r="G41" s="109"/>
      <c r="I41" s="104"/>
      <c r="J41" s="105"/>
      <c r="K41" s="106"/>
      <c r="L41" s="107"/>
      <c r="M41" s="107"/>
      <c r="N41" s="108"/>
      <c r="O41" s="109"/>
      <c r="Q41" s="104"/>
      <c r="R41" s="105"/>
      <c r="S41" s="106"/>
      <c r="T41" s="107"/>
      <c r="U41" s="107"/>
      <c r="V41" s="108"/>
      <c r="W41" s="109"/>
    </row>
    <row r="42" spans="1:23" x14ac:dyDescent="0.2">
      <c r="A42" s="104"/>
      <c r="B42" s="105"/>
      <c r="C42" s="106"/>
      <c r="D42" s="107"/>
      <c r="E42" s="107"/>
      <c r="F42" s="108"/>
      <c r="G42" s="109"/>
      <c r="I42" s="104"/>
      <c r="J42" s="105"/>
      <c r="K42" s="106"/>
      <c r="L42" s="107"/>
      <c r="M42" s="107"/>
      <c r="N42" s="108"/>
      <c r="O42" s="109"/>
      <c r="Q42" s="104"/>
      <c r="R42" s="105"/>
      <c r="S42" s="106"/>
      <c r="T42" s="107"/>
      <c r="U42" s="107"/>
      <c r="V42" s="108"/>
      <c r="W42" s="109"/>
    </row>
    <row r="43" spans="1:23" x14ac:dyDescent="0.2">
      <c r="A43" s="104"/>
      <c r="B43" s="105"/>
      <c r="C43" s="106"/>
      <c r="D43" s="107"/>
      <c r="E43" s="107"/>
      <c r="F43" s="108"/>
      <c r="G43" s="109"/>
      <c r="I43" s="104"/>
      <c r="J43" s="105"/>
      <c r="K43" s="106"/>
      <c r="L43" s="107"/>
      <c r="M43" s="107"/>
      <c r="N43" s="108"/>
      <c r="O43" s="109"/>
      <c r="Q43" s="104"/>
      <c r="R43" s="105"/>
      <c r="S43" s="106"/>
      <c r="T43" s="107"/>
      <c r="U43" s="107"/>
      <c r="V43" s="108"/>
      <c r="W43" s="109"/>
    </row>
    <row r="44" spans="1:23" x14ac:dyDescent="0.2">
      <c r="A44" s="104"/>
      <c r="B44" s="105"/>
      <c r="C44" s="106"/>
      <c r="D44" s="107"/>
      <c r="E44" s="107"/>
      <c r="F44" s="108"/>
      <c r="G44" s="109"/>
      <c r="I44" s="104"/>
      <c r="J44" s="105"/>
      <c r="K44" s="106"/>
      <c r="L44" s="107"/>
      <c r="M44" s="107"/>
      <c r="N44" s="108"/>
      <c r="O44" s="109"/>
      <c r="Q44" s="104"/>
      <c r="R44" s="105"/>
      <c r="S44" s="106"/>
      <c r="T44" s="107"/>
      <c r="U44" s="107"/>
      <c r="V44" s="108"/>
      <c r="W44" s="109"/>
    </row>
    <row r="45" spans="1:23" x14ac:dyDescent="0.2">
      <c r="A45" s="104"/>
      <c r="B45" s="105"/>
      <c r="C45" s="106"/>
      <c r="D45" s="107"/>
      <c r="E45" s="107"/>
      <c r="F45" s="108"/>
      <c r="G45" s="109"/>
      <c r="I45" s="104"/>
      <c r="J45" s="105"/>
      <c r="K45" s="106"/>
      <c r="L45" s="107"/>
      <c r="M45" s="107"/>
      <c r="N45" s="108"/>
      <c r="O45" s="109"/>
      <c r="Q45" s="104"/>
      <c r="R45" s="105"/>
      <c r="S45" s="106"/>
      <c r="T45" s="107"/>
      <c r="U45" s="107"/>
      <c r="V45" s="108"/>
      <c r="W45" s="109"/>
    </row>
    <row r="46" spans="1:23" x14ac:dyDescent="0.2">
      <c r="A46" s="104"/>
      <c r="B46" s="105"/>
      <c r="C46" s="106"/>
      <c r="D46" s="107"/>
      <c r="E46" s="107"/>
      <c r="F46" s="108"/>
      <c r="G46" s="109"/>
      <c r="I46" s="104"/>
      <c r="J46" s="105"/>
      <c r="K46" s="106"/>
      <c r="L46" s="107"/>
      <c r="M46" s="107"/>
      <c r="N46" s="108"/>
      <c r="O46" s="109"/>
      <c r="Q46" s="104"/>
      <c r="R46" s="105"/>
      <c r="S46" s="106"/>
      <c r="T46" s="107"/>
      <c r="U46" s="107"/>
      <c r="V46" s="108"/>
      <c r="W46" s="109"/>
    </row>
    <row r="47" spans="1:23" x14ac:dyDescent="0.2">
      <c r="A47" s="104"/>
      <c r="B47" s="105"/>
      <c r="C47" s="106"/>
      <c r="D47" s="107"/>
      <c r="E47" s="107"/>
      <c r="F47" s="108"/>
      <c r="G47" s="109"/>
      <c r="I47" s="104"/>
      <c r="J47" s="105"/>
      <c r="K47" s="106"/>
      <c r="L47" s="107"/>
      <c r="M47" s="107"/>
      <c r="N47" s="108"/>
      <c r="O47" s="109"/>
      <c r="Q47" s="104"/>
      <c r="R47" s="105"/>
      <c r="S47" s="106"/>
      <c r="T47" s="107"/>
      <c r="U47" s="107"/>
      <c r="V47" s="108"/>
      <c r="W47" s="109"/>
    </row>
    <row r="48" spans="1:23" x14ac:dyDescent="0.2">
      <c r="A48" s="104"/>
      <c r="B48" s="105"/>
      <c r="C48" s="106"/>
      <c r="D48" s="107"/>
      <c r="E48" s="107"/>
      <c r="F48" s="108"/>
      <c r="G48" s="109"/>
      <c r="I48" s="104"/>
      <c r="J48" s="105"/>
      <c r="K48" s="106"/>
      <c r="L48" s="107"/>
      <c r="M48" s="107"/>
      <c r="N48" s="108"/>
      <c r="O48" s="109"/>
      <c r="Q48" s="104"/>
      <c r="R48" s="105"/>
      <c r="S48" s="106"/>
      <c r="T48" s="107"/>
      <c r="U48" s="107"/>
      <c r="V48" s="108"/>
      <c r="W48" s="109"/>
    </row>
    <row r="49" spans="1:23" x14ac:dyDescent="0.2">
      <c r="A49" s="104"/>
      <c r="B49" s="105"/>
      <c r="C49" s="106"/>
      <c r="D49" s="107"/>
      <c r="E49" s="107"/>
      <c r="F49" s="108"/>
      <c r="G49" s="109"/>
      <c r="I49" s="104"/>
      <c r="J49" s="105"/>
      <c r="K49" s="106"/>
      <c r="L49" s="107"/>
      <c r="M49" s="107"/>
      <c r="N49" s="108"/>
      <c r="O49" s="109"/>
      <c r="Q49" s="104"/>
      <c r="R49" s="105"/>
      <c r="S49" s="106"/>
      <c r="T49" s="107"/>
      <c r="U49" s="107"/>
      <c r="V49" s="108"/>
      <c r="W49" s="109"/>
    </row>
    <row r="50" spans="1:23" x14ac:dyDescent="0.2">
      <c r="A50" s="104"/>
      <c r="B50" s="105"/>
      <c r="C50" s="106"/>
      <c r="D50" s="107"/>
      <c r="E50" s="107"/>
      <c r="F50" s="108"/>
      <c r="G50" s="109"/>
      <c r="I50" s="104"/>
      <c r="J50" s="105"/>
      <c r="K50" s="106"/>
      <c r="L50" s="107"/>
      <c r="M50" s="107"/>
      <c r="N50" s="108"/>
      <c r="O50" s="109"/>
      <c r="Q50" s="104"/>
      <c r="R50" s="105"/>
      <c r="S50" s="106"/>
      <c r="T50" s="107"/>
      <c r="U50" s="107"/>
      <c r="V50" s="108"/>
      <c r="W50" s="109"/>
    </row>
    <row r="51" spans="1:23" x14ac:dyDescent="0.2">
      <c r="A51" s="104"/>
      <c r="B51" s="105"/>
      <c r="C51" s="106"/>
      <c r="D51" s="107"/>
      <c r="E51" s="107"/>
      <c r="F51" s="108"/>
      <c r="G51" s="109"/>
      <c r="I51" s="104"/>
      <c r="J51" s="105"/>
      <c r="K51" s="106"/>
      <c r="L51" s="107"/>
      <c r="M51" s="107"/>
      <c r="N51" s="108"/>
      <c r="O51" s="109"/>
      <c r="Q51" s="104"/>
      <c r="R51" s="105"/>
      <c r="S51" s="106"/>
      <c r="T51" s="107"/>
      <c r="U51" s="107"/>
      <c r="V51" s="108"/>
      <c r="W51" s="109"/>
    </row>
    <row r="52" spans="1:23" x14ac:dyDescent="0.2">
      <c r="A52" s="104"/>
      <c r="B52" s="105"/>
      <c r="C52" s="106"/>
      <c r="D52" s="107"/>
      <c r="E52" s="107"/>
      <c r="F52" s="108"/>
      <c r="G52" s="109"/>
      <c r="I52" s="104"/>
      <c r="J52" s="105"/>
      <c r="K52" s="106"/>
      <c r="L52" s="107"/>
      <c r="M52" s="107"/>
      <c r="N52" s="108"/>
      <c r="O52" s="109"/>
      <c r="Q52" s="104"/>
      <c r="R52" s="105"/>
      <c r="S52" s="106"/>
      <c r="T52" s="107"/>
      <c r="U52" s="107"/>
      <c r="V52" s="108"/>
      <c r="W52" s="109"/>
    </row>
    <row r="53" spans="1:23" x14ac:dyDescent="0.2">
      <c r="A53" s="104"/>
      <c r="B53" s="105"/>
      <c r="C53" s="106"/>
      <c r="D53" s="107"/>
      <c r="E53" s="107"/>
      <c r="F53" s="108"/>
      <c r="G53" s="109"/>
      <c r="I53" s="104"/>
      <c r="J53" s="105"/>
      <c r="K53" s="106"/>
      <c r="L53" s="107"/>
      <c r="M53" s="107"/>
      <c r="N53" s="108"/>
      <c r="O53" s="109"/>
      <c r="Q53" s="104"/>
      <c r="R53" s="105"/>
      <c r="S53" s="106"/>
      <c r="T53" s="107"/>
      <c r="U53" s="107"/>
      <c r="V53" s="108"/>
      <c r="W53" s="109"/>
    </row>
    <row r="54" spans="1:23" x14ac:dyDescent="0.2">
      <c r="A54" s="104"/>
      <c r="B54" s="105"/>
      <c r="C54" s="106"/>
      <c r="D54" s="107"/>
      <c r="E54" s="107"/>
      <c r="F54" s="108"/>
      <c r="G54" s="109"/>
      <c r="I54" s="104"/>
      <c r="J54" s="105"/>
      <c r="K54" s="106"/>
      <c r="L54" s="107"/>
      <c r="M54" s="107"/>
      <c r="N54" s="108"/>
      <c r="O54" s="109"/>
      <c r="Q54" s="104"/>
      <c r="R54" s="105"/>
      <c r="S54" s="106"/>
      <c r="T54" s="107"/>
      <c r="U54" s="107"/>
      <c r="V54" s="108"/>
      <c r="W54" s="109"/>
    </row>
    <row r="55" spans="1:23" x14ac:dyDescent="0.2">
      <c r="A55" s="104"/>
      <c r="B55" s="105"/>
      <c r="C55" s="106"/>
      <c r="D55" s="107"/>
      <c r="E55" s="107"/>
      <c r="F55" s="108"/>
      <c r="G55" s="109"/>
      <c r="I55" s="104"/>
      <c r="J55" s="105"/>
      <c r="K55" s="106"/>
      <c r="L55" s="107"/>
      <c r="M55" s="107"/>
      <c r="N55" s="108"/>
      <c r="O55" s="109"/>
      <c r="Q55" s="104"/>
      <c r="R55" s="105"/>
      <c r="S55" s="106"/>
      <c r="T55" s="107"/>
      <c r="U55" s="107"/>
      <c r="V55" s="108"/>
      <c r="W55" s="109"/>
    </row>
    <row r="56" spans="1:23" x14ac:dyDescent="0.2">
      <c r="A56" s="104"/>
      <c r="B56" s="105"/>
      <c r="C56" s="106"/>
      <c r="D56" s="107"/>
      <c r="E56" s="107"/>
      <c r="F56" s="108"/>
      <c r="G56" s="109"/>
      <c r="I56" s="104"/>
      <c r="J56" s="105"/>
      <c r="K56" s="106"/>
      <c r="L56" s="107"/>
      <c r="M56" s="107"/>
      <c r="N56" s="108"/>
      <c r="O56" s="109"/>
      <c r="Q56" s="104"/>
      <c r="R56" s="105"/>
      <c r="S56" s="106"/>
      <c r="T56" s="107"/>
      <c r="U56" s="107"/>
      <c r="V56" s="108"/>
      <c r="W56" s="109"/>
    </row>
    <row r="57" spans="1:23" x14ac:dyDescent="0.2">
      <c r="A57" s="104"/>
      <c r="B57" s="105"/>
      <c r="C57" s="106"/>
      <c r="D57" s="107"/>
      <c r="E57" s="107"/>
      <c r="F57" s="108"/>
      <c r="G57" s="109"/>
      <c r="I57" s="104"/>
      <c r="J57" s="105"/>
      <c r="K57" s="106"/>
      <c r="L57" s="107"/>
      <c r="M57" s="107"/>
      <c r="N57" s="108"/>
      <c r="O57" s="109"/>
      <c r="Q57" s="104"/>
      <c r="R57" s="105"/>
      <c r="S57" s="106"/>
      <c r="T57" s="107"/>
      <c r="U57" s="107"/>
      <c r="V57" s="108"/>
      <c r="W57" s="109"/>
    </row>
    <row r="58" spans="1:23" x14ac:dyDescent="0.2">
      <c r="A58" s="104"/>
      <c r="B58" s="105"/>
      <c r="C58" s="106"/>
      <c r="D58" s="107"/>
      <c r="E58" s="107"/>
      <c r="F58" s="108"/>
      <c r="G58" s="109"/>
      <c r="I58" s="104"/>
      <c r="J58" s="105"/>
      <c r="K58" s="106"/>
      <c r="L58" s="107"/>
      <c r="M58" s="107"/>
      <c r="N58" s="108"/>
      <c r="O58" s="109"/>
      <c r="Q58" s="104"/>
      <c r="R58" s="105"/>
      <c r="S58" s="106"/>
      <c r="T58" s="107"/>
      <c r="U58" s="107"/>
      <c r="V58" s="108"/>
      <c r="W58" s="109"/>
    </row>
    <row r="59" spans="1:23" x14ac:dyDescent="0.2">
      <c r="A59" s="104"/>
      <c r="B59" s="105"/>
      <c r="C59" s="106"/>
      <c r="D59" s="107"/>
      <c r="E59" s="107"/>
      <c r="F59" s="108"/>
      <c r="G59" s="109"/>
      <c r="I59" s="104"/>
      <c r="J59" s="105"/>
      <c r="K59" s="106"/>
      <c r="L59" s="107"/>
      <c r="M59" s="107"/>
      <c r="N59" s="108"/>
      <c r="O59" s="109"/>
      <c r="Q59" s="104"/>
      <c r="R59" s="105"/>
      <c r="S59" s="106"/>
      <c r="T59" s="107"/>
      <c r="U59" s="107"/>
      <c r="V59" s="108"/>
      <c r="W59" s="109"/>
    </row>
    <row r="60" spans="1:23" x14ac:dyDescent="0.2">
      <c r="A60" s="104"/>
      <c r="B60" s="105"/>
      <c r="C60" s="106"/>
      <c r="D60" s="107"/>
      <c r="E60" s="107"/>
      <c r="F60" s="108"/>
      <c r="G60" s="109"/>
      <c r="I60" s="104"/>
      <c r="J60" s="105"/>
      <c r="K60" s="106"/>
      <c r="L60" s="107"/>
      <c r="M60" s="107"/>
      <c r="N60" s="108"/>
      <c r="O60" s="109"/>
      <c r="Q60" s="104"/>
      <c r="R60" s="105"/>
      <c r="S60" s="106"/>
      <c r="T60" s="107"/>
      <c r="U60" s="107"/>
      <c r="V60" s="108"/>
      <c r="W60" s="109"/>
    </row>
    <row r="61" spans="1:23" x14ac:dyDescent="0.2">
      <c r="A61" s="104"/>
      <c r="B61" s="105"/>
      <c r="C61" s="106"/>
      <c r="D61" s="107"/>
      <c r="E61" s="107"/>
      <c r="F61" s="108"/>
      <c r="G61" s="109"/>
      <c r="I61" s="104"/>
      <c r="J61" s="105"/>
      <c r="K61" s="106"/>
      <c r="L61" s="107"/>
      <c r="M61" s="107"/>
      <c r="N61" s="108"/>
      <c r="O61" s="109"/>
      <c r="Q61" s="104"/>
      <c r="R61" s="105"/>
      <c r="S61" s="106"/>
      <c r="T61" s="107"/>
      <c r="U61" s="107"/>
      <c r="V61" s="108"/>
      <c r="W61" s="109"/>
    </row>
    <row r="62" spans="1:23" x14ac:dyDescent="0.2">
      <c r="A62" s="104"/>
      <c r="B62" s="105"/>
      <c r="C62" s="106"/>
      <c r="D62" s="107"/>
      <c r="E62" s="107"/>
      <c r="F62" s="108"/>
      <c r="G62" s="109"/>
      <c r="I62" s="104"/>
      <c r="J62" s="105"/>
      <c r="K62" s="106"/>
      <c r="L62" s="107"/>
      <c r="M62" s="107"/>
      <c r="N62" s="108"/>
      <c r="O62" s="109"/>
      <c r="Q62" s="104"/>
      <c r="R62" s="105"/>
      <c r="S62" s="106"/>
      <c r="T62" s="107"/>
      <c r="U62" s="107"/>
      <c r="V62" s="108"/>
      <c r="W62" s="109"/>
    </row>
    <row r="63" spans="1:23" x14ac:dyDescent="0.2">
      <c r="A63" s="104"/>
      <c r="B63" s="105"/>
      <c r="C63" s="106"/>
      <c r="D63" s="107"/>
      <c r="E63" s="107"/>
      <c r="F63" s="108"/>
      <c r="G63" s="109"/>
      <c r="I63" s="104"/>
      <c r="J63" s="105"/>
      <c r="K63" s="106"/>
      <c r="L63" s="107"/>
      <c r="M63" s="107"/>
      <c r="N63" s="108"/>
      <c r="O63" s="109"/>
      <c r="Q63" s="104"/>
      <c r="R63" s="105"/>
      <c r="S63" s="106"/>
      <c r="T63" s="107"/>
      <c r="U63" s="107"/>
      <c r="V63" s="108"/>
      <c r="W63" s="109"/>
    </row>
    <row r="64" spans="1:23" x14ac:dyDescent="0.2">
      <c r="A64" s="104"/>
      <c r="B64" s="105"/>
      <c r="C64" s="106"/>
      <c r="D64" s="107"/>
      <c r="E64" s="107"/>
      <c r="F64" s="108"/>
      <c r="G64" s="109"/>
      <c r="I64" s="104"/>
      <c r="J64" s="105"/>
      <c r="K64" s="106"/>
      <c r="L64" s="107"/>
      <c r="M64" s="107"/>
      <c r="N64" s="108"/>
      <c r="O64" s="109"/>
      <c r="Q64" s="104"/>
      <c r="R64" s="105"/>
      <c r="S64" s="106"/>
      <c r="T64" s="107"/>
      <c r="U64" s="107"/>
      <c r="V64" s="108"/>
      <c r="W64" s="109"/>
    </row>
    <row r="65" spans="1:23" x14ac:dyDescent="0.2">
      <c r="A65" s="104"/>
      <c r="B65" s="105"/>
      <c r="C65" s="106"/>
      <c r="D65" s="107"/>
      <c r="E65" s="107"/>
      <c r="F65" s="108"/>
      <c r="G65" s="109"/>
      <c r="I65" s="104"/>
      <c r="J65" s="105"/>
      <c r="K65" s="106"/>
      <c r="L65" s="107"/>
      <c r="M65" s="107"/>
      <c r="N65" s="108"/>
      <c r="O65" s="109"/>
      <c r="Q65" s="104"/>
      <c r="R65" s="105"/>
      <c r="S65" s="106"/>
      <c r="T65" s="107"/>
      <c r="U65" s="107"/>
      <c r="V65" s="108"/>
      <c r="W65" s="109"/>
    </row>
    <row r="66" spans="1:23" x14ac:dyDescent="0.2">
      <c r="A66" s="104"/>
      <c r="B66" s="105"/>
      <c r="C66" s="106"/>
      <c r="D66" s="107"/>
      <c r="E66" s="107"/>
      <c r="F66" s="108"/>
      <c r="G66" s="109"/>
      <c r="I66" s="104"/>
      <c r="J66" s="105"/>
      <c r="K66" s="106"/>
      <c r="L66" s="107"/>
      <c r="M66" s="107"/>
      <c r="N66" s="108"/>
      <c r="O66" s="109"/>
      <c r="Q66" s="104"/>
      <c r="R66" s="105"/>
      <c r="S66" s="106"/>
      <c r="T66" s="107"/>
      <c r="U66" s="107"/>
      <c r="V66" s="108"/>
      <c r="W66" s="109"/>
    </row>
    <row r="67" spans="1:23" x14ac:dyDescent="0.2">
      <c r="A67" s="104"/>
      <c r="B67" s="105"/>
      <c r="C67" s="106"/>
      <c r="D67" s="107"/>
      <c r="E67" s="107"/>
      <c r="F67" s="108"/>
      <c r="G67" s="109"/>
      <c r="I67" s="104"/>
      <c r="J67" s="105"/>
      <c r="K67" s="106"/>
      <c r="L67" s="107"/>
      <c r="M67" s="107"/>
      <c r="N67" s="108"/>
      <c r="O67" s="109"/>
      <c r="Q67" s="104"/>
      <c r="R67" s="105"/>
      <c r="S67" s="106"/>
      <c r="T67" s="107"/>
      <c r="U67" s="107"/>
      <c r="V67" s="108"/>
      <c r="W67" s="109"/>
    </row>
    <row r="68" spans="1:23" x14ac:dyDescent="0.2">
      <c r="A68" s="104"/>
      <c r="B68" s="105"/>
      <c r="C68" s="106"/>
      <c r="D68" s="107"/>
      <c r="E68" s="107"/>
      <c r="F68" s="108"/>
      <c r="G68" s="109"/>
      <c r="I68" s="104"/>
      <c r="J68" s="105"/>
      <c r="K68" s="106"/>
      <c r="L68" s="107"/>
      <c r="M68" s="107"/>
      <c r="N68" s="108"/>
      <c r="O68" s="109"/>
      <c r="Q68" s="104"/>
      <c r="R68" s="105"/>
      <c r="S68" s="106"/>
      <c r="T68" s="107"/>
      <c r="U68" s="107"/>
      <c r="V68" s="108"/>
      <c r="W68" s="109"/>
    </row>
    <row r="69" spans="1:23" x14ac:dyDescent="0.2">
      <c r="A69" s="104"/>
      <c r="B69" s="105"/>
      <c r="C69" s="106"/>
      <c r="D69" s="107"/>
      <c r="E69" s="107"/>
      <c r="F69" s="108"/>
      <c r="G69" s="109"/>
      <c r="I69" s="104"/>
      <c r="J69" s="105"/>
      <c r="K69" s="106"/>
      <c r="L69" s="107"/>
      <c r="M69" s="107"/>
      <c r="N69" s="108"/>
      <c r="O69" s="109"/>
      <c r="Q69" s="104"/>
      <c r="R69" s="105"/>
      <c r="S69" s="106"/>
      <c r="T69" s="107"/>
      <c r="U69" s="107"/>
      <c r="V69" s="108"/>
      <c r="W69" s="109"/>
    </row>
    <row r="70" spans="1:23" x14ac:dyDescent="0.2">
      <c r="A70" s="104"/>
      <c r="B70" s="105"/>
      <c r="C70" s="106"/>
      <c r="D70" s="107"/>
      <c r="E70" s="107"/>
      <c r="F70" s="108"/>
      <c r="G70" s="109"/>
      <c r="I70" s="104"/>
      <c r="J70" s="105"/>
      <c r="K70" s="106"/>
      <c r="L70" s="107"/>
      <c r="M70" s="107"/>
      <c r="N70" s="108"/>
      <c r="O70" s="109"/>
      <c r="Q70" s="104"/>
      <c r="R70" s="105"/>
      <c r="S70" s="106"/>
      <c r="T70" s="107"/>
      <c r="U70" s="107"/>
      <c r="V70" s="108"/>
      <c r="W70" s="109"/>
    </row>
    <row r="71" spans="1:23" x14ac:dyDescent="0.2">
      <c r="A71" s="104"/>
      <c r="B71" s="105"/>
      <c r="C71" s="106"/>
      <c r="D71" s="107"/>
      <c r="E71" s="107"/>
      <c r="F71" s="108"/>
      <c r="G71" s="109"/>
      <c r="I71" s="104"/>
      <c r="J71" s="105"/>
      <c r="K71" s="106"/>
      <c r="L71" s="107"/>
      <c r="M71" s="107"/>
      <c r="N71" s="108"/>
      <c r="O71" s="109"/>
      <c r="Q71" s="104"/>
      <c r="R71" s="105"/>
      <c r="S71" s="106"/>
      <c r="T71" s="107"/>
      <c r="U71" s="107"/>
      <c r="V71" s="108"/>
      <c r="W71" s="109"/>
    </row>
    <row r="72" spans="1:23" x14ac:dyDescent="0.2">
      <c r="A72" s="104"/>
      <c r="B72" s="105"/>
      <c r="C72" s="106"/>
      <c r="D72" s="107"/>
      <c r="E72" s="107"/>
      <c r="F72" s="108"/>
      <c r="G72" s="109"/>
      <c r="I72" s="104"/>
      <c r="J72" s="105"/>
      <c r="K72" s="106"/>
      <c r="L72" s="107"/>
      <c r="M72" s="107"/>
      <c r="N72" s="108"/>
      <c r="O72" s="109"/>
      <c r="Q72" s="104"/>
      <c r="R72" s="105"/>
      <c r="S72" s="106"/>
      <c r="T72" s="107"/>
      <c r="U72" s="107"/>
      <c r="V72" s="108"/>
      <c r="W72" s="109"/>
    </row>
    <row r="73" spans="1:23" x14ac:dyDescent="0.2">
      <c r="A73" s="104"/>
      <c r="B73" s="105"/>
      <c r="C73" s="106"/>
      <c r="D73" s="107"/>
      <c r="E73" s="107"/>
      <c r="F73" s="108"/>
      <c r="G73" s="109"/>
      <c r="I73" s="104"/>
      <c r="J73" s="105"/>
      <c r="K73" s="106"/>
      <c r="L73" s="107"/>
      <c r="M73" s="107"/>
      <c r="N73" s="108"/>
      <c r="O73" s="109"/>
      <c r="Q73" s="104"/>
      <c r="R73" s="105"/>
      <c r="S73" s="106"/>
      <c r="T73" s="107"/>
      <c r="U73" s="107"/>
      <c r="V73" s="108"/>
      <c r="W73" s="109"/>
    </row>
    <row r="74" spans="1:23" x14ac:dyDescent="0.2">
      <c r="A74" s="104"/>
      <c r="B74" s="105"/>
      <c r="C74" s="106"/>
      <c r="D74" s="107"/>
      <c r="E74" s="107"/>
      <c r="F74" s="108"/>
      <c r="G74" s="109"/>
      <c r="I74" s="104"/>
      <c r="J74" s="105"/>
      <c r="K74" s="106"/>
      <c r="L74" s="107"/>
      <c r="M74" s="107"/>
      <c r="N74" s="108"/>
      <c r="O74" s="109"/>
      <c r="Q74" s="104"/>
      <c r="R74" s="105"/>
      <c r="S74" s="106"/>
      <c r="T74" s="107"/>
      <c r="U74" s="107"/>
      <c r="V74" s="108"/>
      <c r="W74" s="109"/>
    </row>
    <row r="75" spans="1:23" x14ac:dyDescent="0.2">
      <c r="A75" s="104"/>
      <c r="B75" s="105"/>
      <c r="C75" s="106"/>
      <c r="D75" s="107"/>
      <c r="E75" s="107"/>
      <c r="F75" s="108"/>
      <c r="G75" s="109"/>
      <c r="I75" s="104"/>
      <c r="J75" s="105"/>
      <c r="K75" s="106"/>
      <c r="L75" s="107"/>
      <c r="M75" s="107"/>
      <c r="N75" s="108"/>
      <c r="O75" s="109"/>
      <c r="Q75" s="104"/>
      <c r="R75" s="105"/>
      <c r="S75" s="106"/>
      <c r="T75" s="107"/>
      <c r="U75" s="107"/>
      <c r="V75" s="108"/>
      <c r="W75" s="109"/>
    </row>
    <row r="76" spans="1:23" x14ac:dyDescent="0.2">
      <c r="A76" s="104"/>
      <c r="B76" s="105"/>
      <c r="C76" s="106"/>
      <c r="D76" s="107"/>
      <c r="E76" s="107"/>
      <c r="F76" s="108"/>
      <c r="G76" s="109"/>
      <c r="I76" s="104"/>
      <c r="J76" s="105"/>
      <c r="K76" s="106"/>
      <c r="L76" s="107"/>
      <c r="M76" s="107"/>
      <c r="N76" s="108"/>
      <c r="O76" s="109"/>
      <c r="Q76" s="104"/>
      <c r="R76" s="105"/>
      <c r="S76" s="106"/>
      <c r="T76" s="107"/>
      <c r="U76" s="107"/>
      <c r="V76" s="108"/>
      <c r="W76" s="109"/>
    </row>
    <row r="77" spans="1:23" x14ac:dyDescent="0.2">
      <c r="A77" s="104"/>
      <c r="B77" s="105"/>
      <c r="C77" s="106"/>
      <c r="D77" s="107"/>
      <c r="E77" s="107"/>
      <c r="F77" s="108"/>
      <c r="G77" s="109"/>
      <c r="I77" s="104"/>
      <c r="J77" s="105"/>
      <c r="K77" s="106"/>
      <c r="L77" s="107"/>
      <c r="M77" s="107"/>
      <c r="N77" s="108"/>
      <c r="O77" s="109"/>
      <c r="Q77" s="104"/>
      <c r="R77" s="105"/>
      <c r="S77" s="106"/>
      <c r="T77" s="107"/>
      <c r="U77" s="107"/>
      <c r="V77" s="108"/>
      <c r="W77" s="109"/>
    </row>
    <row r="78" spans="1:23" x14ac:dyDescent="0.2">
      <c r="A78" s="104"/>
      <c r="B78" s="105"/>
      <c r="C78" s="106"/>
      <c r="D78" s="107"/>
      <c r="E78" s="107"/>
      <c r="F78" s="108"/>
      <c r="G78" s="109"/>
      <c r="I78" s="104"/>
      <c r="J78" s="105"/>
      <c r="K78" s="106"/>
      <c r="L78" s="107"/>
      <c r="M78" s="107"/>
      <c r="N78" s="108"/>
      <c r="O78" s="109"/>
      <c r="Q78" s="104"/>
      <c r="R78" s="105"/>
      <c r="S78" s="106"/>
      <c r="T78" s="107"/>
      <c r="U78" s="107"/>
      <c r="V78" s="108"/>
      <c r="W78" s="109"/>
    </row>
    <row r="79" spans="1:23" x14ac:dyDescent="0.2">
      <c r="A79" s="104"/>
      <c r="B79" s="105"/>
      <c r="C79" s="106"/>
      <c r="D79" s="107"/>
      <c r="E79" s="107"/>
      <c r="F79" s="108"/>
      <c r="G79" s="109"/>
      <c r="I79" s="104"/>
      <c r="J79" s="105"/>
      <c r="K79" s="106"/>
      <c r="L79" s="107"/>
      <c r="M79" s="107"/>
      <c r="N79" s="108"/>
      <c r="O79" s="109"/>
      <c r="Q79" s="104"/>
      <c r="R79" s="105"/>
      <c r="S79" s="106"/>
      <c r="T79" s="107"/>
      <c r="U79" s="107"/>
      <c r="V79" s="108"/>
      <c r="W79" s="109"/>
    </row>
    <row r="80" spans="1:23" x14ac:dyDescent="0.2">
      <c r="A80" s="104"/>
      <c r="B80" s="105"/>
      <c r="C80" s="106"/>
      <c r="D80" s="107"/>
      <c r="E80" s="107"/>
      <c r="F80" s="108"/>
      <c r="G80" s="109"/>
      <c r="I80" s="104"/>
      <c r="J80" s="105"/>
      <c r="K80" s="106"/>
      <c r="L80" s="107"/>
      <c r="M80" s="107"/>
      <c r="N80" s="108"/>
      <c r="O80" s="109"/>
      <c r="Q80" s="104"/>
      <c r="R80" s="105"/>
      <c r="S80" s="106"/>
      <c r="T80" s="107"/>
      <c r="U80" s="107"/>
      <c r="V80" s="108"/>
      <c r="W80" s="109"/>
    </row>
    <row r="81" spans="1:23" x14ac:dyDescent="0.2">
      <c r="A81" s="104"/>
      <c r="B81" s="105"/>
      <c r="C81" s="106"/>
      <c r="D81" s="107"/>
      <c r="E81" s="107"/>
      <c r="F81" s="108"/>
      <c r="G81" s="109"/>
      <c r="I81" s="104"/>
      <c r="J81" s="105"/>
      <c r="K81" s="106"/>
      <c r="L81" s="107"/>
      <c r="M81" s="107"/>
      <c r="N81" s="108"/>
      <c r="O81" s="109"/>
      <c r="Q81" s="104"/>
      <c r="R81" s="105"/>
      <c r="S81" s="106"/>
      <c r="T81" s="107"/>
      <c r="U81" s="107"/>
      <c r="V81" s="108"/>
      <c r="W81" s="109"/>
    </row>
    <row r="82" spans="1:23" x14ac:dyDescent="0.2">
      <c r="A82" s="104"/>
      <c r="B82" s="105"/>
      <c r="C82" s="106"/>
      <c r="D82" s="107"/>
      <c r="E82" s="107"/>
      <c r="F82" s="108"/>
      <c r="G82" s="109"/>
      <c r="I82" s="104"/>
      <c r="J82" s="105"/>
      <c r="K82" s="106"/>
      <c r="L82" s="107"/>
      <c r="M82" s="107"/>
      <c r="N82" s="108"/>
      <c r="O82" s="109"/>
      <c r="Q82" s="104"/>
      <c r="R82" s="105"/>
      <c r="S82" s="106"/>
      <c r="T82" s="107"/>
      <c r="U82" s="107"/>
      <c r="V82" s="108"/>
      <c r="W82" s="109"/>
    </row>
    <row r="83" spans="1:23" x14ac:dyDescent="0.2">
      <c r="A83" s="104"/>
      <c r="B83" s="105"/>
      <c r="C83" s="106"/>
      <c r="D83" s="107"/>
      <c r="E83" s="107"/>
      <c r="F83" s="108"/>
      <c r="G83" s="109"/>
      <c r="I83" s="104"/>
      <c r="J83" s="105"/>
      <c r="K83" s="106"/>
      <c r="L83" s="107"/>
      <c r="M83" s="107"/>
      <c r="N83" s="108"/>
      <c r="O83" s="109"/>
      <c r="Q83" s="104"/>
      <c r="R83" s="105"/>
      <c r="S83" s="106"/>
      <c r="T83" s="107"/>
      <c r="U83" s="107"/>
      <c r="V83" s="108"/>
      <c r="W83" s="109"/>
    </row>
    <row r="84" spans="1:23" x14ac:dyDescent="0.2">
      <c r="A84" s="104"/>
      <c r="B84" s="105"/>
      <c r="C84" s="106"/>
      <c r="D84" s="107"/>
      <c r="E84" s="107"/>
      <c r="F84" s="108"/>
      <c r="G84" s="109"/>
      <c r="I84" s="104"/>
      <c r="J84" s="105"/>
      <c r="K84" s="106"/>
      <c r="L84" s="107"/>
      <c r="M84" s="107"/>
      <c r="N84" s="108"/>
      <c r="O84" s="109"/>
      <c r="Q84" s="104"/>
      <c r="R84" s="105"/>
      <c r="S84" s="106"/>
      <c r="T84" s="107"/>
      <c r="U84" s="107"/>
      <c r="V84" s="108"/>
      <c r="W84" s="109"/>
    </row>
    <row r="85" spans="1:23" x14ac:dyDescent="0.2">
      <c r="A85" s="104"/>
      <c r="B85" s="105"/>
      <c r="C85" s="106"/>
      <c r="D85" s="107"/>
      <c r="E85" s="107"/>
      <c r="F85" s="108"/>
      <c r="G85" s="109"/>
      <c r="I85" s="104"/>
      <c r="J85" s="105"/>
      <c r="K85" s="106"/>
      <c r="L85" s="107"/>
      <c r="M85" s="107"/>
      <c r="N85" s="108"/>
      <c r="O85" s="109"/>
      <c r="Q85" s="104"/>
      <c r="R85" s="105"/>
      <c r="S85" s="106"/>
      <c r="T85" s="107"/>
      <c r="U85" s="107"/>
      <c r="V85" s="108"/>
      <c r="W85" s="109"/>
    </row>
    <row r="86" spans="1:23" x14ac:dyDescent="0.2">
      <c r="A86" s="104"/>
      <c r="B86" s="105"/>
      <c r="C86" s="106"/>
      <c r="D86" s="107"/>
      <c r="E86" s="107"/>
      <c r="F86" s="108"/>
      <c r="G86" s="109"/>
      <c r="I86" s="104"/>
      <c r="J86" s="105"/>
      <c r="K86" s="106"/>
      <c r="L86" s="107"/>
      <c r="M86" s="107"/>
      <c r="N86" s="108"/>
      <c r="O86" s="109"/>
      <c r="Q86" s="104"/>
      <c r="R86" s="105"/>
      <c r="S86" s="106"/>
      <c r="T86" s="107"/>
      <c r="U86" s="107"/>
      <c r="V86" s="108"/>
      <c r="W86" s="109"/>
    </row>
    <row r="87" spans="1:23" x14ac:dyDescent="0.2">
      <c r="A87" s="104"/>
      <c r="B87" s="105"/>
      <c r="C87" s="106"/>
      <c r="D87" s="107"/>
      <c r="E87" s="107"/>
      <c r="F87" s="108"/>
      <c r="G87" s="109"/>
      <c r="I87" s="104"/>
      <c r="J87" s="105"/>
      <c r="K87" s="106"/>
      <c r="L87" s="107"/>
      <c r="M87" s="107"/>
      <c r="N87" s="108"/>
      <c r="O87" s="109"/>
      <c r="Q87" s="104"/>
      <c r="R87" s="105"/>
      <c r="S87" s="106"/>
      <c r="T87" s="107"/>
      <c r="U87" s="107"/>
      <c r="V87" s="108"/>
      <c r="W87" s="109"/>
    </row>
    <row r="88" spans="1:23" x14ac:dyDescent="0.2">
      <c r="A88" s="104"/>
      <c r="B88" s="105"/>
      <c r="C88" s="106"/>
      <c r="D88" s="107"/>
      <c r="E88" s="107"/>
      <c r="F88" s="108"/>
      <c r="G88" s="109"/>
      <c r="I88" s="104"/>
      <c r="J88" s="105"/>
      <c r="K88" s="106"/>
      <c r="L88" s="107"/>
      <c r="M88" s="107"/>
      <c r="N88" s="108"/>
      <c r="O88" s="109"/>
      <c r="Q88" s="104"/>
      <c r="R88" s="105"/>
      <c r="S88" s="106"/>
      <c r="T88" s="107"/>
      <c r="U88" s="107"/>
      <c r="V88" s="108"/>
      <c r="W88" s="109"/>
    </row>
    <row r="89" spans="1:23" x14ac:dyDescent="0.2">
      <c r="A89" s="104"/>
      <c r="B89" s="105"/>
      <c r="C89" s="106"/>
      <c r="D89" s="107"/>
      <c r="E89" s="107"/>
      <c r="F89" s="108"/>
      <c r="G89" s="109"/>
      <c r="I89" s="104"/>
      <c r="J89" s="105"/>
      <c r="K89" s="106"/>
      <c r="L89" s="107"/>
      <c r="M89" s="107"/>
      <c r="N89" s="108"/>
      <c r="O89" s="109"/>
      <c r="Q89" s="104"/>
      <c r="R89" s="105"/>
      <c r="S89" s="106"/>
      <c r="T89" s="107"/>
      <c r="U89" s="107"/>
      <c r="V89" s="108"/>
      <c r="W89" s="109"/>
    </row>
    <row r="90" spans="1:23" x14ac:dyDescent="0.2">
      <c r="A90" s="104"/>
      <c r="B90" s="105"/>
      <c r="C90" s="106"/>
      <c r="D90" s="107"/>
      <c r="E90" s="107"/>
      <c r="F90" s="108"/>
      <c r="G90" s="109"/>
      <c r="I90" s="104"/>
      <c r="J90" s="105"/>
      <c r="K90" s="106"/>
      <c r="L90" s="107"/>
      <c r="M90" s="107"/>
      <c r="N90" s="108"/>
      <c r="O90" s="109"/>
      <c r="Q90" s="104"/>
      <c r="R90" s="105"/>
      <c r="S90" s="106"/>
      <c r="T90" s="107"/>
      <c r="U90" s="107"/>
      <c r="V90" s="108"/>
      <c r="W90" s="109"/>
    </row>
    <row r="91" spans="1:23" x14ac:dyDescent="0.2">
      <c r="A91" s="104"/>
      <c r="B91" s="105"/>
      <c r="C91" s="106"/>
      <c r="D91" s="107"/>
      <c r="E91" s="107"/>
      <c r="F91" s="108"/>
      <c r="G91" s="109"/>
      <c r="I91" s="104"/>
      <c r="J91" s="105"/>
      <c r="K91" s="106"/>
      <c r="L91" s="107"/>
      <c r="M91" s="107"/>
      <c r="N91" s="108"/>
      <c r="O91" s="109"/>
      <c r="Q91" s="104"/>
      <c r="R91" s="105"/>
      <c r="S91" s="106"/>
      <c r="T91" s="107"/>
      <c r="U91" s="107"/>
      <c r="V91" s="108"/>
      <c r="W91" s="109"/>
    </row>
    <row r="92" spans="1:23" x14ac:dyDescent="0.2">
      <c r="A92" s="104"/>
      <c r="B92" s="105"/>
      <c r="C92" s="106"/>
      <c r="D92" s="107"/>
      <c r="E92" s="107"/>
      <c r="F92" s="108"/>
      <c r="G92" s="109"/>
      <c r="I92" s="104"/>
      <c r="J92" s="105"/>
      <c r="K92" s="106"/>
      <c r="L92" s="107"/>
      <c r="M92" s="107"/>
      <c r="N92" s="108"/>
      <c r="O92" s="109"/>
      <c r="Q92" s="104"/>
      <c r="R92" s="105"/>
      <c r="S92" s="106"/>
      <c r="T92" s="107"/>
      <c r="U92" s="107"/>
      <c r="V92" s="108"/>
      <c r="W92" s="109"/>
    </row>
    <row r="93" spans="1:23" x14ac:dyDescent="0.2">
      <c r="A93" s="104"/>
      <c r="B93" s="105"/>
      <c r="C93" s="106"/>
      <c r="D93" s="107"/>
      <c r="E93" s="107"/>
      <c r="F93" s="108"/>
      <c r="G93" s="109"/>
      <c r="I93" s="104"/>
      <c r="J93" s="105"/>
      <c r="K93" s="106"/>
      <c r="L93" s="107"/>
      <c r="M93" s="107"/>
      <c r="N93" s="108"/>
      <c r="O93" s="109"/>
      <c r="Q93" s="104"/>
      <c r="R93" s="105"/>
      <c r="S93" s="106"/>
      <c r="T93" s="107"/>
      <c r="U93" s="107"/>
      <c r="V93" s="108"/>
      <c r="W93" s="109"/>
    </row>
    <row r="94" spans="1:23" x14ac:dyDescent="0.2">
      <c r="A94" s="104"/>
      <c r="B94" s="105"/>
      <c r="C94" s="106"/>
      <c r="D94" s="107"/>
      <c r="E94" s="107"/>
      <c r="F94" s="108"/>
      <c r="G94" s="109"/>
      <c r="I94" s="104"/>
      <c r="J94" s="105"/>
      <c r="K94" s="106"/>
      <c r="L94" s="107"/>
      <c r="M94" s="107"/>
      <c r="N94" s="108"/>
      <c r="O94" s="109"/>
      <c r="Q94" s="104"/>
      <c r="R94" s="105"/>
      <c r="S94" s="106"/>
      <c r="T94" s="107"/>
      <c r="U94" s="107"/>
      <c r="V94" s="108"/>
      <c r="W94" s="109"/>
    </row>
    <row r="95" spans="1:23" x14ac:dyDescent="0.2">
      <c r="A95" s="104"/>
      <c r="B95" s="105"/>
      <c r="C95" s="106"/>
      <c r="D95" s="107"/>
      <c r="E95" s="107"/>
      <c r="F95" s="108"/>
      <c r="G95" s="109"/>
      <c r="I95" s="104"/>
      <c r="J95" s="105"/>
      <c r="K95" s="106"/>
      <c r="L95" s="107"/>
      <c r="M95" s="107"/>
      <c r="N95" s="108"/>
      <c r="O95" s="109"/>
      <c r="Q95" s="104"/>
      <c r="R95" s="105"/>
      <c r="S95" s="106"/>
      <c r="T95" s="107"/>
      <c r="U95" s="107"/>
      <c r="V95" s="108"/>
      <c r="W95" s="109"/>
    </row>
    <row r="96" spans="1:23" x14ac:dyDescent="0.2">
      <c r="A96" s="104"/>
      <c r="B96" s="105"/>
      <c r="C96" s="106"/>
      <c r="D96" s="107"/>
      <c r="E96" s="107"/>
      <c r="F96" s="108"/>
      <c r="G96" s="109"/>
      <c r="I96" s="104"/>
      <c r="J96" s="105"/>
      <c r="K96" s="106"/>
      <c r="L96" s="107"/>
      <c r="M96" s="107"/>
      <c r="N96" s="108"/>
      <c r="O96" s="109"/>
      <c r="Q96" s="104"/>
      <c r="R96" s="105"/>
      <c r="S96" s="106"/>
      <c r="T96" s="107"/>
      <c r="U96" s="107"/>
      <c r="V96" s="108"/>
      <c r="W96" s="109"/>
    </row>
    <row r="97" spans="1:23" x14ac:dyDescent="0.2">
      <c r="A97" s="104"/>
      <c r="B97" s="105"/>
      <c r="C97" s="106"/>
      <c r="D97" s="107"/>
      <c r="E97" s="107"/>
      <c r="F97" s="108"/>
      <c r="G97" s="109"/>
      <c r="I97" s="104"/>
      <c r="J97" s="105"/>
      <c r="K97" s="106"/>
      <c r="L97" s="107"/>
      <c r="M97" s="107"/>
      <c r="N97" s="108"/>
      <c r="O97" s="109"/>
      <c r="Q97" s="104"/>
      <c r="R97" s="105"/>
      <c r="S97" s="106"/>
      <c r="T97" s="107"/>
      <c r="U97" s="107"/>
      <c r="V97" s="108"/>
      <c r="W97" s="109"/>
    </row>
    <row r="98" spans="1:23" x14ac:dyDescent="0.2">
      <c r="A98" s="104"/>
      <c r="B98" s="105"/>
      <c r="C98" s="106"/>
      <c r="D98" s="107"/>
      <c r="E98" s="107"/>
      <c r="F98" s="108"/>
      <c r="G98" s="109"/>
      <c r="I98" s="104"/>
      <c r="J98" s="105"/>
      <c r="K98" s="106"/>
      <c r="L98" s="107"/>
      <c r="M98" s="107"/>
      <c r="N98" s="108"/>
      <c r="O98" s="109"/>
      <c r="Q98" s="104"/>
      <c r="R98" s="105"/>
      <c r="S98" s="106"/>
      <c r="T98" s="107"/>
      <c r="U98" s="107"/>
      <c r="V98" s="108"/>
      <c r="W98" s="109"/>
    </row>
    <row r="99" spans="1:23" x14ac:dyDescent="0.2">
      <c r="A99" s="104"/>
      <c r="B99" s="105"/>
      <c r="C99" s="106"/>
      <c r="D99" s="107"/>
      <c r="E99" s="107"/>
      <c r="F99" s="108"/>
      <c r="G99" s="109"/>
      <c r="I99" s="104"/>
      <c r="J99" s="105"/>
      <c r="K99" s="106"/>
      <c r="L99" s="107"/>
      <c r="M99" s="107"/>
      <c r="N99" s="108"/>
      <c r="O99" s="109"/>
      <c r="Q99" s="104"/>
      <c r="R99" s="105"/>
      <c r="S99" s="106"/>
      <c r="T99" s="107"/>
      <c r="U99" s="107"/>
      <c r="V99" s="108"/>
      <c r="W99" s="109"/>
    </row>
    <row r="100" spans="1:23" x14ac:dyDescent="0.2">
      <c r="A100" s="104"/>
      <c r="B100" s="105"/>
      <c r="C100" s="106"/>
      <c r="D100" s="107"/>
      <c r="E100" s="107"/>
      <c r="F100" s="108"/>
      <c r="G100" s="109"/>
      <c r="I100" s="104"/>
      <c r="J100" s="105"/>
      <c r="K100" s="106"/>
      <c r="L100" s="107"/>
      <c r="M100" s="107"/>
      <c r="N100" s="108"/>
      <c r="O100" s="109"/>
      <c r="Q100" s="104"/>
      <c r="R100" s="105"/>
      <c r="S100" s="106"/>
      <c r="T100" s="107"/>
      <c r="U100" s="107"/>
      <c r="V100" s="108"/>
      <c r="W100" s="109"/>
    </row>
    <row r="101" spans="1:23" x14ac:dyDescent="0.2">
      <c r="A101" s="104"/>
      <c r="B101" s="105"/>
      <c r="C101" s="106"/>
      <c r="D101" s="107"/>
      <c r="E101" s="107"/>
      <c r="F101" s="108"/>
      <c r="G101" s="109"/>
      <c r="I101" s="104"/>
      <c r="J101" s="105"/>
      <c r="K101" s="106"/>
      <c r="L101" s="107"/>
      <c r="M101" s="107"/>
      <c r="N101" s="108"/>
      <c r="O101" s="109"/>
      <c r="Q101" s="104"/>
      <c r="R101" s="105"/>
      <c r="S101" s="106"/>
      <c r="T101" s="107"/>
      <c r="U101" s="107"/>
      <c r="V101" s="108"/>
      <c r="W101" s="109"/>
    </row>
    <row r="102" spans="1:23" x14ac:dyDescent="0.2">
      <c r="A102" s="104"/>
      <c r="B102" s="105"/>
      <c r="C102" s="106"/>
      <c r="D102" s="107"/>
      <c r="E102" s="107"/>
      <c r="F102" s="108"/>
      <c r="G102" s="109"/>
      <c r="I102" s="104"/>
      <c r="J102" s="105"/>
      <c r="K102" s="106"/>
      <c r="L102" s="107"/>
      <c r="M102" s="107"/>
      <c r="N102" s="108"/>
      <c r="O102" s="109"/>
      <c r="Q102" s="104"/>
      <c r="R102" s="105"/>
      <c r="S102" s="106"/>
      <c r="T102" s="107"/>
      <c r="U102" s="107"/>
      <c r="V102" s="108"/>
      <c r="W102" s="109"/>
    </row>
    <row r="103" spans="1:23" x14ac:dyDescent="0.2">
      <c r="A103" s="104"/>
      <c r="B103" s="105"/>
      <c r="C103" s="106"/>
      <c r="D103" s="107"/>
      <c r="E103" s="107"/>
      <c r="F103" s="108"/>
      <c r="G103" s="109"/>
      <c r="I103" s="104"/>
      <c r="J103" s="105"/>
      <c r="K103" s="106"/>
      <c r="L103" s="107"/>
      <c r="M103" s="107"/>
      <c r="N103" s="108"/>
      <c r="O103" s="109"/>
      <c r="Q103" s="104"/>
      <c r="R103" s="105"/>
      <c r="S103" s="106"/>
      <c r="T103" s="107"/>
      <c r="U103" s="107"/>
      <c r="V103" s="108"/>
      <c r="W103" s="109"/>
    </row>
    <row r="104" spans="1:23" x14ac:dyDescent="0.2">
      <c r="A104" s="104"/>
      <c r="B104" s="105"/>
      <c r="C104" s="106"/>
      <c r="D104" s="107"/>
      <c r="E104" s="107"/>
      <c r="F104" s="108"/>
      <c r="G104" s="109"/>
      <c r="I104" s="104"/>
      <c r="J104" s="105"/>
      <c r="K104" s="106"/>
      <c r="L104" s="107"/>
      <c r="M104" s="107"/>
      <c r="N104" s="108"/>
      <c r="O104" s="109"/>
      <c r="Q104" s="104"/>
      <c r="R104" s="105"/>
      <c r="S104" s="106"/>
      <c r="T104" s="107"/>
      <c r="U104" s="107"/>
      <c r="V104" s="108"/>
      <c r="W104" s="109"/>
    </row>
    <row r="105" spans="1:23" x14ac:dyDescent="0.2">
      <c r="A105" s="104"/>
      <c r="B105" s="105"/>
      <c r="C105" s="106"/>
      <c r="D105" s="107"/>
      <c r="E105" s="107"/>
      <c r="F105" s="108"/>
      <c r="G105" s="109"/>
      <c r="I105" s="104"/>
      <c r="J105" s="105"/>
      <c r="K105" s="106"/>
      <c r="L105" s="107"/>
      <c r="M105" s="107"/>
      <c r="N105" s="108"/>
      <c r="O105" s="109"/>
      <c r="Q105" s="104"/>
      <c r="R105" s="105"/>
      <c r="S105" s="106"/>
      <c r="T105" s="107"/>
      <c r="U105" s="107"/>
      <c r="V105" s="108"/>
      <c r="W105" s="109"/>
    </row>
    <row r="106" spans="1:23" x14ac:dyDescent="0.2">
      <c r="A106" s="104"/>
      <c r="B106" s="105"/>
      <c r="C106" s="106"/>
      <c r="D106" s="107"/>
      <c r="E106" s="107"/>
      <c r="F106" s="108"/>
      <c r="G106" s="109"/>
      <c r="I106" s="104"/>
      <c r="J106" s="105"/>
      <c r="K106" s="106"/>
      <c r="L106" s="107"/>
      <c r="M106" s="107"/>
      <c r="N106" s="108"/>
      <c r="O106" s="109"/>
      <c r="Q106" s="104"/>
      <c r="R106" s="105"/>
      <c r="S106" s="106"/>
      <c r="T106" s="107"/>
      <c r="U106" s="107"/>
      <c r="V106" s="108"/>
      <c r="W106" s="109"/>
    </row>
    <row r="107" spans="1:23" x14ac:dyDescent="0.2">
      <c r="A107" s="104"/>
      <c r="B107" s="105"/>
      <c r="C107" s="106"/>
      <c r="D107" s="107"/>
      <c r="E107" s="107"/>
      <c r="F107" s="108"/>
      <c r="G107" s="109"/>
      <c r="I107" s="104"/>
      <c r="J107" s="105"/>
      <c r="K107" s="106"/>
      <c r="L107" s="107"/>
      <c r="M107" s="107"/>
      <c r="N107" s="108"/>
      <c r="O107" s="109"/>
      <c r="Q107" s="104"/>
      <c r="R107" s="105"/>
      <c r="S107" s="106"/>
      <c r="T107" s="107"/>
      <c r="U107" s="107"/>
      <c r="V107" s="108"/>
      <c r="W107" s="109"/>
    </row>
    <row r="108" spans="1:23" x14ac:dyDescent="0.2">
      <c r="A108" s="104"/>
      <c r="B108" s="105"/>
      <c r="C108" s="106"/>
      <c r="D108" s="107"/>
      <c r="E108" s="107"/>
      <c r="F108" s="108"/>
      <c r="G108" s="109"/>
      <c r="I108" s="104"/>
      <c r="J108" s="105"/>
      <c r="K108" s="106"/>
      <c r="L108" s="107"/>
      <c r="M108" s="107"/>
      <c r="N108" s="108"/>
      <c r="O108" s="109"/>
      <c r="Q108" s="104"/>
      <c r="R108" s="105"/>
      <c r="S108" s="106"/>
      <c r="T108" s="107"/>
      <c r="U108" s="107"/>
      <c r="V108" s="108"/>
      <c r="W108" s="109"/>
    </row>
    <row r="109" spans="1:23" x14ac:dyDescent="0.2">
      <c r="A109" s="104"/>
      <c r="B109" s="105"/>
      <c r="C109" s="106"/>
      <c r="D109" s="107"/>
      <c r="E109" s="107"/>
      <c r="F109" s="108"/>
      <c r="G109" s="109"/>
      <c r="I109" s="104"/>
      <c r="J109" s="105"/>
      <c r="K109" s="106"/>
      <c r="L109" s="107"/>
      <c r="M109" s="107"/>
      <c r="N109" s="108"/>
      <c r="O109" s="109"/>
      <c r="Q109" s="104"/>
      <c r="R109" s="105"/>
      <c r="S109" s="106"/>
      <c r="T109" s="107"/>
      <c r="U109" s="107"/>
      <c r="V109" s="108"/>
      <c r="W109" s="109"/>
    </row>
    <row r="110" spans="1:23" x14ac:dyDescent="0.2">
      <c r="A110" s="104"/>
      <c r="B110" s="105"/>
      <c r="C110" s="106"/>
      <c r="D110" s="107"/>
      <c r="E110" s="107"/>
      <c r="F110" s="108"/>
      <c r="G110" s="109"/>
      <c r="I110" s="104"/>
      <c r="J110" s="105"/>
      <c r="K110" s="106"/>
      <c r="L110" s="107"/>
      <c r="M110" s="107"/>
      <c r="N110" s="108"/>
      <c r="O110" s="109"/>
      <c r="Q110" s="104"/>
      <c r="R110" s="105"/>
      <c r="S110" s="106"/>
      <c r="T110" s="107"/>
      <c r="U110" s="107"/>
      <c r="V110" s="108"/>
      <c r="W110" s="109"/>
    </row>
    <row r="111" spans="1:23" x14ac:dyDescent="0.2">
      <c r="A111" s="104"/>
      <c r="B111" s="105"/>
      <c r="C111" s="106"/>
      <c r="D111" s="107"/>
      <c r="E111" s="107"/>
      <c r="F111" s="108"/>
      <c r="G111" s="109"/>
      <c r="I111" s="104"/>
      <c r="J111" s="105"/>
      <c r="K111" s="106"/>
      <c r="L111" s="107"/>
      <c r="M111" s="107"/>
      <c r="N111" s="108"/>
      <c r="O111" s="109"/>
      <c r="Q111" s="104"/>
      <c r="R111" s="105"/>
      <c r="S111" s="106"/>
      <c r="T111" s="107"/>
      <c r="U111" s="107"/>
      <c r="V111" s="108"/>
      <c r="W111" s="109"/>
    </row>
    <row r="112" spans="1:23" x14ac:dyDescent="0.2">
      <c r="A112" s="104"/>
      <c r="B112" s="105"/>
      <c r="C112" s="106"/>
      <c r="D112" s="107"/>
      <c r="E112" s="107"/>
      <c r="F112" s="108"/>
      <c r="G112" s="109"/>
      <c r="I112" s="104"/>
      <c r="J112" s="105"/>
      <c r="K112" s="106"/>
      <c r="L112" s="107"/>
      <c r="M112" s="107"/>
      <c r="N112" s="108"/>
      <c r="O112" s="109"/>
      <c r="Q112" s="104"/>
      <c r="R112" s="105"/>
      <c r="S112" s="106"/>
      <c r="T112" s="107"/>
      <c r="U112" s="107"/>
      <c r="V112" s="108"/>
      <c r="W112" s="109"/>
    </row>
    <row r="113" spans="1:23" x14ac:dyDescent="0.2">
      <c r="A113" s="104"/>
      <c r="B113" s="105"/>
      <c r="C113" s="106"/>
      <c r="D113" s="107"/>
      <c r="E113" s="107"/>
      <c r="F113" s="108"/>
      <c r="G113" s="109"/>
      <c r="I113" s="104"/>
      <c r="J113" s="105"/>
      <c r="K113" s="106"/>
      <c r="L113" s="107"/>
      <c r="M113" s="107"/>
      <c r="N113" s="108"/>
      <c r="O113" s="109"/>
      <c r="Q113" s="104"/>
      <c r="R113" s="105"/>
      <c r="S113" s="106"/>
      <c r="T113" s="107"/>
      <c r="U113" s="107"/>
      <c r="V113" s="108"/>
      <c r="W113" s="109"/>
    </row>
    <row r="114" spans="1:23" x14ac:dyDescent="0.2">
      <c r="A114" s="104"/>
      <c r="B114" s="105"/>
      <c r="C114" s="106"/>
      <c r="D114" s="107"/>
      <c r="E114" s="107"/>
      <c r="F114" s="108"/>
      <c r="G114" s="109"/>
      <c r="I114" s="104"/>
      <c r="J114" s="105"/>
      <c r="K114" s="106"/>
      <c r="L114" s="107"/>
      <c r="M114" s="107"/>
      <c r="N114" s="108"/>
      <c r="O114" s="109"/>
      <c r="Q114" s="104"/>
      <c r="R114" s="105"/>
      <c r="S114" s="106"/>
      <c r="T114" s="107"/>
      <c r="U114" s="107"/>
      <c r="V114" s="108"/>
      <c r="W114" s="109"/>
    </row>
    <row r="115" spans="1:23" x14ac:dyDescent="0.2">
      <c r="A115" s="104"/>
      <c r="B115" s="105"/>
      <c r="C115" s="106"/>
      <c r="D115" s="107"/>
      <c r="E115" s="107"/>
      <c r="F115" s="108"/>
      <c r="G115" s="109"/>
      <c r="I115" s="104"/>
      <c r="J115" s="105"/>
      <c r="K115" s="106"/>
      <c r="L115" s="107"/>
      <c r="M115" s="107"/>
      <c r="N115" s="108"/>
      <c r="O115" s="109"/>
      <c r="Q115" s="104"/>
      <c r="R115" s="105"/>
      <c r="S115" s="106"/>
      <c r="T115" s="107"/>
      <c r="U115" s="107"/>
      <c r="V115" s="108"/>
      <c r="W115" s="109"/>
    </row>
    <row r="116" spans="1:23" x14ac:dyDescent="0.2">
      <c r="A116" s="104"/>
      <c r="B116" s="105"/>
      <c r="C116" s="106"/>
      <c r="D116" s="107"/>
      <c r="E116" s="107"/>
      <c r="F116" s="108"/>
      <c r="G116" s="109"/>
      <c r="I116" s="104"/>
      <c r="J116" s="105"/>
      <c r="K116" s="106"/>
      <c r="L116" s="107"/>
      <c r="M116" s="107"/>
      <c r="N116" s="108"/>
      <c r="O116" s="109"/>
      <c r="Q116" s="104"/>
      <c r="R116" s="105"/>
      <c r="S116" s="106"/>
      <c r="T116" s="107"/>
      <c r="U116" s="107"/>
      <c r="V116" s="108"/>
      <c r="W116" s="109"/>
    </row>
    <row r="117" spans="1:23" x14ac:dyDescent="0.2">
      <c r="A117" s="104"/>
      <c r="B117" s="105"/>
      <c r="C117" s="106"/>
      <c r="D117" s="107"/>
      <c r="E117" s="107"/>
      <c r="F117" s="108"/>
      <c r="G117" s="109"/>
      <c r="I117" s="104"/>
      <c r="J117" s="105"/>
      <c r="K117" s="106"/>
      <c r="L117" s="107"/>
      <c r="M117" s="107"/>
      <c r="N117" s="108"/>
      <c r="O117" s="109"/>
      <c r="Q117" s="104"/>
      <c r="R117" s="105"/>
      <c r="S117" s="106"/>
      <c r="T117" s="107"/>
      <c r="U117" s="107"/>
      <c r="V117" s="108"/>
      <c r="W117" s="109"/>
    </row>
    <row r="118" spans="1:23" x14ac:dyDescent="0.2">
      <c r="A118" s="104"/>
      <c r="B118" s="105"/>
      <c r="C118" s="106"/>
      <c r="D118" s="107"/>
      <c r="E118" s="107"/>
      <c r="F118" s="108"/>
      <c r="G118" s="109"/>
      <c r="I118" s="104"/>
      <c r="J118" s="105"/>
      <c r="K118" s="106"/>
      <c r="L118" s="107"/>
      <c r="M118" s="107"/>
      <c r="N118" s="108"/>
      <c r="O118" s="109"/>
      <c r="Q118" s="104"/>
      <c r="R118" s="105"/>
      <c r="S118" s="106"/>
      <c r="T118" s="107"/>
      <c r="U118" s="107"/>
      <c r="V118" s="108"/>
      <c r="W118" s="109"/>
    </row>
    <row r="119" spans="1:23" x14ac:dyDescent="0.2">
      <c r="A119" s="104"/>
      <c r="B119" s="105"/>
      <c r="C119" s="106"/>
      <c r="D119" s="107"/>
      <c r="E119" s="107"/>
      <c r="F119" s="108"/>
      <c r="G119" s="109"/>
      <c r="I119" s="104"/>
      <c r="J119" s="105"/>
      <c r="K119" s="106"/>
      <c r="L119" s="107"/>
      <c r="M119" s="107"/>
      <c r="N119" s="108"/>
      <c r="O119" s="109"/>
      <c r="Q119" s="104"/>
      <c r="R119" s="105"/>
      <c r="S119" s="106"/>
      <c r="T119" s="107"/>
      <c r="U119" s="107"/>
      <c r="V119" s="108"/>
      <c r="W119" s="109"/>
    </row>
    <row r="120" spans="1:23" x14ac:dyDescent="0.2">
      <c r="A120" s="104"/>
      <c r="B120" s="105"/>
      <c r="C120" s="106"/>
      <c r="D120" s="107"/>
      <c r="E120" s="107"/>
      <c r="F120" s="108"/>
      <c r="G120" s="109"/>
      <c r="I120" s="104"/>
      <c r="J120" s="105"/>
      <c r="K120" s="106"/>
      <c r="L120" s="107"/>
      <c r="M120" s="107"/>
      <c r="N120" s="108"/>
      <c r="O120" s="109"/>
      <c r="Q120" s="104"/>
      <c r="R120" s="105"/>
      <c r="S120" s="106"/>
      <c r="T120" s="107"/>
      <c r="U120" s="107"/>
      <c r="V120" s="108"/>
      <c r="W120" s="109"/>
    </row>
    <row r="121" spans="1:23" x14ac:dyDescent="0.2">
      <c r="A121" s="104"/>
      <c r="B121" s="105"/>
      <c r="C121" s="106"/>
      <c r="D121" s="107"/>
      <c r="E121" s="107"/>
      <c r="F121" s="108"/>
      <c r="G121" s="109"/>
      <c r="I121" s="104"/>
      <c r="J121" s="105"/>
      <c r="K121" s="106"/>
      <c r="L121" s="107"/>
      <c r="M121" s="107"/>
      <c r="N121" s="108"/>
      <c r="O121" s="109"/>
      <c r="Q121" s="104"/>
      <c r="R121" s="105"/>
      <c r="S121" s="106"/>
      <c r="T121" s="107"/>
      <c r="U121" s="107"/>
      <c r="V121" s="108"/>
      <c r="W121" s="109"/>
    </row>
    <row r="122" spans="1:23" x14ac:dyDescent="0.2">
      <c r="A122" s="104"/>
      <c r="B122" s="105"/>
      <c r="C122" s="106"/>
      <c r="D122" s="107"/>
      <c r="E122" s="107"/>
      <c r="F122" s="108"/>
      <c r="G122" s="109"/>
      <c r="I122" s="104"/>
      <c r="J122" s="105"/>
      <c r="K122" s="106"/>
      <c r="L122" s="107"/>
      <c r="M122" s="107"/>
      <c r="N122" s="108"/>
      <c r="O122" s="109"/>
      <c r="Q122" s="104"/>
      <c r="R122" s="105"/>
      <c r="S122" s="106"/>
      <c r="T122" s="107"/>
      <c r="U122" s="107"/>
      <c r="V122" s="108"/>
      <c r="W122" s="109"/>
    </row>
    <row r="123" spans="1:23" x14ac:dyDescent="0.2">
      <c r="A123" s="104"/>
      <c r="B123" s="105"/>
      <c r="C123" s="106"/>
      <c r="D123" s="107"/>
      <c r="E123" s="107"/>
      <c r="F123" s="108"/>
      <c r="G123" s="109"/>
      <c r="I123" s="104"/>
      <c r="J123" s="105"/>
      <c r="K123" s="106"/>
      <c r="L123" s="107"/>
      <c r="M123" s="107"/>
      <c r="N123" s="108"/>
      <c r="O123" s="109"/>
      <c r="Q123" s="104"/>
      <c r="R123" s="105"/>
      <c r="S123" s="106"/>
      <c r="T123" s="107"/>
      <c r="U123" s="107"/>
      <c r="V123" s="108"/>
      <c r="W123" s="109"/>
    </row>
    <row r="124" spans="1:23" x14ac:dyDescent="0.2">
      <c r="A124" s="104"/>
      <c r="B124" s="105"/>
      <c r="C124" s="106"/>
      <c r="D124" s="107"/>
      <c r="E124" s="107"/>
      <c r="F124" s="108"/>
      <c r="G124" s="109"/>
      <c r="I124" s="104"/>
      <c r="J124" s="105"/>
      <c r="K124" s="106"/>
      <c r="L124" s="107"/>
      <c r="M124" s="107"/>
      <c r="N124" s="108"/>
      <c r="O124" s="109"/>
      <c r="Q124" s="104"/>
      <c r="R124" s="105"/>
      <c r="S124" s="106"/>
      <c r="T124" s="107"/>
      <c r="U124" s="107"/>
      <c r="V124" s="108"/>
      <c r="W124" s="109"/>
    </row>
    <row r="125" spans="1:23" x14ac:dyDescent="0.2">
      <c r="A125" s="104"/>
      <c r="B125" s="105"/>
      <c r="C125" s="106"/>
      <c r="D125" s="107"/>
      <c r="E125" s="107"/>
      <c r="F125" s="108"/>
      <c r="G125" s="109"/>
      <c r="I125" s="104"/>
      <c r="J125" s="105"/>
      <c r="K125" s="106"/>
      <c r="L125" s="107"/>
      <c r="M125" s="107"/>
      <c r="N125" s="108"/>
      <c r="O125" s="109"/>
      <c r="Q125" s="104"/>
      <c r="R125" s="105"/>
      <c r="S125" s="106"/>
      <c r="T125" s="107"/>
      <c r="U125" s="107"/>
      <c r="V125" s="108"/>
      <c r="W125" s="109"/>
    </row>
    <row r="126" spans="1:23" x14ac:dyDescent="0.2">
      <c r="A126" s="104"/>
      <c r="B126" s="105"/>
      <c r="C126" s="106"/>
      <c r="D126" s="107"/>
      <c r="E126" s="107"/>
      <c r="F126" s="108"/>
      <c r="G126" s="109"/>
      <c r="I126" s="104"/>
      <c r="J126" s="105"/>
      <c r="K126" s="106"/>
      <c r="L126" s="107"/>
      <c r="M126" s="107"/>
      <c r="N126" s="108"/>
      <c r="O126" s="109"/>
      <c r="Q126" s="104"/>
      <c r="R126" s="105"/>
      <c r="S126" s="106"/>
      <c r="T126" s="107"/>
      <c r="U126" s="107"/>
      <c r="V126" s="108"/>
      <c r="W126" s="109"/>
    </row>
    <row r="127" spans="1:23" x14ac:dyDescent="0.2">
      <c r="A127" s="104"/>
      <c r="B127" s="105"/>
      <c r="C127" s="106"/>
      <c r="D127" s="107"/>
      <c r="E127" s="107"/>
      <c r="F127" s="108"/>
      <c r="G127" s="109"/>
      <c r="I127" s="104"/>
      <c r="J127" s="105"/>
      <c r="K127" s="106"/>
      <c r="L127" s="107"/>
      <c r="M127" s="107"/>
      <c r="N127" s="108"/>
      <c r="O127" s="109"/>
      <c r="Q127" s="104"/>
      <c r="R127" s="105"/>
      <c r="S127" s="106"/>
      <c r="T127" s="107"/>
      <c r="U127" s="107"/>
      <c r="V127" s="108"/>
      <c r="W127" s="109"/>
    </row>
    <row r="128" spans="1:23" x14ac:dyDescent="0.2">
      <c r="A128" s="104"/>
      <c r="B128" s="105"/>
      <c r="C128" s="106"/>
      <c r="D128" s="107"/>
      <c r="E128" s="107"/>
      <c r="F128" s="108"/>
      <c r="G128" s="109"/>
      <c r="I128" s="104"/>
      <c r="J128" s="105"/>
      <c r="K128" s="106"/>
      <c r="L128" s="107"/>
      <c r="M128" s="107"/>
      <c r="N128" s="108"/>
      <c r="O128" s="109"/>
      <c r="Q128" s="104"/>
      <c r="R128" s="105"/>
      <c r="S128" s="106"/>
      <c r="T128" s="107"/>
      <c r="U128" s="107"/>
      <c r="V128" s="108"/>
      <c r="W128" s="109"/>
    </row>
    <row r="129" spans="1:23" x14ac:dyDescent="0.2">
      <c r="A129" s="104"/>
      <c r="B129" s="105"/>
      <c r="C129" s="106"/>
      <c r="D129" s="107"/>
      <c r="E129" s="107"/>
      <c r="F129" s="108"/>
      <c r="G129" s="109"/>
      <c r="I129" s="104"/>
      <c r="J129" s="105"/>
      <c r="K129" s="106"/>
      <c r="L129" s="107"/>
      <c r="M129" s="107"/>
      <c r="N129" s="108"/>
      <c r="O129" s="109"/>
      <c r="Q129" s="104"/>
      <c r="R129" s="105"/>
      <c r="S129" s="106"/>
      <c r="T129" s="107"/>
      <c r="U129" s="107"/>
      <c r="V129" s="108"/>
      <c r="W129" s="109"/>
    </row>
    <row r="130" spans="1:23" x14ac:dyDescent="0.2">
      <c r="A130" s="104"/>
      <c r="B130" s="105"/>
      <c r="C130" s="106"/>
      <c r="D130" s="107"/>
      <c r="E130" s="107"/>
      <c r="F130" s="108"/>
      <c r="G130" s="109"/>
      <c r="I130" s="104"/>
      <c r="J130" s="105"/>
      <c r="K130" s="106"/>
      <c r="L130" s="107"/>
      <c r="M130" s="107"/>
      <c r="N130" s="108"/>
      <c r="O130" s="109"/>
      <c r="Q130" s="104"/>
      <c r="R130" s="105"/>
      <c r="S130" s="106"/>
      <c r="T130" s="107"/>
      <c r="U130" s="107"/>
      <c r="V130" s="108"/>
      <c r="W130" s="109"/>
    </row>
    <row r="131" spans="1:23" x14ac:dyDescent="0.2">
      <c r="A131" s="104"/>
      <c r="B131" s="105"/>
      <c r="C131" s="106"/>
      <c r="D131" s="107"/>
      <c r="E131" s="107"/>
      <c r="F131" s="108"/>
      <c r="G131" s="109"/>
      <c r="I131" s="104"/>
      <c r="J131" s="105"/>
      <c r="K131" s="106"/>
      <c r="L131" s="107"/>
      <c r="M131" s="107"/>
      <c r="N131" s="108"/>
      <c r="O131" s="109"/>
      <c r="Q131" s="104"/>
      <c r="R131" s="105"/>
      <c r="S131" s="106"/>
      <c r="T131" s="107"/>
      <c r="U131" s="107"/>
      <c r="V131" s="108"/>
      <c r="W131" s="109"/>
    </row>
    <row r="132" spans="1:23" x14ac:dyDescent="0.2">
      <c r="A132" s="104"/>
      <c r="B132" s="105"/>
      <c r="C132" s="106"/>
      <c r="D132" s="107"/>
      <c r="E132" s="107"/>
      <c r="F132" s="108"/>
      <c r="G132" s="109"/>
      <c r="I132" s="104"/>
      <c r="J132" s="105"/>
      <c r="K132" s="106"/>
      <c r="L132" s="107"/>
      <c r="M132" s="107"/>
      <c r="N132" s="108"/>
      <c r="O132" s="109"/>
      <c r="Q132" s="104"/>
      <c r="R132" s="105"/>
      <c r="S132" s="106"/>
      <c r="T132" s="107"/>
      <c r="U132" s="107"/>
      <c r="V132" s="108"/>
      <c r="W132" s="109"/>
    </row>
    <row r="133" spans="1:23" x14ac:dyDescent="0.2">
      <c r="A133" s="104"/>
      <c r="B133" s="105"/>
      <c r="C133" s="106"/>
      <c r="D133" s="107"/>
      <c r="E133" s="107"/>
      <c r="F133" s="108"/>
      <c r="G133" s="109"/>
      <c r="I133" s="104"/>
      <c r="J133" s="105"/>
      <c r="K133" s="106"/>
      <c r="L133" s="107"/>
      <c r="M133" s="107"/>
      <c r="N133" s="108"/>
      <c r="O133" s="109"/>
      <c r="Q133" s="104"/>
      <c r="R133" s="105"/>
      <c r="S133" s="106"/>
      <c r="T133" s="107"/>
      <c r="U133" s="107"/>
      <c r="V133" s="108"/>
      <c r="W133" s="109"/>
    </row>
    <row r="134" spans="1:23" x14ac:dyDescent="0.2">
      <c r="A134" s="104"/>
      <c r="B134" s="105"/>
      <c r="C134" s="106"/>
      <c r="D134" s="107"/>
      <c r="E134" s="107"/>
      <c r="F134" s="108"/>
      <c r="G134" s="109"/>
      <c r="I134" s="104"/>
      <c r="J134" s="105"/>
      <c r="K134" s="106"/>
      <c r="L134" s="107"/>
      <c r="M134" s="107"/>
      <c r="N134" s="108"/>
      <c r="O134" s="109"/>
      <c r="Q134" s="104"/>
      <c r="R134" s="105"/>
      <c r="S134" s="106"/>
      <c r="T134" s="107"/>
      <c r="U134" s="107"/>
      <c r="V134" s="108"/>
      <c r="W134" s="109"/>
    </row>
    <row r="135" spans="1:23" x14ac:dyDescent="0.2">
      <c r="A135" s="104"/>
      <c r="B135" s="105"/>
      <c r="C135" s="106"/>
      <c r="D135" s="107"/>
      <c r="E135" s="107"/>
      <c r="F135" s="108"/>
      <c r="G135" s="109"/>
      <c r="I135" s="104"/>
      <c r="J135" s="105"/>
      <c r="K135" s="106"/>
      <c r="L135" s="107"/>
      <c r="M135" s="107"/>
      <c r="N135" s="108"/>
      <c r="O135" s="109"/>
      <c r="Q135" s="104"/>
      <c r="R135" s="105"/>
      <c r="S135" s="106"/>
      <c r="T135" s="107"/>
      <c r="U135" s="107"/>
      <c r="V135" s="108"/>
      <c r="W135" s="109"/>
    </row>
    <row r="136" spans="1:23" x14ac:dyDescent="0.2">
      <c r="A136" s="104"/>
      <c r="B136" s="105"/>
      <c r="C136" s="106"/>
      <c r="D136" s="107"/>
      <c r="E136" s="107"/>
      <c r="F136" s="108"/>
      <c r="G136" s="109"/>
      <c r="I136" s="104"/>
      <c r="J136" s="105"/>
      <c r="K136" s="106"/>
      <c r="L136" s="107"/>
      <c r="M136" s="107"/>
      <c r="N136" s="108"/>
      <c r="O136" s="109"/>
      <c r="Q136" s="104"/>
      <c r="R136" s="105"/>
      <c r="S136" s="106"/>
      <c r="T136" s="107"/>
      <c r="U136" s="107"/>
      <c r="V136" s="108"/>
      <c r="W136" s="109"/>
    </row>
    <row r="137" spans="1:23" x14ac:dyDescent="0.2">
      <c r="A137" s="104"/>
      <c r="B137" s="105"/>
      <c r="C137" s="106"/>
      <c r="D137" s="107"/>
      <c r="E137" s="107"/>
      <c r="F137" s="108"/>
      <c r="G137" s="109"/>
      <c r="I137" s="104"/>
      <c r="J137" s="105"/>
      <c r="K137" s="106"/>
      <c r="L137" s="107"/>
      <c r="M137" s="107"/>
      <c r="N137" s="108"/>
      <c r="O137" s="109"/>
      <c r="Q137" s="104"/>
      <c r="R137" s="105"/>
      <c r="S137" s="106"/>
      <c r="T137" s="107"/>
      <c r="U137" s="107"/>
      <c r="V137" s="108"/>
      <c r="W137" s="109"/>
    </row>
    <row r="138" spans="1:23" x14ac:dyDescent="0.2">
      <c r="A138" s="104"/>
      <c r="B138" s="105"/>
      <c r="C138" s="106"/>
      <c r="D138" s="107"/>
      <c r="E138" s="107"/>
      <c r="F138" s="108"/>
      <c r="G138" s="109"/>
      <c r="I138" s="104"/>
      <c r="J138" s="105"/>
      <c r="K138" s="106"/>
      <c r="L138" s="107"/>
      <c r="M138" s="107"/>
      <c r="N138" s="108"/>
      <c r="O138" s="109"/>
      <c r="Q138" s="104"/>
      <c r="R138" s="105"/>
      <c r="S138" s="106"/>
      <c r="T138" s="107"/>
      <c r="U138" s="107"/>
      <c r="V138" s="108"/>
      <c r="W138" s="109"/>
    </row>
    <row r="139" spans="1:23" x14ac:dyDescent="0.2">
      <c r="A139" s="104"/>
      <c r="B139" s="105"/>
      <c r="C139" s="106"/>
      <c r="D139" s="107"/>
      <c r="E139" s="107"/>
      <c r="F139" s="108"/>
      <c r="G139" s="109"/>
      <c r="I139" s="104"/>
      <c r="J139" s="105"/>
      <c r="K139" s="106"/>
      <c r="L139" s="107"/>
      <c r="M139" s="107"/>
      <c r="N139" s="108"/>
      <c r="O139" s="109"/>
      <c r="Q139" s="104"/>
      <c r="R139" s="105"/>
      <c r="S139" s="106"/>
      <c r="T139" s="107"/>
      <c r="U139" s="107"/>
      <c r="V139" s="108"/>
      <c r="W139" s="109"/>
    </row>
    <row r="140" spans="1:23" x14ac:dyDescent="0.2">
      <c r="A140" s="104"/>
      <c r="B140" s="105"/>
      <c r="C140" s="106"/>
      <c r="D140" s="107"/>
      <c r="E140" s="107"/>
      <c r="F140" s="108"/>
      <c r="G140" s="109"/>
      <c r="I140" s="104"/>
      <c r="J140" s="105"/>
      <c r="K140" s="106"/>
      <c r="L140" s="107"/>
      <c r="M140" s="107"/>
      <c r="N140" s="108"/>
      <c r="O140" s="109"/>
      <c r="Q140" s="104"/>
      <c r="R140" s="105"/>
      <c r="S140" s="106"/>
      <c r="T140" s="107"/>
      <c r="U140" s="107"/>
      <c r="V140" s="108"/>
      <c r="W140" s="109"/>
    </row>
    <row r="141" spans="1:23" x14ac:dyDescent="0.2">
      <c r="A141" s="104"/>
      <c r="B141" s="105"/>
      <c r="C141" s="106"/>
      <c r="D141" s="107"/>
      <c r="E141" s="107"/>
      <c r="F141" s="108"/>
      <c r="G141" s="109"/>
      <c r="I141" s="104"/>
      <c r="J141" s="105"/>
      <c r="K141" s="106"/>
      <c r="L141" s="107"/>
      <c r="M141" s="107"/>
      <c r="N141" s="108"/>
      <c r="O141" s="109"/>
      <c r="Q141" s="104"/>
      <c r="R141" s="105"/>
      <c r="S141" s="106"/>
      <c r="T141" s="107"/>
      <c r="U141" s="107"/>
      <c r="V141" s="108"/>
      <c r="W141" s="109"/>
    </row>
    <row r="142" spans="1:23" x14ac:dyDescent="0.2">
      <c r="A142" s="104"/>
      <c r="B142" s="105"/>
      <c r="C142" s="106"/>
      <c r="D142" s="107"/>
      <c r="E142" s="107"/>
      <c r="F142" s="108"/>
      <c r="G142" s="109"/>
      <c r="I142" s="104"/>
      <c r="J142" s="105"/>
      <c r="K142" s="106"/>
      <c r="L142" s="107"/>
      <c r="M142" s="107"/>
      <c r="N142" s="108"/>
      <c r="O142" s="109"/>
      <c r="Q142" s="104"/>
      <c r="R142" s="105"/>
      <c r="S142" s="106"/>
      <c r="T142" s="107"/>
      <c r="U142" s="107"/>
      <c r="V142" s="108"/>
      <c r="W142" s="109"/>
    </row>
    <row r="143" spans="1:23" x14ac:dyDescent="0.2">
      <c r="A143" s="104"/>
      <c r="B143" s="105"/>
      <c r="C143" s="106"/>
      <c r="D143" s="107"/>
      <c r="E143" s="107"/>
      <c r="F143" s="108"/>
      <c r="G143" s="109"/>
      <c r="I143" s="104"/>
      <c r="J143" s="105"/>
      <c r="K143" s="106"/>
      <c r="L143" s="107"/>
      <c r="M143" s="107"/>
      <c r="N143" s="108"/>
      <c r="O143" s="109"/>
      <c r="Q143" s="104"/>
      <c r="R143" s="105"/>
      <c r="S143" s="106"/>
      <c r="T143" s="107"/>
      <c r="U143" s="107"/>
      <c r="V143" s="108"/>
      <c r="W143" s="109"/>
    </row>
    <row r="144" spans="1:23" x14ac:dyDescent="0.2">
      <c r="A144" s="104"/>
      <c r="B144" s="105"/>
      <c r="C144" s="106"/>
      <c r="D144" s="107"/>
      <c r="E144" s="107"/>
      <c r="F144" s="108"/>
      <c r="G144" s="109"/>
      <c r="I144" s="104"/>
      <c r="J144" s="105"/>
      <c r="K144" s="106"/>
      <c r="L144" s="107"/>
      <c r="M144" s="107"/>
      <c r="N144" s="108"/>
      <c r="O144" s="109"/>
      <c r="Q144" s="104"/>
      <c r="R144" s="105"/>
      <c r="S144" s="106"/>
      <c r="T144" s="107"/>
      <c r="U144" s="107"/>
      <c r="V144" s="108"/>
      <c r="W144" s="109"/>
    </row>
    <row r="145" spans="1:23" x14ac:dyDescent="0.2">
      <c r="A145" s="104"/>
      <c r="B145" s="105"/>
      <c r="C145" s="106"/>
      <c r="D145" s="107"/>
      <c r="E145" s="107"/>
      <c r="F145" s="108"/>
      <c r="G145" s="109"/>
      <c r="I145" s="104"/>
      <c r="J145" s="105"/>
      <c r="K145" s="106"/>
      <c r="L145" s="107"/>
      <c r="M145" s="107"/>
      <c r="N145" s="108"/>
      <c r="O145" s="109"/>
      <c r="Q145" s="104"/>
      <c r="R145" s="105"/>
      <c r="S145" s="106"/>
      <c r="T145" s="107"/>
      <c r="U145" s="107"/>
      <c r="V145" s="108"/>
      <c r="W145" s="109"/>
    </row>
    <row r="146" spans="1:23" x14ac:dyDescent="0.2">
      <c r="A146" s="104"/>
      <c r="B146" s="105"/>
      <c r="C146" s="106"/>
      <c r="D146" s="107"/>
      <c r="E146" s="107"/>
      <c r="F146" s="108"/>
      <c r="G146" s="109"/>
      <c r="I146" s="104"/>
      <c r="J146" s="105"/>
      <c r="K146" s="106"/>
      <c r="L146" s="107"/>
      <c r="M146" s="107"/>
      <c r="N146" s="108"/>
      <c r="O146" s="109"/>
      <c r="Q146" s="104"/>
      <c r="R146" s="105"/>
      <c r="S146" s="106"/>
      <c r="T146" s="107"/>
      <c r="U146" s="107"/>
      <c r="V146" s="108"/>
      <c r="W146" s="109"/>
    </row>
    <row r="147" spans="1:23" x14ac:dyDescent="0.2">
      <c r="A147" s="104"/>
      <c r="B147" s="105"/>
      <c r="C147" s="106"/>
      <c r="D147" s="107"/>
      <c r="E147" s="107"/>
      <c r="F147" s="108"/>
      <c r="G147" s="109"/>
      <c r="I147" s="104"/>
      <c r="J147" s="105"/>
      <c r="K147" s="106"/>
      <c r="L147" s="107"/>
      <c r="M147" s="107"/>
      <c r="N147" s="108"/>
      <c r="O147" s="109"/>
      <c r="Q147" s="104"/>
      <c r="R147" s="105"/>
      <c r="S147" s="106"/>
      <c r="T147" s="107"/>
      <c r="U147" s="107"/>
      <c r="V147" s="108"/>
      <c r="W147" s="109"/>
    </row>
    <row r="148" spans="1:23" x14ac:dyDescent="0.2">
      <c r="A148" s="104"/>
      <c r="B148" s="105"/>
      <c r="C148" s="106"/>
      <c r="D148" s="107"/>
      <c r="E148" s="107"/>
      <c r="F148" s="108"/>
      <c r="G148" s="109"/>
      <c r="I148" s="104"/>
      <c r="J148" s="105"/>
      <c r="K148" s="106"/>
      <c r="L148" s="107"/>
      <c r="M148" s="107"/>
      <c r="N148" s="108"/>
      <c r="O148" s="109"/>
      <c r="Q148" s="104"/>
      <c r="R148" s="105"/>
      <c r="S148" s="106"/>
      <c r="T148" s="107"/>
      <c r="U148" s="107"/>
      <c r="V148" s="108"/>
      <c r="W148" s="109"/>
    </row>
    <row r="149" spans="1:23" x14ac:dyDescent="0.2">
      <c r="A149" s="104"/>
      <c r="B149" s="105"/>
      <c r="C149" s="106"/>
      <c r="D149" s="107"/>
      <c r="E149" s="107"/>
      <c r="F149" s="108"/>
      <c r="G149" s="109"/>
      <c r="I149" s="104"/>
      <c r="J149" s="105"/>
      <c r="K149" s="106"/>
      <c r="L149" s="107"/>
      <c r="M149" s="107"/>
      <c r="N149" s="108"/>
      <c r="O149" s="109"/>
      <c r="Q149" s="104"/>
      <c r="R149" s="105"/>
      <c r="S149" s="106"/>
      <c r="T149" s="107"/>
      <c r="U149" s="107"/>
      <c r="V149" s="108"/>
      <c r="W149" s="109"/>
    </row>
    <row r="150" spans="1:23" x14ac:dyDescent="0.2">
      <c r="A150" s="104"/>
      <c r="B150" s="105"/>
      <c r="C150" s="106"/>
      <c r="D150" s="107"/>
      <c r="E150" s="107"/>
      <c r="F150" s="108"/>
      <c r="G150" s="109"/>
      <c r="I150" s="104"/>
      <c r="J150" s="105"/>
      <c r="K150" s="106"/>
      <c r="L150" s="107"/>
      <c r="M150" s="107"/>
      <c r="N150" s="108"/>
      <c r="O150" s="109"/>
      <c r="Q150" s="104"/>
      <c r="R150" s="105"/>
      <c r="S150" s="106"/>
      <c r="T150" s="107"/>
      <c r="U150" s="107"/>
      <c r="V150" s="108"/>
      <c r="W150" s="10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X720"/>
  <sheetViews>
    <sheetView workbookViewId="0"/>
  </sheetViews>
  <sheetFormatPr baseColWidth="10" defaultRowHeight="14.25" x14ac:dyDescent="0.2"/>
  <cols>
    <col min="1" max="1" width="11" customWidth="1"/>
    <col min="2" max="2" width="16.75" customWidth="1"/>
    <col min="3" max="3" width="5.875" customWidth="1"/>
    <col min="4" max="4" width="15" customWidth="1"/>
    <col min="5" max="5" width="32.75" customWidth="1"/>
    <col min="6" max="6" width="15" customWidth="1"/>
    <col min="7" max="7" width="5.875" customWidth="1"/>
    <col min="8" max="8" width="15" customWidth="1"/>
    <col min="9" max="9" width="15.375" customWidth="1"/>
    <col min="10" max="10" width="15" customWidth="1"/>
    <col min="11" max="11" width="5.875" customWidth="1"/>
    <col min="13" max="13" width="30.75" customWidth="1"/>
    <col min="14" max="14" width="15" customWidth="1"/>
    <col min="15" max="15" width="5.875" customWidth="1"/>
    <col min="17" max="17" width="17" customWidth="1"/>
    <col min="18" max="18" width="15" customWidth="1"/>
    <col min="19" max="19" width="5.875" customWidth="1"/>
  </cols>
  <sheetData>
    <row r="1" spans="1:24" x14ac:dyDescent="0.2">
      <c r="A1" s="38"/>
      <c r="B1" s="131" t="s">
        <v>89</v>
      </c>
      <c r="C1" s="66" t="s">
        <v>36</v>
      </c>
      <c r="D1" s="38"/>
      <c r="E1" s="38"/>
      <c r="F1" s="131" t="s">
        <v>89</v>
      </c>
      <c r="G1" s="66" t="s">
        <v>36</v>
      </c>
      <c r="H1" s="38"/>
      <c r="I1" s="38"/>
      <c r="J1" s="131" t="s">
        <v>89</v>
      </c>
      <c r="K1" s="66" t="s">
        <v>36</v>
      </c>
      <c r="L1" s="39"/>
      <c r="M1" s="40"/>
      <c r="N1" s="132" t="s">
        <v>89</v>
      </c>
      <c r="O1" s="68" t="s">
        <v>36</v>
      </c>
      <c r="P1" s="39"/>
      <c r="Q1" s="39"/>
      <c r="R1" s="131" t="s">
        <v>89</v>
      </c>
      <c r="S1" s="68" t="s">
        <v>36</v>
      </c>
      <c r="T1" s="39"/>
      <c r="U1" s="38"/>
      <c r="V1" s="39"/>
      <c r="W1" s="38"/>
      <c r="X1" s="38"/>
    </row>
    <row r="2" spans="1:24" x14ac:dyDescent="0.2">
      <c r="A2" s="41" t="s">
        <v>97</v>
      </c>
      <c r="B2" s="133">
        <v>20083992386</v>
      </c>
      <c r="C2" s="67">
        <v>0.99907161106010145</v>
      </c>
      <c r="D2" s="41"/>
      <c r="E2" s="42" t="s">
        <v>142</v>
      </c>
      <c r="F2" s="133">
        <v>18142902770</v>
      </c>
      <c r="G2" s="67">
        <v>0.90251274504395151</v>
      </c>
      <c r="H2" s="52"/>
      <c r="I2" s="41" t="s">
        <v>182</v>
      </c>
      <c r="J2" s="133">
        <v>14084027191</v>
      </c>
      <c r="K2" s="67">
        <v>0.70060531120969372</v>
      </c>
      <c r="L2" s="42"/>
      <c r="M2" s="43" t="s">
        <v>254</v>
      </c>
      <c r="N2" s="134">
        <v>1806056739</v>
      </c>
      <c r="O2" s="69">
        <v>8.9841699858264623E-2</v>
      </c>
      <c r="P2" s="42"/>
      <c r="Q2" s="42" t="s">
        <v>129</v>
      </c>
      <c r="R2" s="134">
        <v>20083992386</v>
      </c>
      <c r="S2" s="67">
        <v>0.99907161106010145</v>
      </c>
      <c r="T2" s="42"/>
      <c r="U2" s="41"/>
      <c r="V2" s="42"/>
      <c r="W2" s="41"/>
      <c r="X2" s="44"/>
    </row>
    <row r="3" spans="1:24" x14ac:dyDescent="0.2">
      <c r="A3" s="41" t="s">
        <v>98</v>
      </c>
      <c r="B3" s="133">
        <v>18663083</v>
      </c>
      <c r="C3" s="67">
        <v>9.2838893989801786E-4</v>
      </c>
      <c r="D3" s="41"/>
      <c r="E3" s="42" t="s">
        <v>165</v>
      </c>
      <c r="F3" s="133">
        <v>1941089616</v>
      </c>
      <c r="G3" s="67">
        <v>9.6558866016150185E-2</v>
      </c>
      <c r="H3" s="52"/>
      <c r="I3" s="41" t="s">
        <v>221</v>
      </c>
      <c r="J3" s="133">
        <v>1471282192</v>
      </c>
      <c r="K3" s="67">
        <v>7.3188449867672548E-2</v>
      </c>
      <c r="L3" s="42"/>
      <c r="M3" s="43" t="s">
        <v>184</v>
      </c>
      <c r="N3" s="134">
        <v>1582933649</v>
      </c>
      <c r="O3" s="69">
        <v>7.8742514959827967E-2</v>
      </c>
      <c r="P3" s="42"/>
      <c r="Q3" s="42" t="s">
        <v>440</v>
      </c>
      <c r="R3" s="134">
        <v>18663083</v>
      </c>
      <c r="S3" s="67">
        <v>9.2838893989801786E-4</v>
      </c>
      <c r="T3" s="42"/>
      <c r="U3" s="41"/>
      <c r="V3" s="42"/>
      <c r="W3" s="41"/>
      <c r="X3" s="41"/>
    </row>
    <row r="4" spans="1:24" x14ac:dyDescent="0.2">
      <c r="A4" s="41"/>
      <c r="B4" s="133"/>
      <c r="C4" s="67"/>
      <c r="D4" s="41"/>
      <c r="E4" s="42" t="s">
        <v>98</v>
      </c>
      <c r="F4" s="133">
        <v>18663083</v>
      </c>
      <c r="G4" s="67">
        <v>9.2838893989801786E-4</v>
      </c>
      <c r="H4" s="52"/>
      <c r="I4" s="41" t="s">
        <v>276</v>
      </c>
      <c r="J4" s="133">
        <v>1251766589</v>
      </c>
      <c r="K4" s="67">
        <v>6.2268718226322406E-2</v>
      </c>
      <c r="L4" s="42"/>
      <c r="M4" s="43" t="s">
        <v>211</v>
      </c>
      <c r="N4" s="134">
        <v>1578202416</v>
      </c>
      <c r="O4" s="69">
        <v>7.8507161326707417E-2</v>
      </c>
      <c r="P4" s="42"/>
      <c r="Q4" s="42"/>
      <c r="R4" s="134"/>
      <c r="S4" s="67"/>
      <c r="T4" s="42"/>
      <c r="U4" s="41"/>
      <c r="V4" s="42"/>
      <c r="W4" s="41"/>
      <c r="X4" s="44"/>
    </row>
    <row r="5" spans="1:24" x14ac:dyDescent="0.2">
      <c r="A5" s="41"/>
      <c r="B5" s="133"/>
      <c r="C5" s="67"/>
      <c r="D5" s="41"/>
      <c r="E5" s="42"/>
      <c r="F5" s="133"/>
      <c r="G5" s="67"/>
      <c r="H5" s="52"/>
      <c r="I5" s="41" t="s">
        <v>258</v>
      </c>
      <c r="J5" s="133">
        <v>1118897764</v>
      </c>
      <c r="K5" s="67">
        <v>5.5659202125084184E-2</v>
      </c>
      <c r="L5" s="42"/>
      <c r="M5" s="43" t="s">
        <v>196</v>
      </c>
      <c r="N5" s="134">
        <v>1555189592</v>
      </c>
      <c r="O5" s="69">
        <v>7.7362395948049473E-2</v>
      </c>
      <c r="P5" s="42"/>
      <c r="Q5" s="42"/>
      <c r="R5" s="134"/>
      <c r="S5" s="67"/>
      <c r="T5" s="42"/>
      <c r="U5" s="41"/>
      <c r="V5" s="42"/>
      <c r="W5" s="41"/>
      <c r="X5" s="41"/>
    </row>
    <row r="6" spans="1:24" x14ac:dyDescent="0.2">
      <c r="A6" s="41"/>
      <c r="B6" s="133"/>
      <c r="C6" s="67"/>
      <c r="D6" s="41"/>
      <c r="E6" s="42"/>
      <c r="F6" s="133"/>
      <c r="G6" s="67"/>
      <c r="H6" s="52"/>
      <c r="I6" s="41" t="s">
        <v>130</v>
      </c>
      <c r="J6" s="133">
        <v>567456129</v>
      </c>
      <c r="K6" s="67">
        <v>2.8227918937130746E-2</v>
      </c>
      <c r="L6" s="42"/>
      <c r="M6" s="43" t="s">
        <v>235</v>
      </c>
      <c r="N6" s="134">
        <v>1483312800</v>
      </c>
      <c r="O6" s="69">
        <v>7.3786908515016542E-2</v>
      </c>
      <c r="P6" s="42"/>
      <c r="Q6" s="42"/>
      <c r="R6" s="134"/>
      <c r="S6" s="67"/>
      <c r="T6" s="42"/>
      <c r="U6" s="41"/>
      <c r="V6" s="42"/>
      <c r="W6" s="41"/>
      <c r="X6" s="44"/>
    </row>
    <row r="7" spans="1:24" x14ac:dyDescent="0.2">
      <c r="A7" s="41"/>
      <c r="B7" s="133"/>
      <c r="C7" s="67"/>
      <c r="D7" s="41"/>
      <c r="E7" s="42"/>
      <c r="F7" s="133"/>
      <c r="G7" s="67"/>
      <c r="H7" s="52"/>
      <c r="I7" s="41" t="s">
        <v>169</v>
      </c>
      <c r="J7" s="133">
        <v>384998642</v>
      </c>
      <c r="K7" s="67">
        <v>1.9151631116282153E-2</v>
      </c>
      <c r="L7" s="42"/>
      <c r="M7" s="43" t="s">
        <v>293</v>
      </c>
      <c r="N7" s="134">
        <v>1329692843</v>
      </c>
      <c r="O7" s="69">
        <v>6.6145134161529007E-2</v>
      </c>
      <c r="P7" s="42"/>
      <c r="Q7" s="42"/>
      <c r="R7" s="134"/>
      <c r="S7" s="67"/>
      <c r="T7" s="42"/>
      <c r="U7" s="41"/>
      <c r="V7" s="42"/>
      <c r="W7" s="41"/>
      <c r="X7" s="41"/>
    </row>
    <row r="8" spans="1:24" x14ac:dyDescent="0.2">
      <c r="A8" s="41"/>
      <c r="B8" s="133"/>
      <c r="C8" s="67"/>
      <c r="D8" s="41"/>
      <c r="E8" s="42"/>
      <c r="F8" s="133"/>
      <c r="G8" s="67"/>
      <c r="H8" s="41"/>
      <c r="I8" s="41" t="s">
        <v>263</v>
      </c>
      <c r="J8" s="133">
        <v>353083518</v>
      </c>
      <c r="K8" s="67">
        <v>1.7564023745245235E-2</v>
      </c>
      <c r="L8" s="42"/>
      <c r="M8" s="43" t="s">
        <v>279</v>
      </c>
      <c r="N8" s="134">
        <v>1177040311</v>
      </c>
      <c r="O8" s="69">
        <v>5.8551484047224309E-2</v>
      </c>
      <c r="P8" s="42"/>
      <c r="Q8" s="42"/>
      <c r="R8" s="134"/>
      <c r="S8" s="67"/>
      <c r="T8" s="42"/>
      <c r="U8" s="41"/>
      <c r="V8" s="42"/>
      <c r="W8" s="41"/>
      <c r="X8" s="44"/>
    </row>
    <row r="9" spans="1:24" x14ac:dyDescent="0.2">
      <c r="A9" s="41"/>
      <c r="B9" s="133"/>
      <c r="C9" s="67"/>
      <c r="D9" s="41"/>
      <c r="E9" s="42"/>
      <c r="F9" s="133"/>
      <c r="G9" s="67"/>
      <c r="H9" s="41"/>
      <c r="I9" s="41" t="s">
        <v>151</v>
      </c>
      <c r="J9" s="133">
        <v>298660875</v>
      </c>
      <c r="K9" s="67">
        <v>1.4856787226969113E-2</v>
      </c>
      <c r="L9" s="42"/>
      <c r="M9" s="43" t="s">
        <v>260</v>
      </c>
      <c r="N9" s="134">
        <v>1118897764</v>
      </c>
      <c r="O9" s="69">
        <v>5.5659202125084184E-2</v>
      </c>
      <c r="P9" s="42"/>
      <c r="Q9" s="42"/>
      <c r="R9" s="134"/>
      <c r="S9" s="67"/>
      <c r="T9" s="42"/>
      <c r="U9" s="41"/>
      <c r="V9" s="42"/>
      <c r="W9" s="41"/>
      <c r="X9" s="41"/>
    </row>
    <row r="10" spans="1:24" x14ac:dyDescent="0.2">
      <c r="A10" s="41"/>
      <c r="B10" s="133"/>
      <c r="C10" s="67"/>
      <c r="D10" s="41"/>
      <c r="E10" s="42"/>
      <c r="F10" s="133"/>
      <c r="G10" s="67"/>
      <c r="H10" s="41"/>
      <c r="I10" s="41" t="s">
        <v>157</v>
      </c>
      <c r="J10" s="133">
        <v>229723618</v>
      </c>
      <c r="K10" s="67">
        <v>1.1427525997958494E-2</v>
      </c>
      <c r="L10" s="42"/>
      <c r="M10" s="43" t="s">
        <v>364</v>
      </c>
      <c r="N10" s="134">
        <v>1087436010</v>
      </c>
      <c r="O10" s="69">
        <v>5.4094147495932492E-2</v>
      </c>
      <c r="P10" s="42"/>
      <c r="Q10" s="42"/>
      <c r="R10" s="134"/>
      <c r="S10" s="67"/>
      <c r="T10" s="42"/>
      <c r="U10" s="41"/>
      <c r="V10" s="42"/>
      <c r="W10" s="41"/>
      <c r="X10" s="44"/>
    </row>
    <row r="11" spans="1:24" x14ac:dyDescent="0.2">
      <c r="A11" s="41"/>
      <c r="B11" s="133"/>
      <c r="C11" s="67"/>
      <c r="D11" s="41"/>
      <c r="E11" s="42"/>
      <c r="F11" s="133"/>
      <c r="G11" s="67"/>
      <c r="H11" s="41"/>
      <c r="I11" s="41" t="s">
        <v>174</v>
      </c>
      <c r="J11" s="133">
        <v>193898527</v>
      </c>
      <c r="K11" s="67">
        <v>9.6454186014881451E-3</v>
      </c>
      <c r="L11" s="42"/>
      <c r="M11" s="43" t="s">
        <v>305</v>
      </c>
      <c r="N11" s="134">
        <v>1054912720</v>
      </c>
      <c r="O11" s="69">
        <v>5.2476287106783724E-2</v>
      </c>
      <c r="P11" s="42"/>
      <c r="Q11" s="42"/>
      <c r="R11" s="134"/>
      <c r="S11" s="67"/>
      <c r="T11" s="42"/>
      <c r="U11" s="41"/>
      <c r="V11" s="42"/>
      <c r="W11" s="41"/>
      <c r="X11" s="41"/>
    </row>
    <row r="12" spans="1:24" x14ac:dyDescent="0.2">
      <c r="A12" s="41"/>
      <c r="B12" s="133"/>
      <c r="C12" s="67"/>
      <c r="D12" s="41"/>
      <c r="E12" s="42"/>
      <c r="F12" s="133"/>
      <c r="G12" s="67"/>
      <c r="H12" s="41"/>
      <c r="I12" s="41" t="s">
        <v>358</v>
      </c>
      <c r="J12" s="133">
        <v>90563407</v>
      </c>
      <c r="K12" s="67">
        <v>4.5050469645493583E-3</v>
      </c>
      <c r="L12" s="42"/>
      <c r="M12" s="43" t="s">
        <v>341</v>
      </c>
      <c r="N12" s="134">
        <v>854664012</v>
      </c>
      <c r="O12" s="69">
        <v>4.251498083514213E-2</v>
      </c>
      <c r="P12" s="42"/>
      <c r="Q12" s="42"/>
      <c r="R12" s="134"/>
      <c r="S12" s="67"/>
      <c r="T12" s="42"/>
      <c r="U12" s="41"/>
      <c r="V12" s="42"/>
      <c r="W12" s="41"/>
      <c r="X12" s="44"/>
    </row>
    <row r="13" spans="1:24" x14ac:dyDescent="0.2">
      <c r="A13" s="41"/>
      <c r="B13" s="133"/>
      <c r="C13" s="67"/>
      <c r="D13" s="41"/>
      <c r="E13" s="42"/>
      <c r="F13" s="133"/>
      <c r="G13" s="67"/>
      <c r="H13" s="41"/>
      <c r="I13" s="41" t="s">
        <v>320</v>
      </c>
      <c r="J13" s="133">
        <v>30889024</v>
      </c>
      <c r="K13" s="67">
        <v>1.5365643632321857E-3</v>
      </c>
      <c r="L13" s="42"/>
      <c r="M13" s="43" t="s">
        <v>223</v>
      </c>
      <c r="N13" s="134">
        <v>780659582</v>
      </c>
      <c r="O13" s="69">
        <v>3.8833654747943293E-2</v>
      </c>
      <c r="P13" s="42"/>
      <c r="Q13" s="42"/>
      <c r="R13" s="134"/>
      <c r="S13" s="67"/>
      <c r="T13" s="42"/>
      <c r="U13" s="41"/>
      <c r="V13" s="42"/>
      <c r="W13" s="41"/>
      <c r="X13" s="41"/>
    </row>
    <row r="14" spans="1:24" x14ac:dyDescent="0.2">
      <c r="A14" s="41"/>
      <c r="B14" s="133"/>
      <c r="C14" s="67"/>
      <c r="D14" s="41"/>
      <c r="E14" s="42"/>
      <c r="F14" s="133"/>
      <c r="G14" s="67"/>
      <c r="H14" s="41"/>
      <c r="I14" s="41" t="s">
        <v>146</v>
      </c>
      <c r="J14" s="133">
        <v>27407993</v>
      </c>
      <c r="K14" s="67">
        <v>1.3634016183715356E-3</v>
      </c>
      <c r="L14" s="42"/>
      <c r="M14" s="43" t="s">
        <v>326</v>
      </c>
      <c r="N14" s="134">
        <v>659358277</v>
      </c>
      <c r="O14" s="69">
        <v>3.2799561133442616E-2</v>
      </c>
      <c r="P14" s="42"/>
      <c r="Q14" s="42"/>
      <c r="R14" s="134"/>
      <c r="S14" s="67"/>
      <c r="T14" s="42"/>
      <c r="U14" s="41"/>
      <c r="V14" s="42"/>
      <c r="W14" s="41"/>
      <c r="X14" s="44"/>
    </row>
    <row r="15" spans="1:24" x14ac:dyDescent="0.2">
      <c r="A15" s="41"/>
      <c r="B15" s="133"/>
      <c r="C15" s="67"/>
      <c r="D15" s="41"/>
      <c r="E15" s="42"/>
      <c r="F15" s="133"/>
      <c r="G15" s="67"/>
      <c r="H15" s="41"/>
      <c r="I15" s="41"/>
      <c r="J15" s="133"/>
      <c r="K15" s="67"/>
      <c r="L15" s="42"/>
      <c r="M15" s="43" t="s">
        <v>204</v>
      </c>
      <c r="N15" s="134">
        <v>573024482</v>
      </c>
      <c r="O15" s="69">
        <v>2.8504914829966237E-2</v>
      </c>
      <c r="P15" s="42"/>
      <c r="Q15" s="42"/>
      <c r="R15" s="134"/>
      <c r="S15" s="67"/>
      <c r="T15" s="42"/>
      <c r="U15" s="41"/>
      <c r="V15" s="42"/>
      <c r="W15" s="41"/>
      <c r="X15" s="41"/>
    </row>
    <row r="16" spans="1:24" x14ac:dyDescent="0.2">
      <c r="A16" s="41"/>
      <c r="B16" s="133"/>
      <c r="C16" s="67"/>
      <c r="D16" s="41"/>
      <c r="E16" s="42"/>
      <c r="F16" s="133"/>
      <c r="G16" s="67"/>
      <c r="H16" s="41"/>
      <c r="I16" s="41"/>
      <c r="J16" s="133"/>
      <c r="K16" s="67"/>
      <c r="L16" s="42"/>
      <c r="M16" s="43" t="s">
        <v>289</v>
      </c>
      <c r="N16" s="134">
        <v>500688251</v>
      </c>
      <c r="O16" s="69">
        <v>2.490657275463452E-2</v>
      </c>
      <c r="P16" s="42"/>
      <c r="Q16" s="42"/>
      <c r="R16" s="134"/>
      <c r="S16" s="67"/>
      <c r="T16" s="42"/>
      <c r="U16" s="41"/>
      <c r="V16" s="42"/>
      <c r="W16" s="41"/>
      <c r="X16" s="44"/>
    </row>
    <row r="17" spans="1:24" x14ac:dyDescent="0.2">
      <c r="A17" s="41"/>
      <c r="B17" s="133"/>
      <c r="C17" s="67"/>
      <c r="D17" s="41"/>
      <c r="E17" s="42"/>
      <c r="F17" s="133"/>
      <c r="G17" s="67"/>
      <c r="H17" s="41"/>
      <c r="I17" s="41"/>
      <c r="J17" s="133"/>
      <c r="K17" s="67"/>
      <c r="L17" s="42"/>
      <c r="M17" s="43" t="s">
        <v>247</v>
      </c>
      <c r="N17" s="134">
        <v>438291946</v>
      </c>
      <c r="O17" s="69">
        <v>2.1802689036574462E-2</v>
      </c>
      <c r="P17" s="42"/>
      <c r="Q17" s="42"/>
      <c r="R17" s="134"/>
      <c r="S17" s="67"/>
      <c r="T17" s="42"/>
      <c r="U17" s="41"/>
      <c r="V17" s="42"/>
      <c r="W17" s="41"/>
      <c r="X17" s="41"/>
    </row>
    <row r="18" spans="1:24" x14ac:dyDescent="0.2">
      <c r="A18" s="41"/>
      <c r="B18" s="133"/>
      <c r="C18" s="67"/>
      <c r="D18" s="41"/>
      <c r="E18" s="42"/>
      <c r="F18" s="133"/>
      <c r="G18" s="67"/>
      <c r="H18" s="41"/>
      <c r="I18" s="41"/>
      <c r="J18" s="133"/>
      <c r="K18" s="67"/>
      <c r="L18" s="42"/>
      <c r="M18" s="43" t="s">
        <v>244</v>
      </c>
      <c r="N18" s="134">
        <v>397624248</v>
      </c>
      <c r="O18" s="69">
        <v>1.9779687743898825E-2</v>
      </c>
      <c r="P18" s="42"/>
      <c r="Q18" s="42"/>
      <c r="R18" s="134"/>
      <c r="S18" s="67"/>
      <c r="T18" s="42"/>
      <c r="U18" s="41"/>
      <c r="V18" s="42"/>
      <c r="W18" s="41"/>
      <c r="X18" s="44"/>
    </row>
    <row r="19" spans="1:24" x14ac:dyDescent="0.2">
      <c r="A19" s="41"/>
      <c r="B19" s="133"/>
      <c r="C19" s="67"/>
      <c r="D19" s="41"/>
      <c r="E19" s="42"/>
      <c r="F19" s="133"/>
      <c r="G19" s="67"/>
      <c r="H19" s="41"/>
      <c r="I19" s="41"/>
      <c r="J19" s="133"/>
      <c r="K19" s="67"/>
      <c r="L19" s="42"/>
      <c r="M19" s="43" t="s">
        <v>332</v>
      </c>
      <c r="N19" s="134">
        <v>322354245</v>
      </c>
      <c r="O19" s="69">
        <v>1.6035406143088786E-2</v>
      </c>
      <c r="P19" s="42"/>
      <c r="Q19" s="42"/>
      <c r="R19" s="134"/>
      <c r="S19" s="67"/>
      <c r="T19" s="42"/>
      <c r="U19" s="41"/>
      <c r="V19" s="42"/>
      <c r="W19" s="41"/>
      <c r="X19" s="41"/>
    </row>
    <row r="20" spans="1:24" x14ac:dyDescent="0.2">
      <c r="A20" s="41"/>
      <c r="B20" s="133"/>
      <c r="C20" s="67"/>
      <c r="D20" s="41"/>
      <c r="E20" s="42"/>
      <c r="F20" s="133"/>
      <c r="G20" s="67"/>
      <c r="H20" s="41"/>
      <c r="I20" s="41"/>
      <c r="J20" s="133"/>
      <c r="K20" s="67"/>
      <c r="L20" s="42"/>
      <c r="M20" s="43" t="s">
        <v>153</v>
      </c>
      <c r="N20" s="134">
        <v>298660875</v>
      </c>
      <c r="O20" s="69">
        <v>1.4856787226969113E-2</v>
      </c>
      <c r="P20" s="42"/>
      <c r="Q20" s="42"/>
      <c r="R20" s="134"/>
      <c r="S20" s="67"/>
      <c r="T20" s="42"/>
      <c r="U20" s="41"/>
      <c r="V20" s="42"/>
      <c r="W20" s="41"/>
      <c r="X20" s="44"/>
    </row>
    <row r="21" spans="1:24" x14ac:dyDescent="0.2">
      <c r="A21" s="41"/>
      <c r="B21" s="133"/>
      <c r="C21" s="67"/>
      <c r="D21" s="41"/>
      <c r="E21" s="42"/>
      <c r="F21" s="133"/>
      <c r="G21" s="67"/>
      <c r="H21" s="41"/>
      <c r="I21" s="41"/>
      <c r="J21" s="133"/>
      <c r="K21" s="67"/>
      <c r="L21" s="42"/>
      <c r="M21" s="43" t="s">
        <v>176</v>
      </c>
      <c r="N21" s="134">
        <v>193898527</v>
      </c>
      <c r="O21" s="69">
        <v>9.6454186014881451E-3</v>
      </c>
      <c r="P21" s="42"/>
      <c r="Q21" s="42"/>
      <c r="R21" s="134"/>
      <c r="S21" s="67"/>
      <c r="T21" s="42"/>
      <c r="U21" s="41"/>
      <c r="V21" s="42"/>
      <c r="W21" s="41"/>
      <c r="X21" s="41"/>
    </row>
    <row r="22" spans="1:24" x14ac:dyDescent="0.2">
      <c r="A22" s="41"/>
      <c r="B22" s="133"/>
      <c r="C22" s="67"/>
      <c r="D22" s="41"/>
      <c r="E22" s="42"/>
      <c r="F22" s="133"/>
      <c r="G22" s="67"/>
      <c r="H22" s="41"/>
      <c r="I22" s="41"/>
      <c r="J22" s="133"/>
      <c r="K22" s="67"/>
      <c r="L22" s="42"/>
      <c r="M22" s="43" t="s">
        <v>159</v>
      </c>
      <c r="N22" s="134">
        <v>187525776</v>
      </c>
      <c r="O22" s="69">
        <v>9.3284081940906097E-3</v>
      </c>
      <c r="P22" s="42"/>
      <c r="Q22" s="42"/>
      <c r="R22" s="134"/>
      <c r="S22" s="67"/>
      <c r="T22" s="42"/>
      <c r="U22" s="41"/>
      <c r="V22" s="42"/>
      <c r="W22" s="41"/>
      <c r="X22" s="44"/>
    </row>
    <row r="23" spans="1:24" x14ac:dyDescent="0.2">
      <c r="A23" s="41"/>
      <c r="B23" s="133"/>
      <c r="C23" s="67"/>
      <c r="D23" s="41"/>
      <c r="E23" s="42"/>
      <c r="F23" s="133"/>
      <c r="G23" s="67"/>
      <c r="H23" s="41"/>
      <c r="I23" s="41"/>
      <c r="J23" s="133"/>
      <c r="K23" s="67"/>
      <c r="L23" s="42"/>
      <c r="M23" s="43" t="s">
        <v>265</v>
      </c>
      <c r="N23" s="134">
        <v>187520430</v>
      </c>
      <c r="O23" s="69">
        <v>9.3281422590747974E-3</v>
      </c>
      <c r="P23" s="42"/>
      <c r="Q23" s="42"/>
      <c r="R23" s="134"/>
      <c r="S23" s="67"/>
      <c r="T23" s="42"/>
      <c r="U23" s="41"/>
      <c r="V23" s="42"/>
      <c r="W23" s="41"/>
      <c r="X23" s="41"/>
    </row>
    <row r="24" spans="1:24" x14ac:dyDescent="0.2">
      <c r="A24" s="41"/>
      <c r="B24" s="133"/>
      <c r="C24" s="67"/>
      <c r="D24" s="41"/>
      <c r="E24" s="42"/>
      <c r="F24" s="133"/>
      <c r="G24" s="67"/>
      <c r="H24" s="41"/>
      <c r="I24" s="41"/>
      <c r="J24" s="133"/>
      <c r="K24" s="67"/>
      <c r="L24" s="42"/>
      <c r="M24" s="43" t="s">
        <v>227</v>
      </c>
      <c r="N24" s="134">
        <v>175619026</v>
      </c>
      <c r="O24" s="69">
        <v>8.7361108223149644E-3</v>
      </c>
      <c r="P24" s="42"/>
      <c r="Q24" s="42"/>
      <c r="R24" s="134"/>
      <c r="S24" s="67"/>
      <c r="T24" s="42"/>
      <c r="U24" s="41"/>
      <c r="V24" s="42"/>
      <c r="W24" s="41"/>
      <c r="X24" s="44"/>
    </row>
    <row r="25" spans="1:24" x14ac:dyDescent="0.2">
      <c r="A25" s="41"/>
      <c r="B25" s="133"/>
      <c r="C25" s="67"/>
      <c r="D25" s="41"/>
      <c r="E25" s="42"/>
      <c r="F25" s="133"/>
      <c r="G25" s="67"/>
      <c r="H25" s="41"/>
      <c r="I25" s="41"/>
      <c r="J25" s="133"/>
      <c r="K25" s="67"/>
      <c r="L25" s="42"/>
      <c r="M25" s="43" t="s">
        <v>378</v>
      </c>
      <c r="N25" s="134">
        <v>165563088</v>
      </c>
      <c r="O25" s="69">
        <v>8.2358814861704377E-3</v>
      </c>
      <c r="P25" s="42"/>
      <c r="Q25" s="42"/>
      <c r="R25" s="134"/>
      <c r="S25" s="67"/>
      <c r="T25" s="42"/>
      <c r="U25" s="41"/>
      <c r="V25" s="42"/>
      <c r="W25" s="41"/>
      <c r="X25" s="41"/>
    </row>
    <row r="26" spans="1:24" x14ac:dyDescent="0.2">
      <c r="A26" s="41"/>
      <c r="B26" s="133"/>
      <c r="C26" s="67"/>
      <c r="D26" s="41"/>
      <c r="E26" s="42"/>
      <c r="F26" s="133"/>
      <c r="G26" s="67"/>
      <c r="H26" s="41"/>
      <c r="I26" s="41"/>
      <c r="J26" s="133"/>
      <c r="K26" s="67"/>
      <c r="L26" s="42"/>
      <c r="M26" s="43" t="s">
        <v>200</v>
      </c>
      <c r="N26" s="134">
        <v>121430835</v>
      </c>
      <c r="O26" s="69">
        <v>6.0405370418478615E-3</v>
      </c>
      <c r="P26" s="42"/>
      <c r="Q26" s="42"/>
      <c r="R26" s="134"/>
      <c r="S26" s="67"/>
      <c r="T26" s="42"/>
      <c r="U26" s="41"/>
      <c r="V26" s="42"/>
      <c r="W26" s="41"/>
      <c r="X26" s="44"/>
    </row>
    <row r="27" spans="1:24" x14ac:dyDescent="0.2">
      <c r="A27" s="41"/>
      <c r="B27" s="133"/>
      <c r="C27" s="67"/>
      <c r="D27" s="41"/>
      <c r="E27" s="42"/>
      <c r="F27" s="133"/>
      <c r="G27" s="67"/>
      <c r="H27" s="41"/>
      <c r="I27" s="41"/>
      <c r="J27" s="133"/>
      <c r="K27" s="67"/>
      <c r="L27" s="42"/>
      <c r="M27" s="43" t="s">
        <v>360</v>
      </c>
      <c r="N27" s="134">
        <v>90563407</v>
      </c>
      <c r="O27" s="69">
        <v>4.5050469645493583E-3</v>
      </c>
      <c r="P27" s="42"/>
      <c r="Q27" s="42"/>
      <c r="R27" s="134"/>
      <c r="S27" s="67"/>
      <c r="T27" s="42"/>
      <c r="U27" s="41"/>
      <c r="V27" s="42"/>
      <c r="W27" s="41"/>
      <c r="X27" s="41"/>
    </row>
    <row r="28" spans="1:24" x14ac:dyDescent="0.2">
      <c r="A28" s="41"/>
      <c r="B28" s="133"/>
      <c r="C28" s="67"/>
      <c r="D28" s="41"/>
      <c r="E28" s="42"/>
      <c r="F28" s="133"/>
      <c r="G28" s="67"/>
      <c r="H28" s="41"/>
      <c r="I28" s="41"/>
      <c r="J28" s="133"/>
      <c r="K28" s="67"/>
      <c r="L28" s="42"/>
      <c r="M28" s="43" t="s">
        <v>171</v>
      </c>
      <c r="N28" s="134">
        <v>62644397</v>
      </c>
      <c r="O28" s="69">
        <v>3.1162249731933661E-3</v>
      </c>
      <c r="P28" s="42"/>
      <c r="Q28" s="42"/>
      <c r="R28" s="134"/>
      <c r="S28" s="67"/>
      <c r="T28" s="42"/>
      <c r="U28" s="41"/>
      <c r="V28" s="42"/>
      <c r="W28" s="41"/>
      <c r="X28" s="44"/>
    </row>
    <row r="29" spans="1:24" x14ac:dyDescent="0.2">
      <c r="A29" s="41"/>
      <c r="B29" s="133"/>
      <c r="C29" s="67"/>
      <c r="D29" s="41"/>
      <c r="E29" s="42"/>
      <c r="F29" s="133"/>
      <c r="G29" s="67"/>
      <c r="H29" s="41"/>
      <c r="I29" s="41"/>
      <c r="J29" s="133"/>
      <c r="K29" s="67"/>
      <c r="L29" s="42"/>
      <c r="M29" s="43" t="s">
        <v>273</v>
      </c>
      <c r="N29" s="134">
        <v>42197842</v>
      </c>
      <c r="O29" s="69">
        <v>2.0991178038678848E-3</v>
      </c>
      <c r="P29" s="42"/>
      <c r="Q29" s="42"/>
      <c r="R29" s="134"/>
      <c r="S29" s="67"/>
      <c r="T29" s="42"/>
      <c r="U29" s="41"/>
      <c r="V29" s="42"/>
      <c r="W29" s="41"/>
      <c r="X29" s="41"/>
    </row>
    <row r="30" spans="1:24" x14ac:dyDescent="0.2">
      <c r="A30" s="41"/>
      <c r="B30" s="133"/>
      <c r="C30" s="67"/>
      <c r="D30" s="41"/>
      <c r="E30" s="42"/>
      <c r="F30" s="133"/>
      <c r="G30" s="67"/>
      <c r="H30" s="41"/>
      <c r="I30" s="41"/>
      <c r="J30" s="133"/>
      <c r="K30" s="67"/>
      <c r="L30" s="42"/>
      <c r="M30" s="43" t="s">
        <v>300</v>
      </c>
      <c r="N30" s="134">
        <v>31642575</v>
      </c>
      <c r="O30" s="69">
        <v>1.5740495104637064E-3</v>
      </c>
      <c r="P30" s="42"/>
      <c r="Q30" s="42"/>
      <c r="R30" s="134"/>
      <c r="S30" s="67"/>
      <c r="T30" s="42"/>
      <c r="U30" s="41"/>
      <c r="V30" s="42"/>
      <c r="W30" s="41"/>
      <c r="X30" s="44"/>
    </row>
    <row r="31" spans="1:24" x14ac:dyDescent="0.2">
      <c r="A31" s="41"/>
      <c r="B31" s="133"/>
      <c r="C31" s="67"/>
      <c r="D31" s="41"/>
      <c r="E31" s="42"/>
      <c r="F31" s="133"/>
      <c r="G31" s="67"/>
      <c r="H31" s="41"/>
      <c r="I31" s="41"/>
      <c r="J31" s="133"/>
      <c r="K31" s="67"/>
      <c r="L31" s="42"/>
      <c r="M31" s="43" t="s">
        <v>285</v>
      </c>
      <c r="N31" s="134">
        <v>30897795</v>
      </c>
      <c r="O31" s="69">
        <v>1.5370006737491482E-3</v>
      </c>
      <c r="P31" s="42"/>
      <c r="Q31" s="42"/>
      <c r="R31" s="134"/>
      <c r="S31" s="67"/>
      <c r="T31" s="42"/>
      <c r="U31" s="41"/>
      <c r="V31" s="42"/>
      <c r="W31" s="41"/>
      <c r="X31" s="41"/>
    </row>
    <row r="32" spans="1:24" x14ac:dyDescent="0.2">
      <c r="A32" s="41"/>
      <c r="B32" s="133"/>
      <c r="C32" s="67"/>
      <c r="D32" s="41"/>
      <c r="E32" s="42"/>
      <c r="F32" s="133"/>
      <c r="G32" s="67"/>
      <c r="H32" s="41"/>
      <c r="I32" s="41"/>
      <c r="J32" s="133"/>
      <c r="K32" s="67"/>
      <c r="L32" s="42"/>
      <c r="M32" s="43" t="s">
        <v>322</v>
      </c>
      <c r="N32" s="134">
        <v>30889024</v>
      </c>
      <c r="O32" s="69">
        <v>1.5365643632321857E-3</v>
      </c>
      <c r="P32" s="42"/>
      <c r="Q32" s="42"/>
      <c r="R32" s="134"/>
      <c r="S32" s="67"/>
      <c r="T32" s="42"/>
      <c r="U32" s="41"/>
      <c r="V32" s="42"/>
      <c r="W32" s="41"/>
      <c r="X32" s="44"/>
    </row>
    <row r="33" spans="1:24" x14ac:dyDescent="0.2">
      <c r="A33" s="41"/>
      <c r="B33" s="133"/>
      <c r="C33" s="67"/>
      <c r="D33" s="41"/>
      <c r="E33" s="42"/>
      <c r="F33" s="133"/>
      <c r="G33" s="67"/>
      <c r="H33" s="41"/>
      <c r="I33" s="41"/>
      <c r="J33" s="133"/>
      <c r="K33" s="67"/>
      <c r="L33" s="42"/>
      <c r="M33" s="43" t="s">
        <v>355</v>
      </c>
      <c r="N33" s="134">
        <v>30086286</v>
      </c>
      <c r="O33" s="69">
        <v>1.4966324248254469E-3</v>
      </c>
      <c r="P33" s="42"/>
      <c r="Q33" s="42"/>
      <c r="R33" s="134"/>
      <c r="S33" s="67"/>
      <c r="T33" s="42"/>
      <c r="U33" s="41"/>
      <c r="V33" s="42"/>
      <c r="W33" s="41"/>
      <c r="X33" s="41"/>
    </row>
    <row r="34" spans="1:24" x14ac:dyDescent="0.2">
      <c r="A34" s="41"/>
      <c r="B34" s="133"/>
      <c r="C34" s="67"/>
      <c r="D34" s="41"/>
      <c r="E34" s="42"/>
      <c r="F34" s="133"/>
      <c r="G34" s="67"/>
      <c r="H34" s="41"/>
      <c r="I34" s="41"/>
      <c r="J34" s="133"/>
      <c r="K34" s="67"/>
      <c r="L34" s="42"/>
      <c r="M34" s="43" t="s">
        <v>148</v>
      </c>
      <c r="N34" s="134">
        <v>27407993</v>
      </c>
      <c r="O34" s="69">
        <v>1.3634016183715356E-3</v>
      </c>
      <c r="P34" s="42"/>
      <c r="Q34" s="42"/>
      <c r="R34" s="134"/>
      <c r="S34" s="67"/>
      <c r="T34" s="42"/>
      <c r="U34" s="41"/>
      <c r="V34" s="42"/>
      <c r="W34" s="41"/>
      <c r="X34" s="44"/>
    </row>
    <row r="35" spans="1:24" x14ac:dyDescent="0.2">
      <c r="A35" s="41"/>
      <c r="B35" s="133"/>
      <c r="C35" s="67"/>
      <c r="D35" s="41"/>
      <c r="E35" s="42"/>
      <c r="F35" s="133"/>
      <c r="G35" s="67"/>
      <c r="H35" s="41"/>
      <c r="I35" s="41"/>
      <c r="J35" s="133"/>
      <c r="K35" s="67"/>
      <c r="L35" s="42"/>
      <c r="M35" s="43" t="s">
        <v>231</v>
      </c>
      <c r="N35" s="134">
        <v>26972790</v>
      </c>
      <c r="O35" s="69">
        <v>1.341752587940152E-3</v>
      </c>
      <c r="P35" s="42"/>
      <c r="Q35" s="42"/>
      <c r="R35" s="134"/>
      <c r="S35" s="67"/>
      <c r="T35" s="42"/>
      <c r="U35" s="41"/>
      <c r="V35" s="42"/>
      <c r="W35" s="41"/>
      <c r="X35" s="41"/>
    </row>
    <row r="36" spans="1:24" x14ac:dyDescent="0.2">
      <c r="A36" s="41"/>
      <c r="B36" s="133"/>
      <c r="C36" s="67"/>
      <c r="D36" s="41"/>
      <c r="E36" s="42"/>
      <c r="F36" s="133"/>
      <c r="G36" s="67"/>
      <c r="H36" s="41"/>
      <c r="I36" s="41"/>
      <c r="J36" s="133"/>
      <c r="K36" s="67"/>
      <c r="L36" s="42"/>
      <c r="M36" s="43" t="s">
        <v>337</v>
      </c>
      <c r="N36" s="134">
        <v>20173855</v>
      </c>
      <c r="O36" s="69">
        <v>1.0035417973068184E-3</v>
      </c>
      <c r="P36" s="42"/>
      <c r="Q36" s="42"/>
      <c r="R36" s="134"/>
      <c r="S36" s="67"/>
      <c r="T36" s="42"/>
      <c r="U36" s="41"/>
      <c r="V36" s="42"/>
      <c r="W36" s="41"/>
      <c r="X36" s="44"/>
    </row>
    <row r="37" spans="1:24" x14ac:dyDescent="0.2">
      <c r="A37" s="41"/>
      <c r="B37" s="133"/>
      <c r="C37" s="67"/>
      <c r="D37" s="41"/>
      <c r="E37" s="42"/>
      <c r="F37" s="133"/>
      <c r="G37" s="67"/>
      <c r="H37" s="41"/>
      <c r="I37" s="41"/>
      <c r="J37" s="133"/>
      <c r="K37" s="67"/>
      <c r="L37" s="42"/>
      <c r="M37" s="43" t="s">
        <v>442</v>
      </c>
      <c r="N37" s="134">
        <v>18663083</v>
      </c>
      <c r="O37" s="69">
        <v>9.2838893989801786E-4</v>
      </c>
      <c r="P37" s="42"/>
      <c r="Q37" s="42"/>
      <c r="R37" s="134"/>
      <c r="S37" s="67"/>
      <c r="T37" s="42"/>
      <c r="U37" s="41"/>
      <c r="V37" s="42"/>
      <c r="W37" s="41"/>
      <c r="X37" s="41"/>
    </row>
    <row r="38" spans="1:24" x14ac:dyDescent="0.2">
      <c r="A38" s="41"/>
      <c r="B38" s="133"/>
      <c r="C38" s="67"/>
      <c r="D38" s="41"/>
      <c r="E38" s="42"/>
      <c r="F38" s="133"/>
      <c r="G38" s="67"/>
      <c r="H38" s="41"/>
      <c r="I38" s="41"/>
      <c r="J38" s="133"/>
      <c r="K38" s="67"/>
      <c r="L38" s="42"/>
      <c r="M38" s="43" t="s">
        <v>269</v>
      </c>
      <c r="N38" s="134">
        <v>17917845</v>
      </c>
      <c r="O38" s="69">
        <v>8.9131732012374368E-4</v>
      </c>
      <c r="P38" s="42"/>
      <c r="Q38" s="42"/>
      <c r="R38" s="134"/>
      <c r="S38" s="67"/>
      <c r="T38" s="42"/>
      <c r="U38" s="41"/>
      <c r="V38" s="42"/>
      <c r="W38" s="41"/>
      <c r="X38" s="44"/>
    </row>
    <row r="39" spans="1:24" x14ac:dyDescent="0.2">
      <c r="A39" s="41"/>
      <c r="B39" s="133"/>
      <c r="C39" s="67"/>
      <c r="D39" s="41"/>
      <c r="E39" s="42"/>
      <c r="F39" s="133"/>
      <c r="G39" s="67"/>
      <c r="H39" s="41"/>
      <c r="I39" s="41"/>
      <c r="J39" s="133"/>
      <c r="K39" s="67"/>
      <c r="L39" s="42"/>
      <c r="M39" s="43" t="s">
        <v>132</v>
      </c>
      <c r="N39" s="134">
        <v>14951448</v>
      </c>
      <c r="O39" s="69">
        <v>7.4375487472569987E-4</v>
      </c>
      <c r="P39" s="42"/>
      <c r="Q39" s="42"/>
      <c r="R39" s="134"/>
      <c r="S39" s="67"/>
      <c r="T39" s="42"/>
      <c r="U39" s="41"/>
      <c r="V39" s="42"/>
      <c r="W39" s="41"/>
      <c r="X39" s="41"/>
    </row>
    <row r="40" spans="1:24" x14ac:dyDescent="0.2">
      <c r="A40" s="41"/>
      <c r="B40" s="133"/>
      <c r="C40" s="67"/>
      <c r="D40" s="41"/>
      <c r="E40" s="42"/>
      <c r="F40" s="133"/>
      <c r="G40" s="67"/>
      <c r="H40" s="41"/>
      <c r="I40" s="41"/>
      <c r="J40" s="133"/>
      <c r="K40" s="67"/>
      <c r="L40" s="42"/>
      <c r="M40" s="43" t="s">
        <v>275</v>
      </c>
      <c r="N40" s="134">
        <v>13742197</v>
      </c>
      <c r="O40" s="69">
        <v>6.8360108052349764E-4</v>
      </c>
      <c r="P40" s="42"/>
      <c r="Q40" s="42"/>
      <c r="R40" s="134"/>
      <c r="S40" s="67"/>
      <c r="T40" s="42"/>
      <c r="U40" s="41"/>
      <c r="V40" s="42"/>
      <c r="W40" s="41"/>
      <c r="X40" s="44"/>
    </row>
    <row r="41" spans="1:24" x14ac:dyDescent="0.2">
      <c r="A41" s="41"/>
      <c r="B41" s="133"/>
      <c r="C41" s="67"/>
      <c r="D41" s="41"/>
      <c r="E41" s="42"/>
      <c r="F41" s="133"/>
      <c r="G41" s="67"/>
      <c r="H41" s="41"/>
      <c r="I41" s="41"/>
      <c r="J41" s="133"/>
      <c r="K41" s="67"/>
      <c r="L41" s="42"/>
      <c r="M41" s="43" t="s">
        <v>351</v>
      </c>
      <c r="N41" s="134">
        <v>13346488</v>
      </c>
      <c r="O41" s="69">
        <v>6.6391666616290649E-4</v>
      </c>
      <c r="P41" s="42"/>
      <c r="Q41" s="42"/>
      <c r="R41" s="134"/>
      <c r="S41" s="67"/>
      <c r="T41" s="42"/>
      <c r="U41" s="41"/>
      <c r="V41" s="42"/>
      <c r="W41" s="41"/>
      <c r="X41" s="41"/>
    </row>
    <row r="42" spans="1:24" x14ac:dyDescent="0.2">
      <c r="A42" s="41"/>
      <c r="B42" s="133"/>
      <c r="C42" s="67"/>
      <c r="D42" s="41"/>
      <c r="E42" s="42"/>
      <c r="F42" s="133"/>
      <c r="G42" s="67"/>
      <c r="H42" s="41"/>
      <c r="I42" s="41"/>
      <c r="J42" s="133"/>
      <c r="K42" s="67"/>
      <c r="L42" s="42"/>
      <c r="M42" s="43"/>
      <c r="N42" s="134"/>
      <c r="O42" s="69"/>
      <c r="P42" s="42"/>
      <c r="Q42" s="42"/>
      <c r="R42" s="134"/>
      <c r="S42" s="67"/>
      <c r="T42" s="42"/>
      <c r="U42" s="41"/>
      <c r="V42" s="42"/>
      <c r="W42" s="41"/>
      <c r="X42" s="44"/>
    </row>
    <row r="43" spans="1:24" x14ac:dyDescent="0.2">
      <c r="A43" s="41"/>
      <c r="B43" s="133"/>
      <c r="C43" s="67"/>
      <c r="D43" s="41"/>
      <c r="E43" s="42"/>
      <c r="F43" s="133"/>
      <c r="G43" s="67"/>
      <c r="H43" s="41"/>
      <c r="I43" s="41"/>
      <c r="J43" s="133"/>
      <c r="K43" s="67"/>
      <c r="L43" s="42"/>
      <c r="M43" s="43"/>
      <c r="N43" s="134"/>
      <c r="O43" s="69"/>
      <c r="P43" s="42"/>
      <c r="Q43" s="42"/>
      <c r="R43" s="134"/>
      <c r="S43" s="67"/>
      <c r="T43" s="42"/>
      <c r="U43" s="41"/>
      <c r="V43" s="42"/>
      <c r="W43" s="41"/>
      <c r="X43" s="41"/>
    </row>
    <row r="44" spans="1:24" x14ac:dyDescent="0.2">
      <c r="A44" s="41"/>
      <c r="B44" s="133"/>
      <c r="C44" s="67"/>
      <c r="D44" s="41"/>
      <c r="E44" s="42"/>
      <c r="F44" s="133"/>
      <c r="G44" s="67"/>
      <c r="H44" s="41"/>
      <c r="I44" s="41"/>
      <c r="J44" s="133"/>
      <c r="K44" s="67"/>
      <c r="L44" s="42"/>
      <c r="M44" s="43"/>
      <c r="N44" s="134"/>
      <c r="O44" s="69"/>
      <c r="P44" s="42"/>
      <c r="Q44" s="42"/>
      <c r="R44" s="134"/>
      <c r="S44" s="67"/>
      <c r="T44" s="42"/>
      <c r="U44" s="41"/>
      <c r="V44" s="42"/>
      <c r="W44" s="41"/>
      <c r="X44" s="44"/>
    </row>
    <row r="45" spans="1:24" x14ac:dyDescent="0.2">
      <c r="A45" s="41"/>
      <c r="B45" s="133"/>
      <c r="C45" s="67"/>
      <c r="D45" s="41"/>
      <c r="E45" s="42"/>
      <c r="F45" s="133"/>
      <c r="G45" s="67"/>
      <c r="H45" s="41"/>
      <c r="I45" s="41"/>
      <c r="J45" s="133"/>
      <c r="K45" s="67"/>
      <c r="L45" s="42"/>
      <c r="M45" s="43"/>
      <c r="N45" s="134"/>
      <c r="O45" s="69"/>
      <c r="P45" s="42"/>
      <c r="Q45" s="42"/>
      <c r="R45" s="134"/>
      <c r="S45" s="67"/>
      <c r="T45" s="42"/>
      <c r="U45" s="41"/>
      <c r="V45" s="42"/>
      <c r="W45" s="41"/>
      <c r="X45" s="41"/>
    </row>
    <row r="46" spans="1:24" x14ac:dyDescent="0.2">
      <c r="A46" s="41"/>
      <c r="B46" s="133"/>
      <c r="C46" s="67"/>
      <c r="D46" s="41"/>
      <c r="E46" s="42"/>
      <c r="F46" s="133"/>
      <c r="G46" s="67"/>
      <c r="H46" s="41"/>
      <c r="I46" s="41"/>
      <c r="J46" s="133"/>
      <c r="K46" s="67"/>
      <c r="L46" s="42"/>
      <c r="M46" s="43"/>
      <c r="N46" s="134"/>
      <c r="O46" s="69"/>
      <c r="P46" s="42"/>
      <c r="Q46" s="42"/>
      <c r="R46" s="134"/>
      <c r="S46" s="67"/>
      <c r="T46" s="42"/>
      <c r="U46" s="41"/>
      <c r="V46" s="42"/>
      <c r="W46" s="41"/>
      <c r="X46" s="44"/>
    </row>
    <row r="47" spans="1:24" x14ac:dyDescent="0.2">
      <c r="A47" s="41"/>
      <c r="B47" s="133"/>
      <c r="C47" s="67"/>
      <c r="D47" s="41"/>
      <c r="E47" s="42"/>
      <c r="F47" s="133"/>
      <c r="G47" s="67"/>
      <c r="H47" s="41"/>
      <c r="I47" s="41"/>
      <c r="J47" s="133"/>
      <c r="K47" s="67"/>
      <c r="L47" s="42"/>
      <c r="M47" s="43"/>
      <c r="N47" s="134"/>
      <c r="O47" s="69"/>
      <c r="P47" s="42"/>
      <c r="Q47" s="42"/>
      <c r="R47" s="134"/>
      <c r="S47" s="67"/>
      <c r="T47" s="42"/>
      <c r="U47" s="41"/>
      <c r="V47" s="42"/>
      <c r="W47" s="41"/>
      <c r="X47" s="41"/>
    </row>
    <row r="48" spans="1:24" x14ac:dyDescent="0.2">
      <c r="A48" s="41"/>
      <c r="B48" s="133"/>
      <c r="C48" s="67"/>
      <c r="D48" s="41"/>
      <c r="E48" s="42"/>
      <c r="F48" s="133"/>
      <c r="G48" s="67"/>
      <c r="H48" s="41"/>
      <c r="I48" s="41"/>
      <c r="J48" s="133"/>
      <c r="K48" s="67"/>
      <c r="L48" s="42"/>
      <c r="M48" s="43"/>
      <c r="N48" s="134"/>
      <c r="O48" s="69"/>
      <c r="P48" s="42"/>
      <c r="Q48" s="42"/>
      <c r="R48" s="134"/>
      <c r="S48" s="67"/>
      <c r="T48" s="42"/>
      <c r="U48" s="41"/>
      <c r="V48" s="42"/>
      <c r="W48" s="41"/>
      <c r="X48" s="44"/>
    </row>
    <row r="49" spans="1:24" x14ac:dyDescent="0.2">
      <c r="A49" s="41"/>
      <c r="B49" s="133"/>
      <c r="C49" s="67"/>
      <c r="D49" s="41"/>
      <c r="E49" s="42"/>
      <c r="F49" s="133"/>
      <c r="G49" s="67"/>
      <c r="H49" s="41"/>
      <c r="I49" s="41"/>
      <c r="J49" s="133"/>
      <c r="K49" s="67"/>
      <c r="L49" s="42"/>
      <c r="M49" s="43"/>
      <c r="N49" s="134"/>
      <c r="O49" s="69"/>
      <c r="P49" s="42"/>
      <c r="Q49" s="42"/>
      <c r="R49" s="134"/>
      <c r="S49" s="67"/>
      <c r="T49" s="42"/>
      <c r="U49" s="41"/>
      <c r="V49" s="42"/>
      <c r="W49" s="41"/>
      <c r="X49" s="41"/>
    </row>
    <row r="50" spans="1:24" x14ac:dyDescent="0.2">
      <c r="A50" s="41"/>
      <c r="B50" s="133"/>
      <c r="C50" s="67"/>
      <c r="D50" s="41"/>
      <c r="E50" s="42"/>
      <c r="F50" s="133"/>
      <c r="G50" s="67"/>
      <c r="H50" s="41"/>
      <c r="I50" s="41"/>
      <c r="J50" s="133"/>
      <c r="K50" s="67"/>
      <c r="L50" s="42"/>
      <c r="M50" s="43"/>
      <c r="N50" s="134"/>
      <c r="O50" s="69"/>
      <c r="P50" s="42"/>
      <c r="Q50" s="42"/>
      <c r="R50" s="134"/>
      <c r="S50" s="67"/>
      <c r="T50" s="42"/>
      <c r="U50" s="41"/>
      <c r="V50" s="42"/>
      <c r="W50" s="41"/>
      <c r="X50" s="44"/>
    </row>
    <row r="51" spans="1:24" x14ac:dyDescent="0.2">
      <c r="A51" s="41"/>
      <c r="B51" s="133"/>
      <c r="C51" s="67"/>
      <c r="D51" s="41"/>
      <c r="E51" s="42"/>
      <c r="F51" s="133"/>
      <c r="G51" s="67"/>
      <c r="H51" s="41"/>
      <c r="I51" s="41"/>
      <c r="J51" s="133"/>
      <c r="K51" s="67"/>
      <c r="L51" s="42"/>
      <c r="M51" s="43"/>
      <c r="N51" s="134"/>
      <c r="O51" s="69"/>
      <c r="P51" s="42"/>
      <c r="Q51" s="42"/>
      <c r="R51" s="134"/>
      <c r="S51" s="67"/>
      <c r="T51" s="42"/>
      <c r="U51" s="41"/>
      <c r="V51" s="42"/>
      <c r="W51" s="41"/>
      <c r="X51" s="41"/>
    </row>
    <row r="52" spans="1:24" x14ac:dyDescent="0.2">
      <c r="A52" s="41"/>
      <c r="B52" s="133"/>
      <c r="C52" s="67"/>
      <c r="D52" s="41"/>
      <c r="E52" s="42"/>
      <c r="F52" s="133"/>
      <c r="G52" s="67"/>
      <c r="H52" s="41"/>
      <c r="I52" s="41"/>
      <c r="J52" s="133"/>
      <c r="K52" s="67"/>
      <c r="L52" s="42"/>
      <c r="M52" s="43"/>
      <c r="N52" s="134"/>
      <c r="O52" s="69"/>
      <c r="P52" s="42"/>
      <c r="Q52" s="42"/>
      <c r="R52" s="134"/>
      <c r="S52" s="67"/>
      <c r="T52" s="42"/>
      <c r="U52" s="41"/>
      <c r="V52" s="42"/>
      <c r="W52" s="41"/>
      <c r="X52" s="44"/>
    </row>
    <row r="53" spans="1:24" x14ac:dyDescent="0.2">
      <c r="A53" s="41"/>
      <c r="B53" s="133"/>
      <c r="C53" s="67"/>
      <c r="D53" s="41"/>
      <c r="E53" s="42"/>
      <c r="F53" s="133"/>
      <c r="G53" s="67"/>
      <c r="H53" s="41"/>
      <c r="I53" s="41"/>
      <c r="J53" s="133"/>
      <c r="K53" s="67"/>
      <c r="L53" s="42"/>
      <c r="M53" s="43"/>
      <c r="N53" s="134"/>
      <c r="O53" s="69"/>
      <c r="P53" s="42"/>
      <c r="Q53" s="42"/>
      <c r="R53" s="134"/>
      <c r="S53" s="67"/>
      <c r="T53" s="42"/>
      <c r="U53" s="41"/>
      <c r="V53" s="42"/>
      <c r="W53" s="41"/>
      <c r="X53" s="41"/>
    </row>
    <row r="54" spans="1:24" x14ac:dyDescent="0.2">
      <c r="A54" s="41"/>
      <c r="B54" s="133"/>
      <c r="C54" s="67"/>
      <c r="D54" s="41"/>
      <c r="E54" s="42"/>
      <c r="F54" s="133"/>
      <c r="G54" s="67"/>
      <c r="H54" s="41"/>
      <c r="I54" s="41"/>
      <c r="J54" s="133"/>
      <c r="K54" s="67"/>
      <c r="L54" s="42"/>
      <c r="M54" s="43"/>
      <c r="N54" s="134"/>
      <c r="O54" s="69"/>
      <c r="P54" s="42"/>
      <c r="Q54" s="42"/>
      <c r="R54" s="134"/>
      <c r="S54" s="67"/>
      <c r="T54" s="42"/>
      <c r="U54" s="41"/>
      <c r="V54" s="42"/>
      <c r="W54" s="41"/>
      <c r="X54" s="44"/>
    </row>
    <row r="55" spans="1:24" x14ac:dyDescent="0.2">
      <c r="A55" s="41"/>
      <c r="B55" s="133"/>
      <c r="C55" s="67"/>
      <c r="D55" s="41"/>
      <c r="E55" s="42"/>
      <c r="F55" s="133"/>
      <c r="G55" s="67"/>
      <c r="H55" s="41"/>
      <c r="I55" s="41"/>
      <c r="J55" s="133"/>
      <c r="K55" s="67"/>
      <c r="L55" s="42"/>
      <c r="M55" s="43"/>
      <c r="N55" s="134"/>
      <c r="O55" s="69"/>
      <c r="P55" s="42"/>
      <c r="Q55" s="42"/>
      <c r="R55" s="134"/>
      <c r="S55" s="67"/>
      <c r="T55" s="42"/>
      <c r="U55" s="41"/>
      <c r="V55" s="42"/>
      <c r="W55" s="41"/>
      <c r="X55" s="41"/>
    </row>
    <row r="56" spans="1:24" x14ac:dyDescent="0.2">
      <c r="A56" s="41"/>
      <c r="B56" s="133"/>
      <c r="C56" s="67"/>
      <c r="D56" s="41"/>
      <c r="E56" s="42"/>
      <c r="F56" s="133"/>
      <c r="G56" s="67"/>
      <c r="H56" s="41"/>
      <c r="I56" s="41"/>
      <c r="J56" s="133"/>
      <c r="K56" s="67"/>
      <c r="L56" s="42"/>
      <c r="M56" s="43"/>
      <c r="N56" s="134"/>
      <c r="O56" s="69"/>
      <c r="P56" s="42"/>
      <c r="Q56" s="42"/>
      <c r="R56" s="134"/>
      <c r="S56" s="67"/>
      <c r="T56" s="42"/>
      <c r="U56" s="41"/>
      <c r="V56" s="42"/>
      <c r="W56" s="41"/>
      <c r="X56" s="44"/>
    </row>
    <row r="57" spans="1:24" x14ac:dyDescent="0.2">
      <c r="A57" s="41"/>
      <c r="B57" s="133"/>
      <c r="C57" s="67"/>
      <c r="D57" s="41"/>
      <c r="E57" s="42"/>
      <c r="F57" s="133"/>
      <c r="G57" s="67"/>
      <c r="H57" s="41"/>
      <c r="I57" s="41"/>
      <c r="J57" s="133"/>
      <c r="K57" s="67"/>
      <c r="L57" s="42"/>
      <c r="M57" s="43"/>
      <c r="N57" s="134"/>
      <c r="O57" s="69"/>
      <c r="P57" s="42"/>
      <c r="Q57" s="42"/>
      <c r="R57" s="134"/>
      <c r="S57" s="67"/>
      <c r="T57" s="42"/>
      <c r="U57" s="41"/>
      <c r="V57" s="42"/>
      <c r="W57" s="41"/>
      <c r="X57" s="41"/>
    </row>
    <row r="58" spans="1:24" x14ac:dyDescent="0.2">
      <c r="A58" s="41"/>
      <c r="B58" s="133"/>
      <c r="C58" s="67"/>
      <c r="D58" s="41"/>
      <c r="E58" s="42"/>
      <c r="F58" s="133"/>
      <c r="G58" s="67"/>
      <c r="H58" s="41"/>
      <c r="I58" s="41"/>
      <c r="J58" s="133"/>
      <c r="K58" s="67"/>
      <c r="L58" s="42"/>
      <c r="M58" s="43"/>
      <c r="N58" s="134"/>
      <c r="O58" s="69"/>
      <c r="P58" s="42"/>
      <c r="Q58" s="42"/>
      <c r="R58" s="134"/>
      <c r="S58" s="67"/>
      <c r="T58" s="42"/>
      <c r="U58" s="41"/>
      <c r="V58" s="42"/>
      <c r="W58" s="41"/>
      <c r="X58" s="44"/>
    </row>
    <row r="59" spans="1:24" x14ac:dyDescent="0.2">
      <c r="A59" s="41"/>
      <c r="B59" s="133"/>
      <c r="C59" s="67"/>
      <c r="D59" s="41"/>
      <c r="E59" s="42"/>
      <c r="F59" s="133"/>
      <c r="G59" s="67"/>
      <c r="H59" s="41"/>
      <c r="I59" s="41"/>
      <c r="J59" s="133"/>
      <c r="K59" s="67"/>
      <c r="L59" s="42"/>
      <c r="M59" s="43"/>
      <c r="N59" s="134"/>
      <c r="O59" s="69"/>
      <c r="P59" s="42"/>
      <c r="Q59" s="42"/>
      <c r="R59" s="134"/>
      <c r="S59" s="67"/>
      <c r="T59" s="42"/>
      <c r="U59" s="41"/>
      <c r="V59" s="42"/>
      <c r="W59" s="41"/>
      <c r="X59" s="41"/>
    </row>
    <row r="60" spans="1:24" x14ac:dyDescent="0.2">
      <c r="A60" s="41"/>
      <c r="B60" s="133"/>
      <c r="C60" s="67"/>
      <c r="D60" s="41"/>
      <c r="E60" s="42"/>
      <c r="F60" s="133"/>
      <c r="G60" s="67"/>
      <c r="H60" s="41"/>
      <c r="I60" s="41"/>
      <c r="J60" s="133"/>
      <c r="K60" s="67"/>
      <c r="L60" s="42"/>
      <c r="M60" s="43"/>
      <c r="N60" s="134"/>
      <c r="O60" s="69"/>
      <c r="P60" s="42"/>
      <c r="Q60" s="42"/>
      <c r="R60" s="134"/>
      <c r="S60" s="67"/>
      <c r="T60" s="42"/>
      <c r="U60" s="41"/>
      <c r="V60" s="42"/>
      <c r="W60" s="41"/>
      <c r="X60" s="44"/>
    </row>
    <row r="61" spans="1:24" x14ac:dyDescent="0.2">
      <c r="A61" s="41"/>
      <c r="B61" s="133"/>
      <c r="C61" s="67"/>
      <c r="D61" s="41"/>
      <c r="E61" s="42"/>
      <c r="F61" s="133"/>
      <c r="G61" s="67"/>
      <c r="H61" s="41"/>
      <c r="I61" s="41"/>
      <c r="J61" s="133"/>
      <c r="K61" s="67"/>
      <c r="L61" s="42"/>
      <c r="M61" s="43"/>
      <c r="N61" s="134"/>
      <c r="O61" s="69"/>
      <c r="P61" s="42"/>
      <c r="Q61" s="42"/>
      <c r="R61" s="134"/>
      <c r="S61" s="67"/>
      <c r="T61" s="42"/>
      <c r="U61" s="41"/>
      <c r="V61" s="42"/>
      <c r="W61" s="41"/>
      <c r="X61" s="41"/>
    </row>
    <row r="62" spans="1:24" x14ac:dyDescent="0.2">
      <c r="A62" s="41"/>
      <c r="B62" s="133"/>
      <c r="C62" s="67"/>
      <c r="D62" s="41"/>
      <c r="E62" s="42"/>
      <c r="F62" s="133"/>
      <c r="G62" s="67"/>
      <c r="H62" s="41"/>
      <c r="I62" s="41"/>
      <c r="J62" s="133"/>
      <c r="K62" s="67"/>
      <c r="L62" s="42"/>
      <c r="M62" s="43"/>
      <c r="N62" s="134"/>
      <c r="O62" s="69"/>
      <c r="P62" s="42"/>
      <c r="Q62" s="42"/>
      <c r="R62" s="134"/>
      <c r="S62" s="67"/>
      <c r="T62" s="42"/>
      <c r="U62" s="41"/>
      <c r="V62" s="42"/>
      <c r="W62" s="41"/>
      <c r="X62" s="44"/>
    </row>
    <row r="63" spans="1:24" x14ac:dyDescent="0.2">
      <c r="A63" s="41"/>
      <c r="B63" s="133"/>
      <c r="C63" s="67"/>
      <c r="D63" s="41"/>
      <c r="E63" s="42"/>
      <c r="F63" s="133"/>
      <c r="G63" s="67"/>
      <c r="H63" s="41"/>
      <c r="I63" s="41"/>
      <c r="J63" s="133"/>
      <c r="K63" s="67"/>
      <c r="L63" s="42"/>
      <c r="M63" s="43"/>
      <c r="N63" s="134"/>
      <c r="O63" s="69"/>
      <c r="P63" s="42"/>
      <c r="Q63" s="42"/>
      <c r="R63" s="134"/>
      <c r="S63" s="67"/>
      <c r="T63" s="42"/>
      <c r="U63" s="41"/>
      <c r="V63" s="42"/>
      <c r="W63" s="41"/>
      <c r="X63" s="41"/>
    </row>
    <row r="64" spans="1:24" x14ac:dyDescent="0.2">
      <c r="A64" s="41"/>
      <c r="B64" s="133"/>
      <c r="C64" s="67"/>
      <c r="D64" s="41"/>
      <c r="E64" s="42"/>
      <c r="F64" s="133"/>
      <c r="G64" s="67"/>
      <c r="H64" s="41"/>
      <c r="I64" s="41"/>
      <c r="J64" s="133"/>
      <c r="K64" s="67"/>
      <c r="L64" s="42"/>
      <c r="M64" s="43"/>
      <c r="N64" s="134"/>
      <c r="O64" s="69"/>
      <c r="P64" s="42"/>
      <c r="Q64" s="42"/>
      <c r="R64" s="134"/>
      <c r="S64" s="67"/>
      <c r="T64" s="42"/>
      <c r="U64" s="41"/>
      <c r="V64" s="42"/>
      <c r="W64" s="41"/>
      <c r="X64" s="44"/>
    </row>
    <row r="65" spans="1:24" x14ac:dyDescent="0.2">
      <c r="A65" s="41"/>
      <c r="B65" s="133"/>
      <c r="C65" s="67"/>
      <c r="D65" s="41"/>
      <c r="E65" s="42"/>
      <c r="F65" s="133"/>
      <c r="G65" s="67"/>
      <c r="H65" s="41"/>
      <c r="I65" s="41"/>
      <c r="J65" s="133"/>
      <c r="K65" s="67"/>
      <c r="L65" s="42"/>
      <c r="M65" s="43"/>
      <c r="N65" s="134"/>
      <c r="O65" s="69"/>
      <c r="P65" s="42"/>
      <c r="Q65" s="42"/>
      <c r="R65" s="134"/>
      <c r="S65" s="67"/>
      <c r="T65" s="42"/>
      <c r="U65" s="41"/>
      <c r="V65" s="42"/>
      <c r="W65" s="41"/>
      <c r="X65" s="41"/>
    </row>
    <row r="66" spans="1:24" x14ac:dyDescent="0.2">
      <c r="A66" s="41"/>
      <c r="B66" s="133"/>
      <c r="C66" s="67"/>
      <c r="D66" s="41"/>
      <c r="E66" s="42"/>
      <c r="F66" s="133"/>
      <c r="G66" s="67"/>
      <c r="H66" s="41"/>
      <c r="I66" s="41"/>
      <c r="J66" s="133"/>
      <c r="K66" s="67"/>
      <c r="L66" s="42"/>
      <c r="M66" s="43"/>
      <c r="N66" s="134"/>
      <c r="O66" s="69"/>
      <c r="P66" s="42"/>
      <c r="Q66" s="42"/>
      <c r="R66" s="134"/>
      <c r="S66" s="67"/>
      <c r="T66" s="42"/>
      <c r="U66" s="41"/>
      <c r="V66" s="42"/>
      <c r="W66" s="41"/>
      <c r="X66" s="44"/>
    </row>
    <row r="67" spans="1:24" x14ac:dyDescent="0.2">
      <c r="A67" s="41"/>
      <c r="B67" s="133"/>
      <c r="C67" s="67"/>
      <c r="D67" s="41"/>
      <c r="E67" s="42"/>
      <c r="F67" s="133"/>
      <c r="G67" s="67"/>
      <c r="H67" s="41"/>
      <c r="I67" s="41"/>
      <c r="J67" s="133"/>
      <c r="K67" s="67"/>
      <c r="L67" s="42"/>
      <c r="M67" s="43"/>
      <c r="N67" s="134"/>
      <c r="O67" s="69"/>
      <c r="P67" s="42"/>
      <c r="Q67" s="42"/>
      <c r="R67" s="134"/>
      <c r="S67" s="67"/>
      <c r="T67" s="42"/>
      <c r="U67" s="41"/>
      <c r="V67" s="42"/>
      <c r="W67" s="41"/>
      <c r="X67" s="41"/>
    </row>
    <row r="68" spans="1:24" x14ac:dyDescent="0.2">
      <c r="A68" s="41"/>
      <c r="B68" s="133"/>
      <c r="C68" s="67"/>
      <c r="D68" s="41"/>
      <c r="E68" s="42"/>
      <c r="F68" s="133"/>
      <c r="G68" s="67"/>
      <c r="H68" s="41"/>
      <c r="I68" s="41"/>
      <c r="J68" s="133"/>
      <c r="K68" s="67"/>
      <c r="L68" s="42"/>
      <c r="M68" s="43"/>
      <c r="N68" s="134"/>
      <c r="O68" s="69"/>
      <c r="P68" s="42"/>
      <c r="Q68" s="42"/>
      <c r="R68" s="134"/>
      <c r="S68" s="67"/>
      <c r="T68" s="42"/>
      <c r="U68" s="41"/>
      <c r="V68" s="42"/>
      <c r="W68" s="41"/>
      <c r="X68" s="44"/>
    </row>
    <row r="69" spans="1:24" x14ac:dyDescent="0.2">
      <c r="A69" s="41"/>
      <c r="B69" s="133"/>
      <c r="C69" s="67"/>
      <c r="D69" s="41"/>
      <c r="E69" s="42"/>
      <c r="F69" s="133"/>
      <c r="G69" s="67"/>
      <c r="H69" s="41"/>
      <c r="I69" s="41"/>
      <c r="J69" s="133"/>
      <c r="K69" s="67"/>
      <c r="L69" s="42"/>
      <c r="M69" s="43"/>
      <c r="N69" s="134"/>
      <c r="O69" s="69"/>
      <c r="P69" s="42"/>
      <c r="Q69" s="42"/>
      <c r="R69" s="134"/>
      <c r="S69" s="67"/>
      <c r="T69" s="42"/>
      <c r="U69" s="41"/>
      <c r="V69" s="42"/>
      <c r="W69" s="41"/>
      <c r="X69" s="41"/>
    </row>
    <row r="70" spans="1:24" x14ac:dyDescent="0.2">
      <c r="A70" s="41"/>
      <c r="B70" s="133"/>
      <c r="C70" s="67"/>
      <c r="D70" s="41"/>
      <c r="E70" s="42"/>
      <c r="F70" s="133"/>
      <c r="G70" s="67"/>
      <c r="H70" s="41"/>
      <c r="I70" s="41"/>
      <c r="J70" s="133"/>
      <c r="K70" s="67"/>
      <c r="L70" s="42"/>
      <c r="M70" s="43"/>
      <c r="N70" s="134"/>
      <c r="O70" s="69"/>
      <c r="P70" s="42"/>
      <c r="Q70" s="42"/>
      <c r="R70" s="134"/>
      <c r="S70" s="67"/>
      <c r="T70" s="42"/>
      <c r="U70" s="41"/>
      <c r="V70" s="42"/>
      <c r="W70" s="41"/>
      <c r="X70" s="44"/>
    </row>
    <row r="71" spans="1:24" x14ac:dyDescent="0.2">
      <c r="A71" s="41"/>
      <c r="B71" s="133"/>
      <c r="C71" s="67"/>
      <c r="D71" s="41"/>
      <c r="E71" s="42"/>
      <c r="F71" s="133"/>
      <c r="G71" s="67"/>
      <c r="H71" s="41"/>
      <c r="I71" s="41"/>
      <c r="J71" s="133"/>
      <c r="K71" s="67"/>
      <c r="L71" s="42"/>
      <c r="M71" s="43"/>
      <c r="N71" s="134"/>
      <c r="O71" s="69"/>
      <c r="P71" s="42"/>
      <c r="Q71" s="42"/>
      <c r="R71" s="134"/>
      <c r="S71" s="67"/>
      <c r="T71" s="42"/>
      <c r="U71" s="41"/>
      <c r="V71" s="42"/>
      <c r="W71" s="41"/>
      <c r="X71" s="41"/>
    </row>
    <row r="72" spans="1:24" x14ac:dyDescent="0.2">
      <c r="A72" s="41"/>
      <c r="B72" s="133"/>
      <c r="C72" s="67"/>
      <c r="D72" s="41"/>
      <c r="E72" s="42"/>
      <c r="F72" s="133"/>
      <c r="G72" s="67"/>
      <c r="H72" s="41"/>
      <c r="I72" s="41"/>
      <c r="J72" s="133"/>
      <c r="K72" s="67"/>
      <c r="L72" s="42"/>
      <c r="M72" s="43"/>
      <c r="N72" s="134"/>
      <c r="O72" s="69"/>
      <c r="P72" s="42"/>
      <c r="Q72" s="42"/>
      <c r="R72" s="134"/>
      <c r="S72" s="67"/>
      <c r="T72" s="42"/>
      <c r="U72" s="41"/>
      <c r="V72" s="42"/>
      <c r="W72" s="41"/>
      <c r="X72" s="44"/>
    </row>
    <row r="73" spans="1:24" x14ac:dyDescent="0.2">
      <c r="A73" s="41"/>
      <c r="B73" s="133"/>
      <c r="C73" s="67"/>
      <c r="D73" s="41"/>
      <c r="E73" s="42"/>
      <c r="F73" s="133"/>
      <c r="G73" s="67"/>
      <c r="H73" s="41"/>
      <c r="I73" s="41"/>
      <c r="J73" s="133"/>
      <c r="K73" s="67"/>
      <c r="L73" s="42"/>
      <c r="M73" s="43"/>
      <c r="N73" s="134"/>
      <c r="O73" s="69"/>
      <c r="P73" s="42"/>
      <c r="Q73" s="42"/>
      <c r="R73" s="134"/>
      <c r="S73" s="67"/>
      <c r="T73" s="42"/>
      <c r="U73" s="41"/>
      <c r="V73" s="42"/>
      <c r="W73" s="41"/>
      <c r="X73" s="41"/>
    </row>
    <row r="74" spans="1:24" x14ac:dyDescent="0.2">
      <c r="A74" s="41"/>
      <c r="B74" s="133"/>
      <c r="C74" s="67"/>
      <c r="D74" s="41"/>
      <c r="E74" s="42"/>
      <c r="F74" s="133"/>
      <c r="G74" s="67"/>
      <c r="H74" s="41"/>
      <c r="I74" s="41"/>
      <c r="J74" s="133"/>
      <c r="K74" s="67"/>
      <c r="L74" s="42"/>
      <c r="M74" s="43"/>
      <c r="N74" s="134"/>
      <c r="O74" s="69"/>
      <c r="P74" s="42"/>
      <c r="Q74" s="42"/>
      <c r="R74" s="134"/>
      <c r="S74" s="67"/>
      <c r="T74" s="42"/>
      <c r="U74" s="41"/>
      <c r="V74" s="42"/>
      <c r="W74" s="41"/>
      <c r="X74" s="44"/>
    </row>
    <row r="75" spans="1:24" x14ac:dyDescent="0.2">
      <c r="A75" s="41"/>
      <c r="B75" s="133"/>
      <c r="C75" s="67"/>
      <c r="D75" s="41"/>
      <c r="E75" s="42"/>
      <c r="F75" s="133"/>
      <c r="G75" s="67"/>
      <c r="H75" s="41"/>
      <c r="I75" s="41"/>
      <c r="J75" s="133"/>
      <c r="K75" s="67"/>
      <c r="L75" s="42"/>
      <c r="M75" s="43"/>
      <c r="N75" s="134"/>
      <c r="O75" s="69"/>
      <c r="P75" s="42"/>
      <c r="Q75" s="42"/>
      <c r="R75" s="134"/>
      <c r="S75" s="67"/>
      <c r="T75" s="42"/>
      <c r="U75" s="41"/>
      <c r="V75" s="42"/>
      <c r="W75" s="41"/>
      <c r="X75" s="41"/>
    </row>
    <row r="76" spans="1:24" x14ac:dyDescent="0.2">
      <c r="A76" s="41"/>
      <c r="B76" s="133"/>
      <c r="C76" s="67"/>
      <c r="D76" s="41"/>
      <c r="E76" s="42"/>
      <c r="F76" s="133"/>
      <c r="G76" s="67"/>
      <c r="H76" s="41"/>
      <c r="I76" s="41"/>
      <c r="J76" s="133"/>
      <c r="K76" s="67"/>
      <c r="L76" s="42"/>
      <c r="M76" s="43"/>
      <c r="N76" s="134"/>
      <c r="O76" s="69"/>
      <c r="P76" s="42"/>
      <c r="Q76" s="42"/>
      <c r="R76" s="134"/>
      <c r="S76" s="67"/>
      <c r="T76" s="42"/>
      <c r="U76" s="41"/>
      <c r="V76" s="42"/>
      <c r="W76" s="41"/>
      <c r="X76" s="44"/>
    </row>
    <row r="77" spans="1:24" x14ac:dyDescent="0.2">
      <c r="A77" s="41"/>
      <c r="B77" s="133"/>
      <c r="C77" s="67"/>
      <c r="D77" s="41"/>
      <c r="E77" s="42"/>
      <c r="F77" s="133"/>
      <c r="G77" s="67"/>
      <c r="H77" s="41"/>
      <c r="I77" s="41"/>
      <c r="J77" s="133"/>
      <c r="K77" s="67"/>
      <c r="L77" s="42"/>
      <c r="M77" s="43"/>
      <c r="N77" s="134"/>
      <c r="O77" s="69"/>
      <c r="P77" s="42"/>
      <c r="Q77" s="42"/>
      <c r="R77" s="134"/>
      <c r="S77" s="67"/>
      <c r="T77" s="42"/>
      <c r="U77" s="41"/>
      <c r="V77" s="42"/>
      <c r="W77" s="41"/>
      <c r="X77" s="41"/>
    </row>
    <row r="78" spans="1:24" x14ac:dyDescent="0.2">
      <c r="A78" s="41"/>
      <c r="B78" s="133"/>
      <c r="C78" s="67"/>
      <c r="D78" s="41"/>
      <c r="E78" s="42"/>
      <c r="F78" s="133"/>
      <c r="G78" s="67"/>
      <c r="H78" s="41"/>
      <c r="I78" s="41"/>
      <c r="J78" s="133"/>
      <c r="K78" s="67"/>
      <c r="L78" s="42"/>
      <c r="M78" s="43"/>
      <c r="N78" s="134"/>
      <c r="O78" s="69"/>
      <c r="P78" s="42"/>
      <c r="Q78" s="42"/>
      <c r="R78" s="134"/>
      <c r="S78" s="67"/>
      <c r="T78" s="42"/>
      <c r="U78" s="41"/>
      <c r="V78" s="42"/>
      <c r="W78" s="41"/>
      <c r="X78" s="44"/>
    </row>
    <row r="79" spans="1:24" x14ac:dyDescent="0.2">
      <c r="A79" s="41"/>
      <c r="B79" s="133"/>
      <c r="C79" s="67"/>
      <c r="D79" s="41"/>
      <c r="E79" s="42"/>
      <c r="F79" s="133"/>
      <c r="G79" s="67"/>
      <c r="H79" s="41"/>
      <c r="I79" s="41"/>
      <c r="J79" s="133"/>
      <c r="K79" s="67"/>
      <c r="L79" s="42"/>
      <c r="M79" s="43"/>
      <c r="N79" s="134"/>
      <c r="O79" s="69"/>
      <c r="P79" s="42"/>
      <c r="Q79" s="42"/>
      <c r="R79" s="134"/>
      <c r="S79" s="67"/>
      <c r="T79" s="42"/>
      <c r="U79" s="41"/>
      <c r="V79" s="42"/>
      <c r="W79" s="41"/>
      <c r="X79" s="41"/>
    </row>
    <row r="80" spans="1:24" x14ac:dyDescent="0.2">
      <c r="A80" s="41"/>
      <c r="B80" s="133"/>
      <c r="C80" s="67"/>
      <c r="D80" s="41"/>
      <c r="E80" s="42"/>
      <c r="F80" s="133"/>
      <c r="G80" s="67"/>
      <c r="H80" s="41"/>
      <c r="I80" s="41"/>
      <c r="J80" s="133"/>
      <c r="K80" s="67"/>
      <c r="L80" s="42"/>
      <c r="M80" s="43"/>
      <c r="N80" s="134"/>
      <c r="O80" s="69"/>
      <c r="P80" s="42"/>
      <c r="Q80" s="42"/>
      <c r="R80" s="134"/>
      <c r="S80" s="67"/>
      <c r="T80" s="42"/>
      <c r="U80" s="41"/>
      <c r="V80" s="42"/>
      <c r="W80" s="41"/>
      <c r="X80" s="44"/>
    </row>
    <row r="81" spans="1:24" x14ac:dyDescent="0.2">
      <c r="A81" s="41"/>
      <c r="B81" s="133"/>
      <c r="C81" s="67"/>
      <c r="D81" s="41"/>
      <c r="E81" s="42"/>
      <c r="F81" s="133"/>
      <c r="G81" s="67"/>
      <c r="H81" s="41"/>
      <c r="I81" s="41"/>
      <c r="J81" s="133"/>
      <c r="K81" s="67"/>
      <c r="L81" s="42"/>
      <c r="M81" s="43"/>
      <c r="N81" s="134"/>
      <c r="O81" s="69"/>
      <c r="P81" s="42"/>
      <c r="Q81" s="42"/>
      <c r="R81" s="134"/>
      <c r="S81" s="67"/>
      <c r="T81" s="42"/>
      <c r="U81" s="41"/>
      <c r="V81" s="42"/>
      <c r="W81" s="41"/>
      <c r="X81" s="41"/>
    </row>
    <row r="82" spans="1:24" x14ac:dyDescent="0.2">
      <c r="A82" s="41"/>
      <c r="B82" s="133"/>
      <c r="C82" s="67"/>
      <c r="D82" s="41"/>
      <c r="E82" s="42"/>
      <c r="F82" s="133"/>
      <c r="G82" s="67"/>
      <c r="H82" s="41"/>
      <c r="I82" s="41"/>
      <c r="J82" s="133"/>
      <c r="K82" s="67"/>
      <c r="L82" s="42"/>
      <c r="M82" s="43"/>
      <c r="N82" s="134"/>
      <c r="O82" s="69"/>
      <c r="P82" s="42"/>
      <c r="Q82" s="42"/>
      <c r="R82" s="134"/>
      <c r="S82" s="67"/>
      <c r="T82" s="42"/>
      <c r="U82" s="41"/>
      <c r="V82" s="42"/>
      <c r="W82" s="41"/>
      <c r="X82" s="44"/>
    </row>
    <row r="83" spans="1:24" x14ac:dyDescent="0.2">
      <c r="A83" s="41"/>
      <c r="B83" s="133"/>
      <c r="C83" s="67"/>
      <c r="D83" s="41"/>
      <c r="E83" s="42"/>
      <c r="F83" s="133"/>
      <c r="G83" s="67"/>
      <c r="H83" s="41"/>
      <c r="I83" s="41"/>
      <c r="J83" s="133"/>
      <c r="K83" s="67"/>
      <c r="L83" s="42"/>
      <c r="M83" s="43"/>
      <c r="N83" s="134"/>
      <c r="O83" s="69"/>
      <c r="P83" s="42"/>
      <c r="Q83" s="42"/>
      <c r="R83" s="134"/>
      <c r="S83" s="67"/>
      <c r="T83" s="42"/>
      <c r="U83" s="41"/>
      <c r="V83" s="42"/>
      <c r="W83" s="41"/>
      <c r="X83" s="41"/>
    </row>
    <row r="84" spans="1:24" x14ac:dyDescent="0.2">
      <c r="A84" s="41"/>
      <c r="B84" s="133"/>
      <c r="C84" s="67"/>
      <c r="D84" s="41"/>
      <c r="E84" s="42"/>
      <c r="F84" s="133"/>
      <c r="G84" s="67"/>
      <c r="H84" s="41"/>
      <c r="I84" s="41"/>
      <c r="J84" s="133"/>
      <c r="K84" s="67"/>
      <c r="L84" s="42"/>
      <c r="M84" s="43"/>
      <c r="N84" s="134"/>
      <c r="O84" s="69"/>
      <c r="P84" s="42"/>
      <c r="Q84" s="42"/>
      <c r="R84" s="134"/>
      <c r="S84" s="67"/>
      <c r="T84" s="42"/>
      <c r="U84" s="41"/>
      <c r="V84" s="42"/>
      <c r="W84" s="41"/>
      <c r="X84" s="44"/>
    </row>
    <row r="85" spans="1:24" x14ac:dyDescent="0.2">
      <c r="A85" s="41"/>
      <c r="B85" s="133"/>
      <c r="C85" s="135"/>
      <c r="D85" s="45"/>
      <c r="E85" s="45"/>
      <c r="F85" s="136"/>
      <c r="G85" s="135"/>
      <c r="H85" s="45"/>
      <c r="I85" s="45"/>
      <c r="J85" s="137"/>
      <c r="K85" s="135"/>
      <c r="L85" s="45"/>
      <c r="M85" s="47"/>
      <c r="N85" s="137"/>
      <c r="O85" s="135"/>
      <c r="P85" s="46"/>
      <c r="Q85" s="45"/>
      <c r="R85" s="137"/>
      <c r="S85" s="135"/>
      <c r="T85" s="45"/>
      <c r="U85" s="45"/>
      <c r="V85" s="45"/>
      <c r="W85" s="45"/>
    </row>
    <row r="86" spans="1:24" x14ac:dyDescent="0.2">
      <c r="A86" s="45"/>
      <c r="B86" s="136"/>
      <c r="C86" s="135"/>
      <c r="D86" s="45"/>
      <c r="E86" s="45"/>
      <c r="F86" s="136"/>
      <c r="G86" s="135"/>
      <c r="H86" s="45"/>
      <c r="I86" s="45"/>
      <c r="J86" s="137"/>
      <c r="K86" s="135"/>
      <c r="L86" s="45"/>
      <c r="M86" s="47"/>
      <c r="N86" s="137"/>
      <c r="O86" s="135"/>
      <c r="P86" s="46"/>
      <c r="Q86" s="45"/>
      <c r="R86" s="137"/>
      <c r="S86" s="135"/>
      <c r="T86" s="45"/>
      <c r="U86" s="45"/>
      <c r="V86" s="45"/>
      <c r="W86" s="45"/>
    </row>
    <row r="87" spans="1:24" x14ac:dyDescent="0.2">
      <c r="A87" s="45"/>
      <c r="B87" s="136"/>
      <c r="C87" s="135"/>
      <c r="D87" s="45"/>
      <c r="E87" s="45"/>
      <c r="F87" s="136"/>
      <c r="G87" s="135"/>
      <c r="H87" s="45"/>
      <c r="I87" s="45"/>
      <c r="J87" s="137"/>
      <c r="K87" s="135"/>
      <c r="L87" s="45"/>
      <c r="M87" s="47"/>
      <c r="N87" s="137"/>
      <c r="O87" s="135"/>
      <c r="P87" s="46"/>
      <c r="Q87" s="45"/>
      <c r="R87" s="137"/>
      <c r="S87" s="135"/>
      <c r="T87" s="45"/>
      <c r="U87" s="45"/>
      <c r="V87" s="45"/>
      <c r="W87" s="45"/>
    </row>
    <row r="88" spans="1:24" x14ac:dyDescent="0.2">
      <c r="A88" s="45"/>
      <c r="B88" s="136"/>
      <c r="C88" s="135"/>
      <c r="D88" s="45"/>
      <c r="E88" s="45"/>
      <c r="F88" s="136"/>
      <c r="G88" s="135"/>
      <c r="H88" s="45"/>
      <c r="I88" s="45"/>
      <c r="J88" s="137"/>
      <c r="K88" s="135"/>
      <c r="L88" s="45"/>
      <c r="M88" s="47"/>
      <c r="N88" s="137"/>
      <c r="O88" s="135"/>
      <c r="P88" s="46"/>
      <c r="Q88" s="45"/>
      <c r="R88" s="137"/>
      <c r="S88" s="135"/>
      <c r="T88" s="45"/>
      <c r="U88" s="45"/>
      <c r="V88" s="45"/>
      <c r="W88" s="45"/>
    </row>
    <row r="89" spans="1:24" x14ac:dyDescent="0.2">
      <c r="A89" s="45"/>
      <c r="B89" s="136"/>
      <c r="C89" s="135"/>
      <c r="D89" s="45"/>
      <c r="E89" s="45"/>
      <c r="F89" s="136"/>
      <c r="G89" s="135"/>
      <c r="H89" s="45"/>
      <c r="I89" s="45"/>
      <c r="J89" s="137"/>
      <c r="K89" s="135"/>
      <c r="L89" s="45"/>
      <c r="M89" s="47"/>
      <c r="N89" s="137"/>
      <c r="O89" s="135"/>
      <c r="P89" s="46"/>
      <c r="Q89" s="45"/>
      <c r="R89" s="137"/>
      <c r="S89" s="135"/>
      <c r="T89" s="45"/>
      <c r="U89" s="45"/>
      <c r="V89" s="45"/>
      <c r="W89" s="45"/>
    </row>
    <row r="90" spans="1:24" x14ac:dyDescent="0.2">
      <c r="A90" s="45"/>
      <c r="B90" s="136"/>
      <c r="C90" s="135"/>
      <c r="D90" s="45"/>
      <c r="E90" s="45"/>
      <c r="F90" s="136"/>
      <c r="G90" s="135"/>
      <c r="H90" s="45"/>
      <c r="I90" s="45"/>
      <c r="J90" s="137"/>
      <c r="K90" s="135"/>
      <c r="L90" s="45"/>
      <c r="M90" s="47"/>
      <c r="N90" s="137"/>
      <c r="O90" s="135"/>
      <c r="P90" s="46"/>
      <c r="Q90" s="45"/>
      <c r="R90" s="137"/>
      <c r="S90" s="135"/>
      <c r="T90" s="45"/>
      <c r="U90" s="45"/>
      <c r="V90" s="45"/>
      <c r="W90" s="45"/>
    </row>
    <row r="91" spans="1:24" x14ac:dyDescent="0.2">
      <c r="A91" s="45"/>
      <c r="B91" s="136"/>
      <c r="C91" s="135"/>
      <c r="D91" s="45"/>
      <c r="E91" s="45"/>
      <c r="F91" s="136"/>
      <c r="G91" s="135"/>
      <c r="H91" s="45"/>
      <c r="I91" s="45"/>
      <c r="J91" s="137"/>
      <c r="K91" s="135"/>
      <c r="L91" s="45"/>
      <c r="M91" s="47"/>
      <c r="N91" s="137"/>
      <c r="O91" s="135"/>
      <c r="P91" s="46"/>
      <c r="Q91" s="45"/>
      <c r="R91" s="137"/>
      <c r="S91" s="135"/>
      <c r="T91" s="45"/>
      <c r="U91" s="45"/>
      <c r="V91" s="45"/>
      <c r="W91" s="45"/>
    </row>
    <row r="92" spans="1:24" x14ac:dyDescent="0.2">
      <c r="A92" s="45"/>
      <c r="B92" s="136"/>
      <c r="C92" s="135"/>
      <c r="D92" s="45"/>
      <c r="E92" s="45"/>
      <c r="F92" s="136"/>
      <c r="G92" s="135"/>
      <c r="H92" s="45"/>
      <c r="I92" s="45"/>
      <c r="J92" s="137"/>
      <c r="K92" s="135"/>
      <c r="L92" s="45"/>
      <c r="M92" s="47"/>
      <c r="N92" s="137"/>
      <c r="O92" s="135"/>
      <c r="P92" s="46"/>
      <c r="Q92" s="45"/>
      <c r="R92" s="137"/>
      <c r="S92" s="135"/>
      <c r="T92" s="45"/>
      <c r="U92" s="45"/>
      <c r="V92" s="45"/>
      <c r="W92" s="45"/>
    </row>
    <row r="93" spans="1:24" x14ac:dyDescent="0.2">
      <c r="A93" s="45"/>
      <c r="B93" s="136"/>
      <c r="C93" s="135"/>
      <c r="D93" s="45"/>
      <c r="E93" s="45"/>
      <c r="F93" s="136"/>
      <c r="G93" s="135"/>
      <c r="H93" s="45"/>
      <c r="I93" s="45"/>
      <c r="J93" s="137"/>
      <c r="K93" s="135"/>
      <c r="L93" s="45"/>
      <c r="M93" s="47"/>
      <c r="N93" s="137"/>
      <c r="O93" s="135"/>
      <c r="P93" s="46"/>
      <c r="Q93" s="45"/>
      <c r="R93" s="137"/>
      <c r="S93" s="135"/>
      <c r="T93" s="45"/>
      <c r="U93" s="45"/>
      <c r="V93" s="45"/>
      <c r="W93" s="45"/>
    </row>
    <row r="94" spans="1:24" x14ac:dyDescent="0.2">
      <c r="A94" s="45"/>
      <c r="B94" s="136"/>
      <c r="C94" s="135"/>
      <c r="D94" s="45"/>
      <c r="E94" s="45"/>
      <c r="F94" s="136"/>
      <c r="G94" s="135"/>
      <c r="H94" s="45"/>
      <c r="I94" s="45"/>
      <c r="J94" s="137"/>
      <c r="K94" s="135"/>
      <c r="L94" s="45"/>
      <c r="M94" s="47"/>
      <c r="N94" s="137"/>
      <c r="O94" s="135"/>
      <c r="P94" s="46"/>
      <c r="Q94" s="45"/>
      <c r="R94" s="137"/>
      <c r="S94" s="135"/>
      <c r="T94" s="45"/>
      <c r="U94" s="45"/>
      <c r="V94" s="45"/>
      <c r="W94" s="45"/>
    </row>
    <row r="95" spans="1:24" x14ac:dyDescent="0.2">
      <c r="A95" s="45"/>
      <c r="B95" s="136"/>
      <c r="C95" s="135"/>
      <c r="D95" s="45"/>
      <c r="E95" s="45"/>
      <c r="F95" s="136"/>
      <c r="G95" s="135"/>
      <c r="H95" s="45"/>
      <c r="I95" s="45"/>
      <c r="J95" s="137"/>
      <c r="K95" s="135"/>
      <c r="L95" s="45"/>
      <c r="M95" s="47"/>
      <c r="N95" s="137"/>
      <c r="O95" s="135"/>
      <c r="P95" s="46"/>
      <c r="Q95" s="45"/>
      <c r="R95" s="137"/>
      <c r="S95" s="135"/>
      <c r="T95" s="45"/>
      <c r="U95" s="45"/>
      <c r="V95" s="45"/>
      <c r="W95" s="45"/>
    </row>
    <row r="96" spans="1:24" x14ac:dyDescent="0.2">
      <c r="A96" s="45"/>
      <c r="B96" s="136"/>
      <c r="C96" s="135"/>
      <c r="D96" s="45"/>
      <c r="E96" s="45"/>
      <c r="F96" s="136"/>
      <c r="G96" s="135"/>
      <c r="H96" s="45"/>
      <c r="I96" s="45"/>
      <c r="J96" s="137"/>
      <c r="K96" s="135"/>
      <c r="L96" s="45"/>
      <c r="M96" s="47"/>
      <c r="N96" s="137"/>
      <c r="O96" s="135"/>
      <c r="P96" s="46"/>
      <c r="Q96" s="45"/>
      <c r="R96" s="137"/>
      <c r="S96" s="135"/>
      <c r="T96" s="45"/>
      <c r="U96" s="45"/>
      <c r="V96" s="45"/>
      <c r="W96" s="45"/>
    </row>
    <row r="97" spans="1:23" x14ac:dyDescent="0.2">
      <c r="A97" s="45"/>
      <c r="B97" s="136"/>
      <c r="C97" s="135"/>
      <c r="D97" s="45"/>
      <c r="E97" s="45"/>
      <c r="F97" s="136"/>
      <c r="G97" s="135"/>
      <c r="H97" s="45"/>
      <c r="I97" s="45"/>
      <c r="J97" s="137"/>
      <c r="K97" s="135"/>
      <c r="L97" s="45"/>
      <c r="M97" s="47"/>
      <c r="N97" s="137"/>
      <c r="O97" s="135"/>
      <c r="P97" s="46"/>
      <c r="Q97" s="45"/>
      <c r="R97" s="137"/>
      <c r="S97" s="135"/>
      <c r="T97" s="45"/>
      <c r="U97" s="45"/>
      <c r="V97" s="45"/>
      <c r="W97" s="45"/>
    </row>
    <row r="98" spans="1:23" x14ac:dyDescent="0.2">
      <c r="A98" s="45"/>
      <c r="B98" s="136"/>
      <c r="C98" s="135"/>
      <c r="D98" s="45"/>
      <c r="E98" s="45"/>
      <c r="F98" s="136"/>
      <c r="G98" s="135"/>
      <c r="H98" s="45"/>
      <c r="I98" s="45"/>
      <c r="J98" s="137"/>
      <c r="K98" s="135"/>
      <c r="L98" s="45"/>
      <c r="M98" s="47"/>
      <c r="N98" s="137"/>
      <c r="O98" s="135"/>
      <c r="P98" s="46"/>
      <c r="Q98" s="45"/>
      <c r="R98" s="137"/>
      <c r="S98" s="135"/>
      <c r="T98" s="45"/>
      <c r="U98" s="45"/>
      <c r="V98" s="45"/>
      <c r="W98" s="45"/>
    </row>
    <row r="99" spans="1:23" x14ac:dyDescent="0.2">
      <c r="A99" s="45"/>
      <c r="B99" s="136"/>
      <c r="C99" s="135"/>
      <c r="D99" s="45"/>
      <c r="E99" s="45"/>
      <c r="F99" s="136"/>
      <c r="G99" s="135"/>
      <c r="H99" s="45"/>
      <c r="I99" s="45"/>
      <c r="J99" s="137"/>
      <c r="K99" s="135"/>
      <c r="L99" s="45"/>
      <c r="M99" s="47"/>
      <c r="N99" s="137"/>
      <c r="O99" s="135"/>
      <c r="P99" s="46"/>
      <c r="Q99" s="45"/>
      <c r="R99" s="137"/>
      <c r="S99" s="135"/>
      <c r="T99" s="45"/>
      <c r="U99" s="45"/>
      <c r="V99" s="45"/>
      <c r="W99" s="45"/>
    </row>
    <row r="100" spans="1:23" x14ac:dyDescent="0.2">
      <c r="A100" s="45"/>
      <c r="B100" s="136"/>
      <c r="C100" s="135"/>
      <c r="D100" s="45"/>
      <c r="E100" s="45"/>
      <c r="F100" s="136"/>
      <c r="G100" s="135"/>
      <c r="H100" s="45"/>
      <c r="I100" s="45"/>
      <c r="J100" s="137"/>
      <c r="K100" s="135"/>
      <c r="L100" s="45"/>
      <c r="M100" s="47"/>
      <c r="N100" s="137"/>
      <c r="O100" s="135"/>
      <c r="P100" s="46"/>
      <c r="Q100" s="45"/>
      <c r="R100" s="137"/>
      <c r="S100" s="135"/>
      <c r="T100" s="45"/>
      <c r="U100" s="45"/>
      <c r="V100" s="45"/>
      <c r="W100" s="45"/>
    </row>
    <row r="101" spans="1:23" x14ac:dyDescent="0.2">
      <c r="A101" s="45"/>
      <c r="B101" s="136"/>
      <c r="C101" s="135"/>
      <c r="D101" s="45"/>
      <c r="E101" s="45"/>
      <c r="F101" s="136"/>
      <c r="G101" s="135"/>
      <c r="H101" s="45"/>
      <c r="I101" s="45"/>
      <c r="J101" s="137"/>
      <c r="K101" s="135"/>
      <c r="L101" s="45"/>
      <c r="M101" s="47"/>
      <c r="N101" s="137"/>
      <c r="O101" s="135"/>
      <c r="P101" s="46"/>
      <c r="Q101" s="45"/>
      <c r="R101" s="137"/>
      <c r="S101" s="135"/>
      <c r="T101" s="45"/>
      <c r="U101" s="45"/>
      <c r="V101" s="45"/>
      <c r="W101" s="45"/>
    </row>
    <row r="102" spans="1:23" x14ac:dyDescent="0.2">
      <c r="A102" s="45"/>
      <c r="B102" s="136"/>
      <c r="C102" s="135"/>
      <c r="D102" s="45"/>
      <c r="E102" s="45"/>
      <c r="F102" s="136"/>
      <c r="G102" s="135"/>
      <c r="H102" s="45"/>
      <c r="I102" s="45"/>
      <c r="J102" s="137"/>
      <c r="K102" s="135"/>
      <c r="L102" s="45"/>
      <c r="M102" s="47"/>
      <c r="N102" s="137"/>
      <c r="O102" s="135"/>
      <c r="P102" s="46"/>
      <c r="Q102" s="45"/>
      <c r="R102" s="137"/>
      <c r="S102" s="135"/>
      <c r="T102" s="45"/>
      <c r="U102" s="45"/>
      <c r="V102" s="45"/>
      <c r="W102" s="45"/>
    </row>
    <row r="103" spans="1:23" x14ac:dyDescent="0.2">
      <c r="A103" s="45"/>
      <c r="B103" s="136"/>
      <c r="C103" s="135"/>
      <c r="D103" s="45"/>
      <c r="E103" s="45"/>
      <c r="F103" s="136"/>
      <c r="G103" s="135"/>
      <c r="H103" s="45"/>
      <c r="I103" s="45"/>
      <c r="J103" s="137"/>
      <c r="K103" s="135"/>
      <c r="L103" s="45"/>
      <c r="M103" s="47"/>
      <c r="N103" s="137"/>
      <c r="O103" s="135"/>
      <c r="P103" s="46"/>
      <c r="Q103" s="45"/>
      <c r="R103" s="137"/>
      <c r="S103" s="135"/>
      <c r="T103" s="45"/>
      <c r="U103" s="45"/>
      <c r="V103" s="45"/>
      <c r="W103" s="45"/>
    </row>
    <row r="104" spans="1:23" x14ac:dyDescent="0.2">
      <c r="A104" s="45"/>
      <c r="B104" s="136"/>
      <c r="C104" s="135"/>
      <c r="D104" s="45"/>
      <c r="E104" s="45"/>
      <c r="F104" s="136"/>
      <c r="G104" s="135"/>
      <c r="H104" s="45"/>
      <c r="I104" s="45"/>
      <c r="J104" s="137"/>
      <c r="K104" s="135"/>
      <c r="L104" s="45"/>
      <c r="M104" s="47"/>
      <c r="N104" s="137"/>
      <c r="O104" s="135"/>
      <c r="P104" s="46"/>
      <c r="Q104" s="45"/>
      <c r="R104" s="137"/>
      <c r="S104" s="135"/>
      <c r="T104" s="45"/>
      <c r="U104" s="45"/>
      <c r="V104" s="45"/>
      <c r="W104" s="45"/>
    </row>
    <row r="105" spans="1:23" x14ac:dyDescent="0.2">
      <c r="A105" s="45"/>
      <c r="B105" s="136"/>
      <c r="C105" s="135"/>
      <c r="D105" s="45"/>
      <c r="E105" s="45"/>
      <c r="F105" s="136"/>
      <c r="G105" s="135"/>
      <c r="H105" s="45"/>
      <c r="I105" s="45"/>
      <c r="J105" s="137"/>
      <c r="K105" s="135"/>
      <c r="L105" s="45"/>
      <c r="M105" s="47"/>
      <c r="N105" s="137"/>
      <c r="O105" s="135"/>
      <c r="P105" s="46"/>
      <c r="Q105" s="45"/>
      <c r="R105" s="137"/>
      <c r="S105" s="135"/>
      <c r="T105" s="45"/>
      <c r="U105" s="45"/>
      <c r="V105" s="45"/>
      <c r="W105" s="45"/>
    </row>
    <row r="106" spans="1:23" x14ac:dyDescent="0.2">
      <c r="A106" s="45"/>
      <c r="B106" s="136"/>
      <c r="C106" s="135"/>
      <c r="D106" s="45"/>
      <c r="E106" s="45"/>
      <c r="F106" s="136"/>
      <c r="G106" s="135"/>
      <c r="H106" s="45"/>
      <c r="I106" s="45"/>
      <c r="J106" s="137"/>
      <c r="K106" s="135"/>
      <c r="L106" s="45"/>
      <c r="M106" s="47"/>
      <c r="N106" s="137"/>
      <c r="O106" s="135"/>
      <c r="P106" s="46"/>
      <c r="Q106" s="45"/>
      <c r="R106" s="137"/>
      <c r="S106" s="135"/>
      <c r="T106" s="45"/>
      <c r="U106" s="45"/>
      <c r="V106" s="45"/>
      <c r="W106" s="45"/>
    </row>
    <row r="107" spans="1:23" x14ac:dyDescent="0.2">
      <c r="A107" s="45"/>
      <c r="B107" s="136"/>
      <c r="C107" s="135"/>
      <c r="D107" s="45"/>
      <c r="E107" s="45"/>
      <c r="F107" s="136"/>
      <c r="G107" s="135"/>
      <c r="H107" s="45"/>
      <c r="I107" s="45"/>
      <c r="J107" s="137"/>
      <c r="K107" s="135"/>
      <c r="L107" s="45"/>
      <c r="M107" s="47"/>
      <c r="N107" s="137"/>
      <c r="O107" s="135"/>
      <c r="P107" s="46"/>
      <c r="Q107" s="45"/>
      <c r="R107" s="137"/>
      <c r="S107" s="135"/>
      <c r="T107" s="45"/>
      <c r="U107" s="45"/>
      <c r="V107" s="45"/>
      <c r="W107" s="45"/>
    </row>
    <row r="108" spans="1:23" x14ac:dyDescent="0.2">
      <c r="A108" s="45"/>
      <c r="B108" s="136"/>
      <c r="C108" s="135"/>
      <c r="D108" s="45"/>
      <c r="E108" s="45"/>
      <c r="F108" s="136"/>
      <c r="G108" s="135"/>
      <c r="H108" s="45"/>
      <c r="I108" s="45"/>
      <c r="J108" s="137"/>
      <c r="K108" s="135"/>
      <c r="L108" s="45"/>
      <c r="M108" s="47"/>
      <c r="N108" s="137"/>
      <c r="O108" s="135"/>
      <c r="P108" s="46"/>
      <c r="Q108" s="45"/>
      <c r="R108" s="137"/>
      <c r="S108" s="135"/>
      <c r="T108" s="45"/>
      <c r="U108" s="45"/>
      <c r="V108" s="45"/>
      <c r="W108" s="45"/>
    </row>
    <row r="109" spans="1:23" x14ac:dyDescent="0.2">
      <c r="A109" s="45"/>
      <c r="B109" s="136"/>
      <c r="C109" s="135"/>
      <c r="D109" s="45"/>
      <c r="E109" s="45"/>
      <c r="F109" s="136"/>
      <c r="G109" s="135"/>
      <c r="H109" s="45"/>
      <c r="I109" s="45"/>
      <c r="J109" s="137"/>
      <c r="K109" s="135"/>
      <c r="L109" s="45"/>
      <c r="M109" s="47"/>
      <c r="N109" s="137"/>
      <c r="O109" s="135"/>
      <c r="P109" s="46"/>
      <c r="Q109" s="45"/>
      <c r="R109" s="137"/>
      <c r="S109" s="135"/>
      <c r="T109" s="45"/>
      <c r="U109" s="45"/>
      <c r="V109" s="45"/>
      <c r="W109" s="45"/>
    </row>
    <row r="110" spans="1:23" x14ac:dyDescent="0.2">
      <c r="A110" s="45"/>
      <c r="B110" s="136"/>
      <c r="C110" s="135"/>
      <c r="D110" s="45"/>
      <c r="E110" s="45"/>
      <c r="F110" s="136"/>
      <c r="G110" s="135"/>
      <c r="H110" s="45"/>
      <c r="I110" s="45"/>
      <c r="J110" s="137"/>
      <c r="K110" s="135"/>
      <c r="L110" s="45"/>
      <c r="M110" s="47"/>
      <c r="N110" s="137"/>
      <c r="O110" s="135"/>
      <c r="P110" s="46"/>
      <c r="Q110" s="45"/>
      <c r="R110" s="137"/>
      <c r="S110" s="135"/>
      <c r="T110" s="45"/>
      <c r="U110" s="45"/>
      <c r="V110" s="45"/>
      <c r="W110" s="45"/>
    </row>
    <row r="111" spans="1:23" x14ac:dyDescent="0.2">
      <c r="A111" s="45"/>
      <c r="B111" s="136"/>
      <c r="C111" s="135"/>
      <c r="D111" s="45"/>
      <c r="E111" s="45"/>
      <c r="F111" s="136"/>
      <c r="G111" s="135"/>
      <c r="H111" s="45"/>
      <c r="I111" s="45"/>
      <c r="J111" s="137"/>
      <c r="K111" s="135"/>
      <c r="L111" s="45"/>
      <c r="M111" s="47"/>
      <c r="N111" s="137"/>
      <c r="O111" s="135"/>
      <c r="P111" s="46"/>
      <c r="Q111" s="45"/>
      <c r="R111" s="137"/>
      <c r="S111" s="135"/>
      <c r="T111" s="45"/>
      <c r="U111" s="45"/>
      <c r="V111" s="45"/>
      <c r="W111" s="45"/>
    </row>
    <row r="112" spans="1:23" x14ac:dyDescent="0.2">
      <c r="A112" s="45"/>
      <c r="B112" s="136"/>
      <c r="C112" s="135"/>
      <c r="D112" s="45"/>
      <c r="E112" s="45"/>
      <c r="F112" s="136"/>
      <c r="G112" s="135"/>
      <c r="H112" s="45"/>
      <c r="I112" s="45"/>
      <c r="J112" s="137"/>
      <c r="K112" s="135"/>
      <c r="L112" s="45"/>
      <c r="M112" s="47"/>
      <c r="N112" s="137"/>
      <c r="O112" s="135"/>
      <c r="P112" s="46"/>
      <c r="Q112" s="45"/>
      <c r="R112" s="137"/>
      <c r="S112" s="135"/>
      <c r="T112" s="45"/>
      <c r="U112" s="45"/>
      <c r="V112" s="45"/>
      <c r="W112" s="45"/>
    </row>
    <row r="113" spans="1:23" x14ac:dyDescent="0.2">
      <c r="A113" s="45"/>
      <c r="B113" s="136"/>
      <c r="C113" s="135"/>
      <c r="D113" s="45"/>
      <c r="E113" s="45"/>
      <c r="F113" s="136"/>
      <c r="G113" s="135"/>
      <c r="H113" s="45"/>
      <c r="I113" s="45"/>
      <c r="J113" s="137"/>
      <c r="K113" s="135"/>
      <c r="L113" s="45"/>
      <c r="M113" s="47"/>
      <c r="N113" s="137"/>
      <c r="O113" s="135"/>
      <c r="P113" s="46"/>
      <c r="Q113" s="45"/>
      <c r="R113" s="137"/>
      <c r="S113" s="135"/>
      <c r="T113" s="45"/>
      <c r="U113" s="45"/>
      <c r="V113" s="45"/>
      <c r="W113" s="45"/>
    </row>
    <row r="114" spans="1:23" x14ac:dyDescent="0.2">
      <c r="A114" s="45"/>
      <c r="B114" s="136"/>
      <c r="C114" s="135"/>
      <c r="D114" s="45"/>
      <c r="E114" s="45"/>
      <c r="F114" s="136"/>
      <c r="G114" s="135"/>
      <c r="H114" s="45"/>
      <c r="I114" s="45"/>
      <c r="J114" s="137"/>
      <c r="K114" s="135"/>
      <c r="L114" s="45"/>
      <c r="M114" s="47"/>
      <c r="N114" s="137"/>
      <c r="O114" s="135"/>
      <c r="P114" s="46"/>
      <c r="Q114" s="45"/>
      <c r="R114" s="137"/>
      <c r="S114" s="135"/>
      <c r="T114" s="45"/>
      <c r="U114" s="45"/>
      <c r="V114" s="45"/>
      <c r="W114" s="45"/>
    </row>
    <row r="115" spans="1:23" x14ac:dyDescent="0.2">
      <c r="A115" s="45"/>
      <c r="B115" s="136"/>
      <c r="C115" s="135"/>
      <c r="D115" s="45"/>
      <c r="E115" s="45"/>
      <c r="F115" s="136"/>
      <c r="G115" s="135"/>
      <c r="H115" s="45"/>
      <c r="I115" s="45"/>
      <c r="J115" s="137"/>
      <c r="K115" s="135"/>
      <c r="L115" s="45"/>
      <c r="M115" s="47"/>
      <c r="N115" s="137"/>
      <c r="O115" s="135"/>
      <c r="P115" s="46"/>
      <c r="Q115" s="45"/>
      <c r="R115" s="137"/>
      <c r="S115" s="135"/>
      <c r="T115" s="45"/>
      <c r="U115" s="45"/>
      <c r="V115" s="45"/>
      <c r="W115" s="45"/>
    </row>
    <row r="116" spans="1:23" x14ac:dyDescent="0.2">
      <c r="A116" s="45"/>
      <c r="B116" s="136"/>
      <c r="C116" s="135"/>
      <c r="D116" s="45"/>
      <c r="E116" s="45"/>
      <c r="F116" s="136"/>
      <c r="G116" s="135"/>
      <c r="H116" s="45"/>
      <c r="I116" s="45"/>
      <c r="J116" s="137"/>
      <c r="K116" s="135"/>
      <c r="L116" s="45"/>
      <c r="M116" s="47"/>
      <c r="N116" s="137"/>
      <c r="O116" s="135"/>
      <c r="P116" s="46"/>
      <c r="Q116" s="45"/>
      <c r="R116" s="137"/>
      <c r="S116" s="135"/>
      <c r="T116" s="45"/>
      <c r="U116" s="45"/>
      <c r="V116" s="45"/>
      <c r="W116" s="45"/>
    </row>
    <row r="117" spans="1:23" x14ac:dyDescent="0.2">
      <c r="A117" s="45"/>
      <c r="B117" s="136"/>
      <c r="C117" s="135"/>
      <c r="D117" s="45"/>
      <c r="E117" s="45"/>
      <c r="F117" s="136"/>
      <c r="G117" s="135"/>
      <c r="H117" s="45"/>
      <c r="I117" s="45"/>
      <c r="J117" s="137"/>
      <c r="K117" s="135"/>
      <c r="L117" s="45"/>
      <c r="M117" s="47"/>
      <c r="N117" s="137"/>
      <c r="O117" s="135"/>
      <c r="P117" s="46"/>
      <c r="Q117" s="45"/>
      <c r="R117" s="137"/>
      <c r="S117" s="135"/>
      <c r="T117" s="45"/>
      <c r="U117" s="45"/>
      <c r="V117" s="45"/>
      <c r="W117" s="45"/>
    </row>
    <row r="118" spans="1:23" x14ac:dyDescent="0.2">
      <c r="A118" s="45"/>
      <c r="B118" s="136"/>
      <c r="C118" s="135"/>
      <c r="D118" s="45"/>
      <c r="E118" s="45"/>
      <c r="F118" s="136"/>
      <c r="G118" s="135"/>
      <c r="H118" s="45"/>
      <c r="I118" s="45"/>
      <c r="J118" s="137"/>
      <c r="K118" s="135"/>
      <c r="L118" s="45"/>
      <c r="M118" s="47"/>
      <c r="N118" s="137"/>
      <c r="O118" s="135"/>
      <c r="P118" s="46"/>
      <c r="Q118" s="45"/>
      <c r="R118" s="137"/>
      <c r="S118" s="135"/>
      <c r="T118" s="45"/>
      <c r="U118" s="45"/>
      <c r="V118" s="45"/>
      <c r="W118" s="45"/>
    </row>
    <row r="119" spans="1:23" x14ac:dyDescent="0.2">
      <c r="A119" s="45"/>
      <c r="B119" s="136"/>
      <c r="C119" s="135"/>
      <c r="D119" s="45"/>
      <c r="E119" s="45"/>
      <c r="F119" s="136"/>
      <c r="G119" s="135"/>
      <c r="H119" s="45"/>
      <c r="I119" s="45"/>
      <c r="J119" s="137"/>
      <c r="K119" s="135"/>
      <c r="L119" s="45"/>
      <c r="M119" s="47"/>
      <c r="N119" s="137"/>
      <c r="O119" s="135"/>
      <c r="P119" s="46"/>
      <c r="Q119" s="45"/>
      <c r="R119" s="137"/>
      <c r="S119" s="135"/>
      <c r="T119" s="45"/>
      <c r="U119" s="45"/>
      <c r="V119" s="45"/>
      <c r="W119" s="45"/>
    </row>
    <row r="120" spans="1:23" x14ac:dyDescent="0.2">
      <c r="A120" s="45"/>
      <c r="B120" s="136"/>
      <c r="C120" s="135"/>
      <c r="D120" s="45"/>
      <c r="E120" s="45"/>
      <c r="F120" s="136"/>
      <c r="G120" s="135"/>
      <c r="H120" s="45"/>
      <c r="I120" s="45"/>
      <c r="J120" s="137"/>
      <c r="K120" s="135"/>
      <c r="L120" s="45"/>
      <c r="M120" s="47"/>
      <c r="N120" s="137"/>
      <c r="O120" s="135"/>
      <c r="P120" s="46"/>
      <c r="Q120" s="45"/>
      <c r="R120" s="137"/>
      <c r="S120" s="135"/>
      <c r="T120" s="45"/>
      <c r="U120" s="45"/>
      <c r="V120" s="45"/>
      <c r="W120" s="45"/>
    </row>
    <row r="121" spans="1:23" x14ac:dyDescent="0.2">
      <c r="A121" s="45"/>
      <c r="B121" s="136"/>
      <c r="C121" s="135"/>
      <c r="D121" s="45"/>
      <c r="E121" s="45"/>
      <c r="F121" s="136"/>
      <c r="G121" s="135"/>
      <c r="H121" s="45"/>
      <c r="I121" s="45"/>
      <c r="J121" s="137"/>
      <c r="K121" s="135"/>
      <c r="L121" s="45"/>
      <c r="M121" s="47"/>
      <c r="N121" s="137"/>
      <c r="O121" s="135"/>
      <c r="P121" s="46"/>
      <c r="Q121" s="45"/>
      <c r="R121" s="137"/>
      <c r="S121" s="135"/>
      <c r="T121" s="45"/>
      <c r="U121" s="45"/>
      <c r="V121" s="45"/>
      <c r="W121" s="45"/>
    </row>
    <row r="122" spans="1:23" x14ac:dyDescent="0.2">
      <c r="A122" s="45"/>
      <c r="B122" s="136"/>
      <c r="C122" s="135"/>
      <c r="D122" s="45"/>
      <c r="E122" s="45"/>
      <c r="F122" s="136"/>
      <c r="G122" s="135"/>
      <c r="H122" s="45"/>
      <c r="I122" s="45"/>
      <c r="J122" s="137"/>
      <c r="K122" s="135"/>
      <c r="L122" s="45"/>
      <c r="M122" s="47"/>
      <c r="N122" s="137"/>
      <c r="O122" s="135"/>
      <c r="P122" s="46"/>
      <c r="Q122" s="45"/>
      <c r="R122" s="137"/>
      <c r="S122" s="135"/>
      <c r="T122" s="45"/>
      <c r="U122" s="45"/>
      <c r="V122" s="45"/>
      <c r="W122" s="45"/>
    </row>
    <row r="123" spans="1:23" x14ac:dyDescent="0.2">
      <c r="A123" s="45"/>
      <c r="B123" s="136"/>
      <c r="C123" s="135"/>
      <c r="D123" s="45"/>
      <c r="E123" s="45"/>
      <c r="F123" s="136"/>
      <c r="G123" s="135"/>
      <c r="H123" s="45"/>
      <c r="I123" s="45"/>
      <c r="J123" s="137"/>
      <c r="K123" s="135"/>
      <c r="L123" s="45"/>
      <c r="M123" s="47"/>
      <c r="N123" s="137"/>
      <c r="O123" s="135"/>
      <c r="P123" s="46"/>
      <c r="Q123" s="45"/>
      <c r="R123" s="137"/>
      <c r="S123" s="135"/>
      <c r="T123" s="45"/>
      <c r="U123" s="45"/>
      <c r="V123" s="45"/>
      <c r="W123" s="45"/>
    </row>
    <row r="124" spans="1:23" x14ac:dyDescent="0.2">
      <c r="A124" s="45"/>
      <c r="B124" s="136"/>
      <c r="C124" s="135"/>
      <c r="D124" s="45"/>
      <c r="E124" s="45"/>
      <c r="F124" s="136"/>
      <c r="G124" s="135"/>
      <c r="H124" s="45"/>
      <c r="I124" s="45"/>
      <c r="J124" s="137"/>
      <c r="K124" s="135"/>
      <c r="L124" s="45"/>
      <c r="M124" s="47"/>
      <c r="N124" s="137"/>
      <c r="O124" s="135"/>
      <c r="P124" s="46"/>
      <c r="Q124" s="45"/>
      <c r="R124" s="137"/>
      <c r="S124" s="135"/>
      <c r="T124" s="45"/>
      <c r="U124" s="45"/>
      <c r="V124" s="45"/>
      <c r="W124" s="45"/>
    </row>
    <row r="125" spans="1:23" x14ac:dyDescent="0.2">
      <c r="A125" s="45"/>
      <c r="B125" s="136"/>
      <c r="C125" s="135"/>
      <c r="D125" s="45"/>
      <c r="E125" s="45"/>
      <c r="F125" s="136"/>
      <c r="G125" s="135"/>
      <c r="H125" s="45"/>
      <c r="I125" s="45"/>
      <c r="J125" s="137"/>
      <c r="K125" s="135"/>
      <c r="L125" s="45"/>
      <c r="M125" s="47"/>
      <c r="N125" s="137"/>
      <c r="O125" s="135"/>
      <c r="P125" s="46"/>
      <c r="Q125" s="45"/>
      <c r="R125" s="137"/>
      <c r="S125" s="135"/>
      <c r="T125" s="45"/>
      <c r="U125" s="45"/>
      <c r="V125" s="45"/>
      <c r="W125" s="45"/>
    </row>
    <row r="126" spans="1:23" x14ac:dyDescent="0.2">
      <c r="A126" s="45"/>
      <c r="B126" s="136"/>
      <c r="C126" s="135"/>
      <c r="D126" s="45"/>
      <c r="E126" s="45"/>
      <c r="F126" s="136"/>
      <c r="G126" s="135"/>
      <c r="H126" s="45"/>
      <c r="I126" s="45"/>
      <c r="J126" s="137"/>
      <c r="K126" s="135"/>
      <c r="L126" s="45"/>
      <c r="M126" s="47"/>
      <c r="N126" s="137"/>
      <c r="O126" s="135"/>
      <c r="P126" s="46"/>
      <c r="Q126" s="45"/>
      <c r="R126" s="137"/>
      <c r="S126" s="135"/>
      <c r="T126" s="45"/>
      <c r="U126" s="45"/>
      <c r="V126" s="45"/>
      <c r="W126" s="45"/>
    </row>
    <row r="127" spans="1:23" x14ac:dyDescent="0.2">
      <c r="A127" s="45"/>
      <c r="B127" s="136"/>
      <c r="C127" s="135"/>
      <c r="D127" s="45"/>
      <c r="E127" s="45"/>
      <c r="F127" s="136"/>
      <c r="G127" s="135"/>
      <c r="H127" s="45"/>
      <c r="I127" s="45"/>
      <c r="J127" s="137"/>
      <c r="K127" s="135"/>
      <c r="L127" s="45"/>
      <c r="M127" s="47"/>
      <c r="N127" s="137"/>
      <c r="O127" s="135"/>
      <c r="P127" s="46"/>
      <c r="Q127" s="45"/>
      <c r="R127" s="137"/>
      <c r="S127" s="135"/>
      <c r="T127" s="45"/>
      <c r="U127" s="45"/>
      <c r="V127" s="45"/>
      <c r="W127" s="45"/>
    </row>
    <row r="128" spans="1:23" x14ac:dyDescent="0.2">
      <c r="A128" s="45"/>
      <c r="B128" s="136"/>
      <c r="C128" s="135"/>
      <c r="D128" s="45"/>
      <c r="E128" s="45"/>
      <c r="F128" s="136"/>
      <c r="G128" s="135"/>
      <c r="H128" s="45"/>
      <c r="I128" s="45"/>
      <c r="J128" s="137"/>
      <c r="K128" s="135"/>
      <c r="L128" s="45"/>
      <c r="M128" s="47"/>
      <c r="N128" s="137"/>
      <c r="O128" s="135"/>
      <c r="P128" s="46"/>
      <c r="Q128" s="45"/>
      <c r="R128" s="137"/>
      <c r="S128" s="135"/>
      <c r="T128" s="45"/>
      <c r="U128" s="45"/>
      <c r="V128" s="45"/>
      <c r="W128" s="45"/>
    </row>
    <row r="129" spans="1:23" x14ac:dyDescent="0.2">
      <c r="A129" s="45"/>
      <c r="B129" s="136"/>
      <c r="C129" s="135"/>
      <c r="D129" s="45"/>
      <c r="E129" s="45"/>
      <c r="F129" s="136"/>
      <c r="G129" s="135"/>
      <c r="H129" s="45"/>
      <c r="I129" s="45"/>
      <c r="J129" s="137"/>
      <c r="K129" s="135"/>
      <c r="L129" s="45"/>
      <c r="M129" s="47"/>
      <c r="N129" s="137"/>
      <c r="O129" s="135"/>
      <c r="P129" s="46"/>
      <c r="Q129" s="45"/>
      <c r="R129" s="137"/>
      <c r="S129" s="135"/>
      <c r="T129" s="45"/>
      <c r="U129" s="45"/>
      <c r="V129" s="45"/>
      <c r="W129" s="45"/>
    </row>
    <row r="130" spans="1:23" x14ac:dyDescent="0.2">
      <c r="A130" s="45"/>
      <c r="B130" s="136"/>
      <c r="C130" s="135"/>
      <c r="D130" s="45"/>
      <c r="E130" s="45"/>
      <c r="F130" s="136"/>
      <c r="G130" s="135"/>
      <c r="H130" s="45"/>
      <c r="I130" s="45"/>
      <c r="J130" s="137"/>
      <c r="K130" s="135"/>
      <c r="L130" s="45"/>
      <c r="M130" s="47"/>
      <c r="N130" s="137"/>
      <c r="O130" s="135"/>
      <c r="P130" s="46"/>
      <c r="Q130" s="45"/>
      <c r="R130" s="137"/>
      <c r="S130" s="135"/>
      <c r="T130" s="45"/>
      <c r="U130" s="45"/>
      <c r="V130" s="45"/>
      <c r="W130" s="45"/>
    </row>
    <row r="131" spans="1:23" x14ac:dyDescent="0.2">
      <c r="A131" s="45"/>
      <c r="B131" s="136"/>
      <c r="C131" s="135"/>
      <c r="D131" s="45"/>
      <c r="E131" s="45"/>
      <c r="F131" s="136"/>
      <c r="G131" s="135"/>
      <c r="H131" s="45"/>
      <c r="I131" s="45"/>
      <c r="J131" s="137"/>
      <c r="K131" s="135"/>
      <c r="L131" s="45"/>
      <c r="M131" s="47"/>
      <c r="N131" s="137"/>
      <c r="O131" s="135"/>
      <c r="P131" s="46"/>
      <c r="Q131" s="45"/>
      <c r="R131" s="137"/>
      <c r="S131" s="135"/>
      <c r="T131" s="45"/>
      <c r="U131" s="45"/>
      <c r="V131" s="45"/>
      <c r="W131" s="45"/>
    </row>
    <row r="132" spans="1:23" x14ac:dyDescent="0.2">
      <c r="A132" s="45"/>
      <c r="B132" s="136"/>
      <c r="C132" s="135"/>
      <c r="D132" s="45"/>
      <c r="E132" s="45"/>
      <c r="F132" s="136"/>
      <c r="G132" s="135"/>
      <c r="H132" s="45"/>
      <c r="I132" s="45"/>
      <c r="J132" s="137"/>
      <c r="K132" s="135"/>
      <c r="L132" s="45"/>
      <c r="M132" s="47"/>
      <c r="N132" s="137"/>
      <c r="O132" s="135"/>
      <c r="P132" s="46"/>
      <c r="Q132" s="45"/>
      <c r="R132" s="137"/>
      <c r="S132" s="135"/>
      <c r="T132" s="45"/>
      <c r="U132" s="45"/>
      <c r="V132" s="45"/>
      <c r="W132" s="45"/>
    </row>
    <row r="133" spans="1:23" x14ac:dyDescent="0.2">
      <c r="A133" s="45"/>
      <c r="B133" s="136"/>
      <c r="C133" s="135"/>
      <c r="D133" s="45"/>
      <c r="E133" s="45"/>
      <c r="F133" s="136"/>
      <c r="G133" s="135"/>
      <c r="H133" s="45"/>
      <c r="I133" s="45"/>
      <c r="J133" s="137"/>
      <c r="K133" s="135"/>
      <c r="L133" s="45"/>
      <c r="M133" s="47"/>
      <c r="N133" s="137"/>
      <c r="O133" s="135"/>
      <c r="P133" s="46"/>
      <c r="Q133" s="45"/>
      <c r="R133" s="137"/>
      <c r="S133" s="135"/>
      <c r="T133" s="45"/>
      <c r="U133" s="45"/>
      <c r="V133" s="45"/>
      <c r="W133" s="45"/>
    </row>
    <row r="134" spans="1:23" x14ac:dyDescent="0.2">
      <c r="A134" s="45"/>
      <c r="B134" s="136"/>
      <c r="C134" s="135"/>
      <c r="D134" s="45"/>
      <c r="E134" s="45"/>
      <c r="F134" s="136"/>
      <c r="G134" s="135"/>
      <c r="H134" s="45"/>
      <c r="I134" s="45"/>
      <c r="J134" s="137"/>
      <c r="K134" s="135"/>
      <c r="L134" s="45"/>
      <c r="M134" s="47"/>
      <c r="N134" s="137"/>
      <c r="O134" s="135"/>
      <c r="P134" s="46"/>
      <c r="Q134" s="45"/>
      <c r="R134" s="137"/>
      <c r="S134" s="135"/>
      <c r="T134" s="45"/>
      <c r="U134" s="45"/>
      <c r="V134" s="45"/>
      <c r="W134" s="45"/>
    </row>
    <row r="135" spans="1:23" x14ac:dyDescent="0.2">
      <c r="A135" s="45"/>
      <c r="B135" s="136"/>
      <c r="C135" s="135"/>
      <c r="D135" s="45"/>
      <c r="E135" s="45"/>
      <c r="F135" s="136"/>
      <c r="G135" s="135"/>
      <c r="H135" s="45"/>
      <c r="I135" s="45"/>
      <c r="J135" s="137"/>
      <c r="K135" s="135"/>
      <c r="L135" s="45"/>
      <c r="M135" s="47"/>
      <c r="N135" s="137"/>
      <c r="O135" s="135"/>
      <c r="P135" s="46"/>
      <c r="Q135" s="45"/>
      <c r="R135" s="137"/>
      <c r="S135" s="135"/>
      <c r="T135" s="45"/>
      <c r="U135" s="45"/>
      <c r="V135" s="45"/>
      <c r="W135" s="45"/>
    </row>
    <row r="136" spans="1:23" x14ac:dyDescent="0.2">
      <c r="A136" s="45"/>
      <c r="B136" s="136"/>
      <c r="C136" s="135"/>
      <c r="D136" s="45"/>
      <c r="E136" s="45"/>
      <c r="F136" s="136"/>
      <c r="G136" s="135"/>
      <c r="H136" s="45"/>
      <c r="I136" s="45"/>
      <c r="J136" s="137"/>
      <c r="K136" s="135"/>
      <c r="L136" s="45"/>
      <c r="M136" s="47"/>
      <c r="N136" s="137"/>
      <c r="O136" s="135"/>
      <c r="P136" s="46"/>
      <c r="Q136" s="45"/>
      <c r="R136" s="137"/>
      <c r="S136" s="135"/>
      <c r="T136" s="45"/>
      <c r="U136" s="45"/>
      <c r="V136" s="45"/>
      <c r="W136" s="45"/>
    </row>
    <row r="137" spans="1:23" x14ac:dyDescent="0.2">
      <c r="A137" s="45"/>
      <c r="B137" s="136"/>
      <c r="C137" s="135"/>
      <c r="D137" s="45"/>
      <c r="E137" s="45"/>
      <c r="F137" s="136"/>
      <c r="G137" s="135"/>
      <c r="H137" s="45"/>
      <c r="I137" s="45"/>
      <c r="J137" s="137"/>
      <c r="K137" s="135"/>
      <c r="L137" s="45"/>
      <c r="M137" s="47"/>
      <c r="N137" s="137"/>
      <c r="O137" s="135"/>
      <c r="P137" s="46"/>
      <c r="Q137" s="45"/>
      <c r="R137" s="137"/>
      <c r="S137" s="135"/>
      <c r="T137" s="45"/>
      <c r="U137" s="45"/>
      <c r="V137" s="45"/>
      <c r="W137" s="45"/>
    </row>
    <row r="138" spans="1:23" x14ac:dyDescent="0.2">
      <c r="A138" s="45"/>
      <c r="B138" s="136"/>
      <c r="C138" s="135"/>
      <c r="D138" s="45"/>
      <c r="E138" s="45"/>
      <c r="F138" s="136"/>
      <c r="G138" s="135"/>
      <c r="H138" s="45"/>
      <c r="I138" s="45"/>
      <c r="J138" s="137"/>
      <c r="K138" s="135"/>
      <c r="L138" s="45"/>
      <c r="M138" s="47"/>
      <c r="N138" s="137"/>
      <c r="O138" s="135"/>
      <c r="P138" s="46"/>
      <c r="Q138" s="45"/>
      <c r="R138" s="137"/>
      <c r="S138" s="135"/>
      <c r="T138" s="45"/>
      <c r="U138" s="45"/>
      <c r="V138" s="45"/>
      <c r="W138" s="45"/>
    </row>
    <row r="139" spans="1:23" x14ac:dyDescent="0.2">
      <c r="A139" s="45"/>
      <c r="B139" s="136"/>
      <c r="C139" s="135"/>
      <c r="D139" s="45"/>
      <c r="E139" s="45"/>
      <c r="F139" s="136"/>
      <c r="G139" s="135"/>
      <c r="H139" s="45"/>
      <c r="I139" s="45"/>
      <c r="J139" s="137"/>
      <c r="K139" s="135"/>
      <c r="L139" s="45"/>
      <c r="M139" s="47"/>
      <c r="N139" s="137"/>
      <c r="O139" s="135"/>
      <c r="P139" s="46"/>
      <c r="Q139" s="45"/>
      <c r="R139" s="137"/>
      <c r="S139" s="135"/>
      <c r="T139" s="45"/>
      <c r="U139" s="45"/>
      <c r="V139" s="45"/>
      <c r="W139" s="45"/>
    </row>
    <row r="140" spans="1:23" x14ac:dyDescent="0.2">
      <c r="A140" s="45"/>
      <c r="B140" s="136"/>
      <c r="C140" s="135"/>
      <c r="D140" s="45"/>
      <c r="E140" s="45"/>
      <c r="F140" s="136"/>
      <c r="G140" s="135"/>
      <c r="H140" s="45"/>
      <c r="I140" s="45"/>
      <c r="J140" s="137"/>
      <c r="K140" s="135"/>
      <c r="L140" s="45"/>
      <c r="M140" s="47"/>
      <c r="N140" s="137"/>
      <c r="O140" s="135"/>
      <c r="P140" s="46"/>
      <c r="Q140" s="45"/>
      <c r="R140" s="137"/>
      <c r="S140" s="135"/>
      <c r="T140" s="45"/>
      <c r="U140" s="45"/>
      <c r="V140" s="45"/>
      <c r="W140" s="45"/>
    </row>
    <row r="141" spans="1:23" x14ac:dyDescent="0.2">
      <c r="A141" s="45"/>
      <c r="B141" s="136"/>
      <c r="C141" s="135"/>
      <c r="D141" s="45"/>
      <c r="E141" s="45"/>
      <c r="F141" s="136"/>
      <c r="G141" s="135"/>
      <c r="H141" s="45"/>
      <c r="I141" s="45"/>
      <c r="J141" s="137"/>
      <c r="K141" s="135"/>
      <c r="L141" s="45"/>
      <c r="M141" s="47"/>
      <c r="N141" s="137"/>
      <c r="O141" s="135"/>
      <c r="P141" s="46"/>
      <c r="Q141" s="45"/>
      <c r="R141" s="137"/>
      <c r="S141" s="135"/>
      <c r="T141" s="45"/>
      <c r="U141" s="45"/>
      <c r="V141" s="45"/>
      <c r="W141" s="45"/>
    </row>
    <row r="142" spans="1:23" x14ac:dyDescent="0.2">
      <c r="A142" s="45"/>
      <c r="B142" s="136"/>
      <c r="C142" s="135"/>
      <c r="D142" s="45"/>
      <c r="E142" s="45"/>
      <c r="F142" s="136"/>
      <c r="G142" s="135"/>
      <c r="H142" s="45"/>
      <c r="I142" s="45"/>
      <c r="J142" s="137"/>
      <c r="K142" s="135"/>
      <c r="L142" s="45"/>
      <c r="M142" s="47"/>
      <c r="N142" s="137"/>
      <c r="O142" s="135"/>
      <c r="P142" s="46"/>
      <c r="Q142" s="45"/>
      <c r="R142" s="137"/>
      <c r="S142" s="135"/>
      <c r="T142" s="45"/>
      <c r="U142" s="45"/>
      <c r="V142" s="45"/>
      <c r="W142" s="45"/>
    </row>
    <row r="143" spans="1:23" x14ac:dyDescent="0.2">
      <c r="A143" s="45"/>
      <c r="B143" s="136"/>
      <c r="C143" s="135"/>
      <c r="D143" s="45"/>
      <c r="E143" s="45"/>
      <c r="F143" s="136"/>
      <c r="G143" s="135"/>
      <c r="H143" s="45"/>
      <c r="I143" s="45"/>
      <c r="J143" s="137"/>
      <c r="K143" s="135"/>
      <c r="L143" s="45"/>
      <c r="M143" s="47"/>
      <c r="N143" s="137"/>
      <c r="O143" s="135"/>
      <c r="P143" s="46"/>
      <c r="Q143" s="45"/>
      <c r="R143" s="137"/>
      <c r="S143" s="135"/>
      <c r="T143" s="45"/>
      <c r="U143" s="45"/>
      <c r="V143" s="45"/>
      <c r="W143" s="45"/>
    </row>
    <row r="144" spans="1:23" x14ac:dyDescent="0.2">
      <c r="A144" s="45"/>
      <c r="B144" s="136"/>
      <c r="C144" s="135"/>
      <c r="D144" s="45"/>
      <c r="E144" s="45"/>
      <c r="F144" s="136"/>
      <c r="G144" s="135"/>
      <c r="H144" s="45"/>
      <c r="I144" s="45"/>
      <c r="J144" s="137"/>
      <c r="K144" s="135"/>
      <c r="L144" s="45"/>
      <c r="M144" s="47"/>
      <c r="N144" s="137"/>
      <c r="O144" s="135"/>
      <c r="P144" s="46"/>
      <c r="Q144" s="45"/>
      <c r="R144" s="137"/>
      <c r="S144" s="135"/>
      <c r="T144" s="45"/>
      <c r="U144" s="45"/>
      <c r="V144" s="45"/>
      <c r="W144" s="45"/>
    </row>
    <row r="145" spans="1:23" x14ac:dyDescent="0.2">
      <c r="A145" s="45"/>
      <c r="B145" s="136"/>
      <c r="C145" s="135"/>
      <c r="D145" s="45"/>
      <c r="E145" s="45"/>
      <c r="F145" s="136"/>
      <c r="G145" s="135"/>
      <c r="H145" s="45"/>
      <c r="I145" s="45"/>
      <c r="J145" s="137"/>
      <c r="K145" s="135"/>
      <c r="L145" s="45"/>
      <c r="M145" s="47"/>
      <c r="N145" s="137"/>
      <c r="O145" s="135"/>
      <c r="P145" s="46"/>
      <c r="Q145" s="45"/>
      <c r="R145" s="137"/>
      <c r="S145" s="135"/>
      <c r="T145" s="45"/>
      <c r="U145" s="45"/>
      <c r="V145" s="45"/>
      <c r="W145" s="45"/>
    </row>
    <row r="146" spans="1:23" x14ac:dyDescent="0.2">
      <c r="A146" s="45"/>
      <c r="B146" s="136"/>
      <c r="C146" s="135"/>
      <c r="D146" s="45"/>
      <c r="E146" s="45"/>
      <c r="F146" s="136"/>
      <c r="G146" s="135"/>
      <c r="H146" s="45"/>
      <c r="I146" s="45"/>
      <c r="J146" s="137"/>
      <c r="K146" s="135"/>
      <c r="L146" s="45"/>
      <c r="M146" s="47"/>
      <c r="N146" s="137"/>
      <c r="O146" s="135"/>
      <c r="P146" s="46"/>
      <c r="Q146" s="45"/>
      <c r="R146" s="137"/>
      <c r="S146" s="135"/>
      <c r="T146" s="45"/>
      <c r="U146" s="45"/>
      <c r="V146" s="45"/>
      <c r="W146" s="45"/>
    </row>
    <row r="147" spans="1:23" x14ac:dyDescent="0.2">
      <c r="A147" s="45"/>
      <c r="B147" s="136"/>
      <c r="C147" s="135"/>
      <c r="D147" s="45"/>
      <c r="E147" s="45"/>
      <c r="F147" s="136"/>
      <c r="G147" s="135"/>
      <c r="H147" s="45"/>
      <c r="I147" s="45"/>
      <c r="J147" s="137"/>
      <c r="K147" s="135"/>
      <c r="L147" s="45"/>
      <c r="M147" s="47"/>
      <c r="N147" s="137"/>
      <c r="O147" s="135"/>
      <c r="P147" s="46"/>
      <c r="Q147" s="45"/>
      <c r="R147" s="137"/>
      <c r="S147" s="135"/>
      <c r="T147" s="45"/>
      <c r="U147" s="45"/>
      <c r="V147" s="45"/>
      <c r="W147" s="45"/>
    </row>
    <row r="148" spans="1:23" x14ac:dyDescent="0.2">
      <c r="A148" s="45"/>
      <c r="B148" s="136"/>
      <c r="C148" s="135"/>
      <c r="D148" s="45"/>
      <c r="E148" s="45"/>
      <c r="F148" s="136"/>
      <c r="G148" s="135"/>
      <c r="H148" s="45"/>
      <c r="I148" s="45"/>
      <c r="J148" s="137"/>
      <c r="K148" s="135"/>
      <c r="L148" s="45"/>
      <c r="M148" s="47"/>
      <c r="N148" s="137"/>
      <c r="O148" s="135"/>
      <c r="P148" s="46"/>
      <c r="Q148" s="45"/>
      <c r="R148" s="137"/>
      <c r="S148" s="135"/>
      <c r="T148" s="45"/>
      <c r="U148" s="45"/>
      <c r="V148" s="45"/>
      <c r="W148" s="45"/>
    </row>
    <row r="149" spans="1:23" x14ac:dyDescent="0.2">
      <c r="A149" s="45"/>
      <c r="B149" s="136"/>
      <c r="C149" s="135"/>
      <c r="D149" s="45"/>
      <c r="E149" s="45"/>
      <c r="F149" s="136"/>
      <c r="G149" s="135"/>
      <c r="H149" s="45"/>
      <c r="I149" s="45"/>
      <c r="J149" s="137"/>
      <c r="K149" s="135"/>
      <c r="L149" s="45"/>
      <c r="M149" s="47"/>
      <c r="N149" s="137"/>
      <c r="O149" s="135"/>
      <c r="P149" s="46"/>
      <c r="Q149" s="45"/>
      <c r="R149" s="137"/>
      <c r="S149" s="135"/>
      <c r="T149" s="45"/>
      <c r="U149" s="45"/>
      <c r="V149" s="45"/>
      <c r="W149" s="45"/>
    </row>
    <row r="150" spans="1:23" x14ac:dyDescent="0.2">
      <c r="A150" s="45"/>
      <c r="B150" s="136"/>
      <c r="C150" s="135"/>
      <c r="D150" s="45"/>
      <c r="E150" s="45"/>
      <c r="F150" s="136"/>
      <c r="G150" s="135"/>
      <c r="H150" s="45"/>
      <c r="I150" s="45"/>
      <c r="J150" s="137"/>
      <c r="K150" s="135"/>
      <c r="L150" s="45"/>
      <c r="M150" s="47"/>
      <c r="N150" s="137"/>
      <c r="O150" s="135"/>
      <c r="P150" s="46"/>
      <c r="Q150" s="45"/>
      <c r="R150" s="137"/>
      <c r="S150" s="135"/>
      <c r="T150" s="45"/>
      <c r="U150" s="45"/>
      <c r="V150" s="45"/>
      <c r="W150" s="45"/>
    </row>
    <row r="151" spans="1:23" x14ac:dyDescent="0.2">
      <c r="A151" s="45"/>
      <c r="B151" s="136"/>
      <c r="C151" s="135"/>
      <c r="D151" s="45"/>
      <c r="E151" s="45"/>
      <c r="F151" s="136"/>
      <c r="G151" s="135"/>
      <c r="H151" s="45"/>
      <c r="I151" s="45"/>
      <c r="J151" s="137"/>
      <c r="K151" s="135"/>
      <c r="L151" s="45"/>
      <c r="M151" s="47"/>
      <c r="N151" s="137"/>
      <c r="O151" s="135"/>
      <c r="P151" s="46"/>
      <c r="Q151" s="45"/>
      <c r="R151" s="137"/>
      <c r="S151" s="135"/>
      <c r="T151" s="45"/>
      <c r="U151" s="45"/>
      <c r="V151" s="45"/>
      <c r="W151" s="45"/>
    </row>
    <row r="152" spans="1:23" x14ac:dyDescent="0.2">
      <c r="A152" s="45"/>
      <c r="B152" s="136"/>
      <c r="C152" s="135"/>
      <c r="D152" s="45"/>
      <c r="E152" s="45"/>
      <c r="F152" s="136"/>
      <c r="G152" s="135"/>
      <c r="H152" s="45"/>
      <c r="I152" s="45"/>
      <c r="J152" s="137"/>
      <c r="K152" s="135"/>
      <c r="L152" s="45"/>
      <c r="M152" s="47"/>
      <c r="N152" s="137"/>
      <c r="O152" s="135"/>
      <c r="P152" s="46"/>
      <c r="Q152" s="45"/>
      <c r="R152" s="137"/>
      <c r="S152" s="135"/>
      <c r="T152" s="45"/>
      <c r="U152" s="45"/>
      <c r="V152" s="45"/>
      <c r="W152" s="45"/>
    </row>
    <row r="153" spans="1:23" x14ac:dyDescent="0.2">
      <c r="A153" s="45"/>
      <c r="B153" s="136"/>
      <c r="C153" s="135"/>
      <c r="D153" s="45"/>
      <c r="E153" s="45"/>
      <c r="F153" s="136"/>
      <c r="G153" s="135"/>
      <c r="H153" s="45"/>
      <c r="I153" s="45"/>
      <c r="J153" s="137"/>
      <c r="K153" s="135"/>
      <c r="L153" s="45"/>
      <c r="M153" s="47"/>
      <c r="N153" s="137"/>
      <c r="O153" s="135"/>
      <c r="P153" s="46"/>
      <c r="Q153" s="45"/>
      <c r="R153" s="137"/>
      <c r="S153" s="135"/>
      <c r="T153" s="45"/>
      <c r="U153" s="45"/>
      <c r="V153" s="45"/>
      <c r="W153" s="45"/>
    </row>
    <row r="154" spans="1:23" x14ac:dyDescent="0.2">
      <c r="A154" s="45"/>
      <c r="B154" s="136"/>
      <c r="C154" s="135"/>
      <c r="D154" s="45"/>
      <c r="E154" s="45"/>
      <c r="F154" s="136"/>
      <c r="G154" s="135"/>
      <c r="H154" s="45"/>
      <c r="I154" s="45"/>
      <c r="J154" s="137"/>
      <c r="K154" s="135"/>
      <c r="L154" s="45"/>
      <c r="M154" s="47"/>
      <c r="N154" s="137"/>
      <c r="O154" s="135"/>
      <c r="P154" s="46"/>
      <c r="Q154" s="45"/>
      <c r="R154" s="137"/>
      <c r="S154" s="135"/>
      <c r="T154" s="45"/>
      <c r="U154" s="45"/>
      <c r="V154" s="45"/>
      <c r="W154" s="45"/>
    </row>
    <row r="155" spans="1:23" x14ac:dyDescent="0.2">
      <c r="A155" s="45"/>
      <c r="B155" s="136"/>
      <c r="C155" s="135"/>
      <c r="D155" s="45"/>
      <c r="E155" s="45"/>
      <c r="F155" s="136"/>
      <c r="G155" s="135"/>
      <c r="H155" s="45"/>
      <c r="I155" s="45"/>
      <c r="J155" s="137"/>
      <c r="K155" s="135"/>
      <c r="L155" s="45"/>
      <c r="M155" s="47"/>
      <c r="N155" s="137"/>
      <c r="O155" s="135"/>
      <c r="P155" s="46"/>
      <c r="Q155" s="45"/>
      <c r="R155" s="137"/>
      <c r="S155" s="135"/>
      <c r="T155" s="45"/>
      <c r="U155" s="45"/>
      <c r="V155" s="45"/>
      <c r="W155" s="45"/>
    </row>
    <row r="156" spans="1:23" x14ac:dyDescent="0.2">
      <c r="A156" s="45"/>
      <c r="B156" s="136"/>
      <c r="C156" s="135"/>
      <c r="D156" s="45"/>
      <c r="E156" s="45"/>
      <c r="F156" s="136"/>
      <c r="G156" s="135"/>
      <c r="H156" s="45"/>
      <c r="I156" s="45"/>
      <c r="J156" s="137"/>
      <c r="K156" s="135"/>
      <c r="L156" s="45"/>
      <c r="M156" s="47"/>
      <c r="N156" s="137"/>
      <c r="O156" s="135"/>
      <c r="P156" s="46"/>
      <c r="Q156" s="45"/>
      <c r="R156" s="137"/>
      <c r="S156" s="135"/>
      <c r="T156" s="45"/>
      <c r="U156" s="45"/>
      <c r="V156" s="45"/>
      <c r="W156" s="45"/>
    </row>
    <row r="157" spans="1:23" x14ac:dyDescent="0.2">
      <c r="A157" s="45"/>
      <c r="B157" s="136"/>
      <c r="C157" s="135"/>
      <c r="D157" s="45"/>
      <c r="E157" s="45"/>
      <c r="F157" s="136"/>
      <c r="G157" s="135"/>
      <c r="H157" s="45"/>
      <c r="I157" s="45"/>
      <c r="J157" s="137"/>
      <c r="K157" s="135"/>
      <c r="L157" s="45"/>
      <c r="M157" s="47"/>
      <c r="N157" s="137"/>
      <c r="O157" s="135"/>
      <c r="P157" s="46"/>
      <c r="Q157" s="45"/>
      <c r="R157" s="137"/>
      <c r="S157" s="135"/>
      <c r="T157" s="45"/>
      <c r="U157" s="45"/>
      <c r="V157" s="45"/>
      <c r="W157" s="45"/>
    </row>
    <row r="158" spans="1:23" x14ac:dyDescent="0.2">
      <c r="A158" s="45"/>
      <c r="B158" s="136"/>
      <c r="C158" s="135"/>
      <c r="D158" s="45"/>
      <c r="E158" s="45"/>
      <c r="F158" s="136"/>
      <c r="G158" s="135"/>
      <c r="H158" s="45"/>
      <c r="I158" s="45"/>
      <c r="J158" s="137"/>
      <c r="K158" s="135"/>
      <c r="L158" s="45"/>
      <c r="M158" s="47"/>
      <c r="N158" s="137"/>
      <c r="O158" s="135"/>
      <c r="P158" s="46"/>
      <c r="Q158" s="45"/>
      <c r="R158" s="137"/>
      <c r="S158" s="135"/>
      <c r="T158" s="45"/>
      <c r="U158" s="45"/>
      <c r="V158" s="45"/>
      <c r="W158" s="45"/>
    </row>
    <row r="159" spans="1:23" x14ac:dyDescent="0.2">
      <c r="A159" s="45"/>
      <c r="B159" s="136"/>
      <c r="C159" s="135"/>
      <c r="D159" s="45"/>
      <c r="E159" s="45"/>
      <c r="F159" s="136"/>
      <c r="G159" s="135"/>
      <c r="H159" s="45"/>
      <c r="I159" s="45"/>
      <c r="J159" s="137"/>
      <c r="K159" s="135"/>
      <c r="L159" s="45"/>
      <c r="M159" s="47"/>
      <c r="N159" s="137"/>
      <c r="O159" s="135"/>
      <c r="P159" s="46"/>
      <c r="Q159" s="45"/>
      <c r="R159" s="137"/>
      <c r="S159" s="135"/>
      <c r="T159" s="45"/>
      <c r="U159" s="45"/>
      <c r="V159" s="45"/>
      <c r="W159" s="45"/>
    </row>
    <row r="160" spans="1:23" x14ac:dyDescent="0.2">
      <c r="A160" s="45"/>
      <c r="B160" s="136"/>
      <c r="C160" s="135"/>
      <c r="D160" s="45"/>
      <c r="E160" s="45"/>
      <c r="F160" s="136"/>
      <c r="G160" s="135"/>
      <c r="H160" s="45"/>
      <c r="I160" s="45"/>
      <c r="J160" s="137"/>
      <c r="K160" s="135"/>
      <c r="L160" s="45"/>
      <c r="M160" s="47"/>
      <c r="N160" s="137"/>
      <c r="O160" s="135"/>
      <c r="P160" s="46"/>
      <c r="Q160" s="45"/>
      <c r="R160" s="137"/>
      <c r="S160" s="135"/>
      <c r="T160" s="45"/>
      <c r="U160" s="45"/>
      <c r="V160" s="45"/>
      <c r="W160" s="45"/>
    </row>
    <row r="161" spans="1:23" x14ac:dyDescent="0.2">
      <c r="A161" s="45"/>
      <c r="B161" s="136"/>
      <c r="C161" s="135"/>
      <c r="D161" s="45"/>
      <c r="E161" s="45"/>
      <c r="F161" s="136"/>
      <c r="G161" s="135"/>
      <c r="H161" s="45"/>
      <c r="I161" s="45"/>
      <c r="J161" s="137"/>
      <c r="K161" s="135"/>
      <c r="L161" s="45"/>
      <c r="M161" s="47"/>
      <c r="N161" s="137"/>
      <c r="O161" s="135"/>
      <c r="P161" s="46"/>
      <c r="Q161" s="45"/>
      <c r="R161" s="137"/>
      <c r="S161" s="135"/>
      <c r="T161" s="45"/>
      <c r="U161" s="45"/>
      <c r="V161" s="45"/>
      <c r="W161" s="45"/>
    </row>
    <row r="162" spans="1:23" x14ac:dyDescent="0.2">
      <c r="A162" s="45"/>
      <c r="B162" s="136"/>
      <c r="C162" s="135"/>
      <c r="D162" s="45"/>
      <c r="E162" s="45"/>
      <c r="F162" s="136"/>
      <c r="G162" s="135"/>
      <c r="H162" s="45"/>
      <c r="I162" s="45"/>
      <c r="J162" s="137"/>
      <c r="K162" s="135"/>
      <c r="L162" s="45"/>
      <c r="M162" s="47"/>
      <c r="N162" s="137"/>
      <c r="O162" s="135"/>
      <c r="P162" s="46"/>
      <c r="Q162" s="45"/>
      <c r="R162" s="137"/>
      <c r="S162" s="135"/>
      <c r="T162" s="45"/>
      <c r="U162" s="45"/>
      <c r="V162" s="45"/>
      <c r="W162" s="45"/>
    </row>
    <row r="163" spans="1:23" x14ac:dyDescent="0.2">
      <c r="A163" s="45"/>
      <c r="B163" s="136"/>
      <c r="C163" s="135"/>
      <c r="D163" s="45"/>
      <c r="E163" s="45"/>
      <c r="F163" s="136"/>
      <c r="G163" s="135"/>
      <c r="H163" s="45"/>
      <c r="I163" s="45"/>
      <c r="J163" s="137"/>
      <c r="K163" s="135"/>
      <c r="L163" s="45"/>
      <c r="M163" s="47"/>
      <c r="N163" s="137"/>
      <c r="O163" s="135"/>
      <c r="P163" s="46"/>
      <c r="Q163" s="45"/>
      <c r="R163" s="137"/>
      <c r="S163" s="135"/>
      <c r="T163" s="45"/>
      <c r="U163" s="45"/>
      <c r="V163" s="45"/>
      <c r="W163" s="45"/>
    </row>
    <row r="164" spans="1:23" x14ac:dyDescent="0.2">
      <c r="A164" s="45"/>
      <c r="B164" s="136"/>
      <c r="C164" s="135"/>
      <c r="D164" s="45"/>
      <c r="E164" s="45"/>
      <c r="F164" s="136"/>
      <c r="G164" s="135"/>
      <c r="H164" s="45"/>
      <c r="I164" s="45"/>
      <c r="J164" s="137"/>
      <c r="K164" s="135"/>
      <c r="L164" s="45"/>
      <c r="M164" s="47"/>
      <c r="N164" s="137"/>
      <c r="O164" s="135"/>
      <c r="P164" s="46"/>
      <c r="Q164" s="45"/>
      <c r="R164" s="137"/>
      <c r="S164" s="135"/>
      <c r="T164" s="45"/>
      <c r="U164" s="45"/>
      <c r="V164" s="45"/>
      <c r="W164" s="45"/>
    </row>
    <row r="165" spans="1:23" x14ac:dyDescent="0.2">
      <c r="A165" s="45"/>
      <c r="B165" s="136"/>
      <c r="C165" s="135"/>
      <c r="D165" s="45"/>
      <c r="E165" s="45"/>
      <c r="F165" s="136"/>
      <c r="G165" s="135"/>
      <c r="H165" s="45"/>
      <c r="I165" s="45"/>
      <c r="J165" s="137"/>
      <c r="K165" s="135"/>
      <c r="L165" s="45"/>
      <c r="M165" s="47"/>
      <c r="N165" s="137"/>
      <c r="O165" s="135"/>
      <c r="P165" s="46"/>
      <c r="Q165" s="45"/>
      <c r="R165" s="137"/>
      <c r="S165" s="135"/>
      <c r="T165" s="45"/>
      <c r="U165" s="45"/>
      <c r="V165" s="45"/>
      <c r="W165" s="45"/>
    </row>
    <row r="166" spans="1:23" x14ac:dyDescent="0.2">
      <c r="A166" s="45"/>
      <c r="B166" s="136"/>
      <c r="C166" s="135"/>
      <c r="D166" s="45"/>
      <c r="E166" s="45"/>
      <c r="F166" s="136"/>
      <c r="G166" s="135"/>
      <c r="H166" s="45"/>
      <c r="I166" s="45"/>
      <c r="J166" s="137"/>
      <c r="K166" s="135"/>
      <c r="L166" s="45"/>
      <c r="M166" s="47"/>
      <c r="N166" s="137"/>
      <c r="O166" s="135"/>
      <c r="P166" s="46"/>
      <c r="Q166" s="45"/>
      <c r="R166" s="137"/>
      <c r="S166" s="135"/>
      <c r="T166" s="45"/>
      <c r="U166" s="45"/>
      <c r="V166" s="45"/>
      <c r="W166" s="45"/>
    </row>
    <row r="167" spans="1:23" x14ac:dyDescent="0.2">
      <c r="A167" s="45"/>
      <c r="B167" s="136"/>
      <c r="C167" s="135"/>
      <c r="D167" s="45"/>
      <c r="E167" s="45"/>
      <c r="F167" s="136"/>
      <c r="G167" s="135"/>
      <c r="H167" s="45"/>
      <c r="I167" s="45"/>
      <c r="J167" s="137"/>
      <c r="K167" s="135"/>
      <c r="L167" s="45"/>
      <c r="M167" s="47"/>
      <c r="N167" s="137"/>
      <c r="O167" s="135"/>
      <c r="P167" s="46"/>
      <c r="Q167" s="45"/>
      <c r="R167" s="137"/>
      <c r="S167" s="135"/>
      <c r="T167" s="45"/>
      <c r="U167" s="45"/>
      <c r="V167" s="45"/>
      <c r="W167" s="45"/>
    </row>
    <row r="168" spans="1:23" x14ac:dyDescent="0.2">
      <c r="A168" s="45"/>
      <c r="B168" s="136"/>
      <c r="C168" s="135"/>
      <c r="D168" s="45"/>
      <c r="E168" s="45"/>
      <c r="F168" s="136"/>
      <c r="G168" s="135"/>
      <c r="H168" s="45"/>
      <c r="I168" s="45"/>
      <c r="J168" s="137"/>
      <c r="K168" s="135"/>
      <c r="L168" s="45"/>
      <c r="M168" s="47"/>
      <c r="N168" s="137"/>
      <c r="O168" s="135"/>
      <c r="P168" s="46"/>
      <c r="Q168" s="45"/>
      <c r="R168" s="137"/>
      <c r="S168" s="135"/>
      <c r="T168" s="45"/>
      <c r="U168" s="45"/>
      <c r="V168" s="45"/>
      <c r="W168" s="45"/>
    </row>
    <row r="169" spans="1:23" x14ac:dyDescent="0.2">
      <c r="A169" s="45"/>
      <c r="B169" s="136"/>
      <c r="C169" s="135"/>
      <c r="D169" s="45"/>
      <c r="E169" s="45"/>
      <c r="F169" s="136"/>
      <c r="G169" s="135"/>
      <c r="H169" s="45"/>
      <c r="I169" s="45"/>
      <c r="J169" s="137"/>
      <c r="K169" s="135"/>
      <c r="L169" s="45"/>
      <c r="M169" s="47"/>
      <c r="N169" s="137"/>
      <c r="O169" s="135"/>
      <c r="P169" s="46"/>
      <c r="Q169" s="45"/>
      <c r="R169" s="137"/>
      <c r="S169" s="135"/>
      <c r="T169" s="45"/>
      <c r="U169" s="45"/>
      <c r="V169" s="45"/>
      <c r="W169" s="45"/>
    </row>
    <row r="170" spans="1:23" x14ac:dyDescent="0.2">
      <c r="A170" s="45"/>
      <c r="B170" s="136"/>
      <c r="C170" s="135"/>
      <c r="D170" s="45"/>
      <c r="E170" s="45"/>
      <c r="F170" s="136"/>
      <c r="G170" s="135"/>
      <c r="H170" s="45"/>
      <c r="I170" s="45"/>
      <c r="J170" s="137"/>
      <c r="K170" s="135"/>
      <c r="L170" s="45"/>
      <c r="M170" s="47"/>
      <c r="N170" s="137"/>
      <c r="O170" s="135"/>
      <c r="P170" s="46"/>
      <c r="Q170" s="45"/>
      <c r="R170" s="137"/>
      <c r="S170" s="135"/>
      <c r="T170" s="45"/>
      <c r="U170" s="45"/>
      <c r="V170" s="45"/>
      <c r="W170" s="45"/>
    </row>
    <row r="171" spans="1:23" x14ac:dyDescent="0.2">
      <c r="A171" s="45"/>
      <c r="B171" s="136"/>
      <c r="C171" s="135"/>
      <c r="D171" s="45"/>
      <c r="E171" s="45"/>
      <c r="F171" s="136"/>
      <c r="G171" s="135"/>
      <c r="H171" s="45"/>
      <c r="I171" s="45"/>
      <c r="J171" s="137"/>
      <c r="K171" s="135"/>
      <c r="L171" s="45"/>
      <c r="M171" s="47"/>
      <c r="N171" s="137"/>
      <c r="O171" s="135"/>
      <c r="P171" s="46"/>
      <c r="Q171" s="45"/>
      <c r="R171" s="137"/>
      <c r="S171" s="135"/>
      <c r="T171" s="45"/>
      <c r="U171" s="45"/>
      <c r="V171" s="45"/>
      <c r="W171" s="45"/>
    </row>
    <row r="172" spans="1:23" x14ac:dyDescent="0.2">
      <c r="A172" s="45"/>
      <c r="B172" s="136"/>
      <c r="C172" s="135"/>
      <c r="D172" s="45"/>
      <c r="E172" s="45"/>
      <c r="F172" s="136"/>
      <c r="G172" s="135"/>
      <c r="H172" s="45"/>
      <c r="I172" s="45"/>
      <c r="J172" s="137"/>
      <c r="K172" s="135"/>
      <c r="L172" s="45"/>
      <c r="M172" s="47"/>
      <c r="N172" s="137"/>
      <c r="O172" s="135"/>
      <c r="P172" s="46"/>
      <c r="Q172" s="45"/>
      <c r="R172" s="137"/>
      <c r="S172" s="135"/>
      <c r="T172" s="45"/>
      <c r="U172" s="45"/>
      <c r="V172" s="45"/>
      <c r="W172" s="45"/>
    </row>
    <row r="173" spans="1:23" x14ac:dyDescent="0.2">
      <c r="A173" s="45"/>
      <c r="B173" s="136"/>
      <c r="C173" s="135"/>
      <c r="D173" s="45"/>
      <c r="E173" s="45"/>
      <c r="F173" s="136"/>
      <c r="G173" s="135"/>
      <c r="H173" s="45"/>
      <c r="I173" s="45"/>
      <c r="J173" s="137"/>
      <c r="K173" s="135"/>
      <c r="L173" s="45"/>
      <c r="M173" s="47"/>
      <c r="N173" s="137"/>
      <c r="O173" s="135"/>
      <c r="P173" s="46"/>
      <c r="Q173" s="45"/>
      <c r="R173" s="137"/>
      <c r="S173" s="135"/>
      <c r="T173" s="45"/>
      <c r="U173" s="45"/>
      <c r="V173" s="45"/>
      <c r="W173" s="45"/>
    </row>
    <row r="174" spans="1:23" x14ac:dyDescent="0.2">
      <c r="A174" s="45"/>
      <c r="B174" s="136"/>
      <c r="C174" s="135"/>
      <c r="D174" s="45"/>
      <c r="E174" s="45"/>
      <c r="F174" s="136"/>
      <c r="G174" s="135"/>
      <c r="H174" s="45"/>
      <c r="I174" s="45"/>
      <c r="J174" s="137"/>
      <c r="K174" s="135"/>
      <c r="L174" s="45"/>
      <c r="M174" s="47"/>
      <c r="N174" s="137"/>
      <c r="O174" s="135"/>
      <c r="P174" s="46"/>
      <c r="Q174" s="45"/>
      <c r="R174" s="137"/>
      <c r="S174" s="135"/>
      <c r="T174" s="45"/>
      <c r="U174" s="45"/>
      <c r="V174" s="45"/>
      <c r="W174" s="45"/>
    </row>
    <row r="175" spans="1:23" x14ac:dyDescent="0.2">
      <c r="A175" s="45"/>
      <c r="B175" s="136"/>
      <c r="C175" s="135"/>
      <c r="D175" s="45"/>
      <c r="E175" s="45"/>
      <c r="F175" s="136"/>
      <c r="G175" s="135"/>
      <c r="H175" s="45"/>
      <c r="I175" s="45"/>
      <c r="J175" s="137"/>
      <c r="K175" s="135"/>
      <c r="L175" s="45"/>
      <c r="M175" s="47"/>
      <c r="N175" s="137"/>
      <c r="O175" s="135"/>
      <c r="P175" s="46"/>
      <c r="Q175" s="45"/>
      <c r="R175" s="137"/>
      <c r="S175" s="135"/>
      <c r="T175" s="45"/>
      <c r="U175" s="45"/>
      <c r="V175" s="45"/>
      <c r="W175" s="45"/>
    </row>
    <row r="176" spans="1:23" x14ac:dyDescent="0.2">
      <c r="A176" s="45"/>
      <c r="B176" s="136"/>
      <c r="C176" s="135"/>
      <c r="D176" s="45"/>
      <c r="E176" s="45"/>
      <c r="F176" s="136"/>
      <c r="G176" s="135"/>
      <c r="H176" s="45"/>
      <c r="I176" s="45"/>
      <c r="J176" s="137"/>
      <c r="K176" s="135"/>
      <c r="L176" s="45"/>
      <c r="M176" s="47"/>
      <c r="N176" s="137"/>
      <c r="O176" s="135"/>
      <c r="P176" s="46"/>
      <c r="Q176" s="45"/>
      <c r="R176" s="137"/>
      <c r="S176" s="135"/>
      <c r="T176" s="45"/>
      <c r="U176" s="45"/>
      <c r="V176" s="45"/>
      <c r="W176" s="45"/>
    </row>
    <row r="177" spans="1:23" x14ac:dyDescent="0.2">
      <c r="A177" s="45"/>
      <c r="B177" s="136"/>
      <c r="C177" s="135"/>
      <c r="D177" s="45"/>
      <c r="E177" s="45"/>
      <c r="F177" s="136"/>
      <c r="G177" s="135"/>
      <c r="H177" s="45"/>
      <c r="I177" s="45"/>
      <c r="J177" s="137"/>
      <c r="K177" s="135"/>
      <c r="L177" s="45"/>
      <c r="M177" s="47"/>
      <c r="N177" s="137"/>
      <c r="O177" s="135"/>
      <c r="P177" s="46"/>
      <c r="Q177" s="45"/>
      <c r="R177" s="137"/>
      <c r="S177" s="135"/>
      <c r="T177" s="45"/>
      <c r="U177" s="45"/>
      <c r="V177" s="45"/>
      <c r="W177" s="45"/>
    </row>
    <row r="178" spans="1:23" x14ac:dyDescent="0.2">
      <c r="A178" s="45"/>
      <c r="B178" s="136"/>
      <c r="C178" s="135"/>
      <c r="D178" s="45"/>
      <c r="E178" s="45"/>
      <c r="F178" s="136"/>
      <c r="G178" s="135"/>
      <c r="H178" s="45"/>
      <c r="I178" s="45"/>
      <c r="J178" s="137"/>
      <c r="K178" s="135"/>
      <c r="L178" s="45"/>
      <c r="M178" s="47"/>
      <c r="N178" s="137"/>
      <c r="O178" s="135"/>
      <c r="P178" s="46"/>
      <c r="Q178" s="45"/>
      <c r="R178" s="137"/>
      <c r="S178" s="135"/>
      <c r="T178" s="45"/>
      <c r="U178" s="45"/>
      <c r="V178" s="45"/>
      <c r="W178" s="45"/>
    </row>
    <row r="179" spans="1:23" x14ac:dyDescent="0.2">
      <c r="A179" s="45"/>
      <c r="B179" s="136"/>
      <c r="C179" s="135"/>
      <c r="D179" s="45"/>
      <c r="E179" s="45"/>
      <c r="F179" s="136"/>
      <c r="G179" s="135"/>
      <c r="H179" s="45"/>
      <c r="I179" s="45"/>
      <c r="J179" s="137"/>
      <c r="K179" s="135"/>
      <c r="L179" s="45"/>
      <c r="M179" s="47"/>
      <c r="N179" s="137"/>
      <c r="O179" s="135"/>
      <c r="P179" s="46"/>
      <c r="Q179" s="45"/>
      <c r="R179" s="137"/>
      <c r="S179" s="135"/>
      <c r="T179" s="45"/>
      <c r="U179" s="45"/>
      <c r="V179" s="45"/>
      <c r="W179" s="45"/>
    </row>
    <row r="180" spans="1:23" x14ac:dyDescent="0.2">
      <c r="A180" s="45"/>
      <c r="B180" s="136"/>
      <c r="C180" s="135"/>
      <c r="D180" s="45"/>
      <c r="E180" s="45"/>
      <c r="F180" s="136"/>
      <c r="G180" s="135"/>
      <c r="H180" s="45"/>
      <c r="I180" s="45"/>
      <c r="J180" s="137"/>
      <c r="K180" s="135"/>
      <c r="L180" s="45"/>
      <c r="M180" s="47"/>
      <c r="N180" s="137"/>
      <c r="O180" s="135"/>
      <c r="P180" s="46"/>
      <c r="Q180" s="45"/>
      <c r="R180" s="137"/>
      <c r="S180" s="135"/>
      <c r="T180" s="45"/>
      <c r="U180" s="45"/>
      <c r="V180" s="45"/>
      <c r="W180" s="45"/>
    </row>
    <row r="181" spans="1:23" x14ac:dyDescent="0.2">
      <c r="A181" s="45"/>
      <c r="B181" s="136"/>
      <c r="C181" s="135"/>
      <c r="D181" s="45"/>
      <c r="E181" s="45"/>
      <c r="F181" s="136"/>
      <c r="G181" s="135"/>
      <c r="H181" s="45"/>
      <c r="I181" s="45"/>
      <c r="J181" s="137"/>
      <c r="K181" s="135"/>
      <c r="L181" s="45"/>
      <c r="M181" s="47"/>
      <c r="N181" s="137"/>
      <c r="O181" s="135"/>
      <c r="P181" s="46"/>
      <c r="Q181" s="45"/>
      <c r="R181" s="137"/>
      <c r="S181" s="135"/>
      <c r="T181" s="45"/>
      <c r="U181" s="45"/>
      <c r="V181" s="45"/>
      <c r="W181" s="45"/>
    </row>
    <row r="182" spans="1:23" x14ac:dyDescent="0.2">
      <c r="A182" s="45"/>
      <c r="B182" s="136"/>
      <c r="C182" s="135"/>
      <c r="D182" s="45"/>
      <c r="E182" s="45"/>
      <c r="F182" s="136"/>
      <c r="G182" s="135"/>
      <c r="H182" s="45"/>
      <c r="I182" s="45"/>
      <c r="J182" s="137"/>
      <c r="K182" s="135"/>
      <c r="L182" s="45"/>
      <c r="M182" s="47"/>
      <c r="N182" s="137"/>
      <c r="O182" s="135"/>
      <c r="P182" s="46"/>
      <c r="Q182" s="45"/>
      <c r="R182" s="137"/>
      <c r="S182" s="135"/>
      <c r="T182" s="45"/>
      <c r="U182" s="45"/>
      <c r="V182" s="45"/>
      <c r="W182" s="45"/>
    </row>
    <row r="183" spans="1:23" x14ac:dyDescent="0.2">
      <c r="A183" s="45"/>
      <c r="B183" s="136"/>
      <c r="C183" s="135"/>
      <c r="D183" s="45"/>
      <c r="E183" s="45"/>
      <c r="F183" s="136"/>
      <c r="G183" s="135"/>
      <c r="H183" s="45"/>
      <c r="I183" s="45"/>
      <c r="J183" s="137"/>
      <c r="K183" s="135"/>
      <c r="L183" s="45"/>
      <c r="M183" s="47"/>
      <c r="N183" s="137"/>
      <c r="O183" s="135"/>
      <c r="P183" s="46"/>
      <c r="Q183" s="45"/>
      <c r="R183" s="137"/>
      <c r="S183" s="135"/>
      <c r="T183" s="45"/>
      <c r="U183" s="45"/>
      <c r="V183" s="45"/>
      <c r="W183" s="45"/>
    </row>
    <row r="184" spans="1:23" x14ac:dyDescent="0.2">
      <c r="A184" s="45"/>
      <c r="B184" s="136"/>
      <c r="C184" s="135"/>
      <c r="D184" s="45"/>
      <c r="E184" s="45"/>
      <c r="F184" s="136"/>
      <c r="G184" s="135"/>
      <c r="H184" s="45"/>
      <c r="I184" s="45"/>
      <c r="J184" s="137"/>
      <c r="K184" s="135"/>
      <c r="L184" s="45"/>
      <c r="M184" s="47"/>
      <c r="N184" s="137"/>
      <c r="O184" s="135"/>
      <c r="P184" s="46"/>
      <c r="Q184" s="45"/>
      <c r="R184" s="137"/>
      <c r="S184" s="135"/>
      <c r="T184" s="45"/>
      <c r="U184" s="45"/>
      <c r="V184" s="45"/>
      <c r="W184" s="45"/>
    </row>
    <row r="185" spans="1:23" x14ac:dyDescent="0.2">
      <c r="A185" s="45"/>
      <c r="B185" s="136"/>
      <c r="C185" s="135"/>
      <c r="D185" s="45"/>
      <c r="E185" s="45"/>
      <c r="F185" s="136"/>
      <c r="G185" s="135"/>
      <c r="H185" s="45"/>
      <c r="I185" s="45"/>
      <c r="J185" s="137"/>
      <c r="K185" s="135"/>
      <c r="L185" s="45"/>
      <c r="M185" s="47"/>
      <c r="N185" s="137"/>
      <c r="O185" s="135"/>
      <c r="P185" s="46"/>
      <c r="Q185" s="45"/>
      <c r="R185" s="137"/>
      <c r="S185" s="135"/>
      <c r="T185" s="45"/>
      <c r="U185" s="45"/>
      <c r="V185" s="45"/>
      <c r="W185" s="45"/>
    </row>
    <row r="186" spans="1:23" x14ac:dyDescent="0.2">
      <c r="A186" s="45"/>
      <c r="B186" s="136"/>
      <c r="C186" s="135"/>
      <c r="D186" s="45"/>
      <c r="E186" s="45"/>
      <c r="F186" s="136"/>
      <c r="G186" s="135"/>
      <c r="H186" s="45"/>
      <c r="I186" s="45"/>
      <c r="J186" s="137"/>
      <c r="K186" s="135"/>
      <c r="L186" s="45"/>
      <c r="M186" s="47"/>
      <c r="N186" s="137"/>
      <c r="O186" s="135"/>
      <c r="P186" s="46"/>
      <c r="Q186" s="45"/>
      <c r="R186" s="137"/>
      <c r="S186" s="135"/>
      <c r="T186" s="45"/>
      <c r="U186" s="45"/>
      <c r="V186" s="45"/>
      <c r="W186" s="45"/>
    </row>
    <row r="187" spans="1:23" x14ac:dyDescent="0.2">
      <c r="A187" s="45"/>
      <c r="B187" s="136"/>
      <c r="C187" s="135"/>
      <c r="D187" s="45"/>
      <c r="E187" s="45"/>
      <c r="F187" s="136"/>
      <c r="G187" s="135"/>
      <c r="H187" s="45"/>
      <c r="I187" s="45"/>
      <c r="J187" s="137"/>
      <c r="K187" s="135"/>
      <c r="L187" s="45"/>
      <c r="M187" s="47"/>
      <c r="N187" s="137"/>
      <c r="O187" s="135"/>
      <c r="P187" s="46"/>
      <c r="Q187" s="45"/>
      <c r="R187" s="137"/>
      <c r="S187" s="135"/>
      <c r="T187" s="45"/>
      <c r="U187" s="45"/>
      <c r="V187" s="45"/>
      <c r="W187" s="45"/>
    </row>
    <row r="188" spans="1:23" x14ac:dyDescent="0.2">
      <c r="A188" s="45"/>
      <c r="B188" s="136"/>
      <c r="C188" s="135"/>
      <c r="D188" s="45"/>
      <c r="E188" s="45"/>
      <c r="F188" s="136"/>
      <c r="G188" s="135"/>
      <c r="H188" s="45"/>
      <c r="I188" s="45"/>
      <c r="J188" s="137"/>
      <c r="K188" s="135"/>
      <c r="L188" s="45"/>
      <c r="M188" s="47"/>
      <c r="N188" s="137"/>
      <c r="O188" s="135"/>
      <c r="P188" s="46"/>
      <c r="Q188" s="45"/>
      <c r="R188" s="137"/>
      <c r="S188" s="135"/>
      <c r="T188" s="45"/>
      <c r="U188" s="45"/>
      <c r="V188" s="45"/>
      <c r="W188" s="45"/>
    </row>
    <row r="189" spans="1:23" x14ac:dyDescent="0.2">
      <c r="B189" s="48"/>
      <c r="F189" s="48"/>
      <c r="M189" s="49"/>
      <c r="P189" s="48"/>
      <c r="S189" s="50"/>
    </row>
    <row r="190" spans="1:23" x14ac:dyDescent="0.2">
      <c r="B190" s="48"/>
      <c r="F190" s="48"/>
      <c r="M190" s="49"/>
      <c r="P190" s="48"/>
      <c r="S190" s="50"/>
    </row>
    <row r="191" spans="1:23" x14ac:dyDescent="0.2">
      <c r="B191" s="48"/>
      <c r="F191" s="48"/>
      <c r="M191" s="49"/>
      <c r="P191" s="48"/>
      <c r="S191" s="50"/>
    </row>
    <row r="192" spans="1:23" x14ac:dyDescent="0.2">
      <c r="B192" s="48"/>
      <c r="F192" s="48"/>
      <c r="M192" s="49"/>
      <c r="P192" s="48"/>
      <c r="S192" s="50"/>
    </row>
    <row r="193" spans="2:19" x14ac:dyDescent="0.2">
      <c r="B193" s="48"/>
      <c r="F193" s="48"/>
      <c r="M193" s="49"/>
      <c r="P193" s="48"/>
      <c r="S193" s="50"/>
    </row>
    <row r="194" spans="2:19" x14ac:dyDescent="0.2">
      <c r="B194" s="48"/>
      <c r="F194" s="48"/>
      <c r="M194" s="49"/>
      <c r="P194" s="48"/>
      <c r="S194" s="50"/>
    </row>
    <row r="195" spans="2:19" x14ac:dyDescent="0.2">
      <c r="B195" s="48"/>
      <c r="F195" s="48"/>
      <c r="M195" s="49"/>
      <c r="P195" s="48"/>
      <c r="S195" s="50"/>
    </row>
    <row r="196" spans="2:19" x14ac:dyDescent="0.2">
      <c r="B196" s="48"/>
      <c r="F196" s="48"/>
      <c r="M196" s="49"/>
      <c r="P196" s="48"/>
      <c r="S196" s="50"/>
    </row>
    <row r="197" spans="2:19" x14ac:dyDescent="0.2">
      <c r="B197" s="48"/>
      <c r="F197" s="48"/>
      <c r="M197" s="49"/>
      <c r="P197" s="48"/>
      <c r="S197" s="50"/>
    </row>
    <row r="198" spans="2:19" x14ac:dyDescent="0.2">
      <c r="B198" s="48"/>
      <c r="F198" s="48"/>
      <c r="M198" s="49"/>
      <c r="P198" s="48"/>
      <c r="S198" s="50"/>
    </row>
    <row r="199" spans="2:19" x14ac:dyDescent="0.2">
      <c r="B199" s="48"/>
      <c r="F199" s="48"/>
      <c r="M199" s="49"/>
      <c r="P199" s="48"/>
      <c r="S199" s="50"/>
    </row>
    <row r="200" spans="2:19" x14ac:dyDescent="0.2">
      <c r="B200" s="48"/>
      <c r="F200" s="48"/>
      <c r="M200" s="49"/>
      <c r="P200" s="48"/>
      <c r="S200" s="50"/>
    </row>
    <row r="201" spans="2:19" x14ac:dyDescent="0.2">
      <c r="B201" s="48"/>
      <c r="F201" s="48"/>
      <c r="M201" s="49"/>
      <c r="P201" s="48"/>
      <c r="S201" s="50"/>
    </row>
    <row r="202" spans="2:19" x14ac:dyDescent="0.2">
      <c r="B202" s="48"/>
      <c r="F202" s="48"/>
      <c r="M202" s="49"/>
      <c r="P202" s="48"/>
      <c r="S202" s="50"/>
    </row>
    <row r="203" spans="2:19" x14ac:dyDescent="0.2">
      <c r="B203" s="48"/>
      <c r="F203" s="48"/>
      <c r="M203" s="49"/>
      <c r="P203" s="48"/>
      <c r="S203" s="50"/>
    </row>
    <row r="204" spans="2:19" x14ac:dyDescent="0.2">
      <c r="B204" s="48"/>
      <c r="F204" s="48"/>
      <c r="M204" s="49"/>
      <c r="P204" s="48"/>
      <c r="S204" s="50"/>
    </row>
    <row r="205" spans="2:19" x14ac:dyDescent="0.2">
      <c r="B205" s="48"/>
      <c r="F205" s="48"/>
      <c r="M205" s="49"/>
      <c r="P205" s="48"/>
      <c r="S205" s="50"/>
    </row>
    <row r="206" spans="2:19" x14ac:dyDescent="0.2">
      <c r="B206" s="48"/>
      <c r="F206" s="48"/>
      <c r="M206" s="49"/>
      <c r="P206" s="48"/>
      <c r="S206" s="50"/>
    </row>
    <row r="207" spans="2:19" x14ac:dyDescent="0.2">
      <c r="B207" s="48"/>
      <c r="F207" s="48"/>
      <c r="M207" s="49"/>
      <c r="P207" s="48"/>
      <c r="S207" s="50"/>
    </row>
    <row r="208" spans="2:19" x14ac:dyDescent="0.2">
      <c r="B208" s="48"/>
      <c r="F208" s="48"/>
      <c r="M208" s="49"/>
      <c r="P208" s="48"/>
      <c r="S208" s="50"/>
    </row>
    <row r="209" spans="2:19" x14ac:dyDescent="0.2">
      <c r="B209" s="48"/>
      <c r="F209" s="48"/>
      <c r="M209" s="49"/>
      <c r="P209" s="48"/>
      <c r="S209" s="50"/>
    </row>
    <row r="210" spans="2:19" x14ac:dyDescent="0.2">
      <c r="B210" s="48"/>
      <c r="F210" s="48"/>
      <c r="M210" s="49"/>
      <c r="P210" s="48"/>
      <c r="S210" s="50"/>
    </row>
    <row r="211" spans="2:19" x14ac:dyDescent="0.2">
      <c r="B211" s="48"/>
      <c r="F211" s="48"/>
      <c r="M211" s="49"/>
      <c r="P211" s="48"/>
      <c r="S211" s="50"/>
    </row>
    <row r="212" spans="2:19" x14ac:dyDescent="0.2">
      <c r="B212" s="48"/>
      <c r="F212" s="48"/>
      <c r="M212" s="49"/>
      <c r="P212" s="48"/>
      <c r="S212" s="50"/>
    </row>
    <row r="213" spans="2:19" x14ac:dyDescent="0.2">
      <c r="B213" s="48"/>
      <c r="F213" s="48"/>
      <c r="M213" s="49"/>
      <c r="P213" s="48"/>
      <c r="S213" s="50"/>
    </row>
    <row r="214" spans="2:19" x14ac:dyDescent="0.2">
      <c r="B214" s="48"/>
      <c r="F214" s="48"/>
      <c r="M214" s="49"/>
      <c r="P214" s="48"/>
      <c r="S214" s="50"/>
    </row>
    <row r="215" spans="2:19" x14ac:dyDescent="0.2">
      <c r="B215" s="48"/>
      <c r="F215" s="48"/>
      <c r="M215" s="49"/>
      <c r="P215" s="48"/>
      <c r="S215" s="50"/>
    </row>
    <row r="216" spans="2:19" x14ac:dyDescent="0.2">
      <c r="B216" s="48"/>
      <c r="F216" s="48"/>
      <c r="M216" s="49"/>
      <c r="P216" s="48"/>
      <c r="S216" s="50"/>
    </row>
    <row r="217" spans="2:19" x14ac:dyDescent="0.2">
      <c r="B217" s="48"/>
      <c r="F217" s="48"/>
      <c r="M217" s="49"/>
      <c r="P217" s="48"/>
      <c r="S217" s="50"/>
    </row>
    <row r="218" spans="2:19" x14ac:dyDescent="0.2">
      <c r="B218" s="48"/>
      <c r="F218" s="48"/>
      <c r="M218" s="49"/>
      <c r="P218" s="48"/>
      <c r="S218" s="50"/>
    </row>
    <row r="219" spans="2:19" x14ac:dyDescent="0.2">
      <c r="B219" s="48"/>
      <c r="F219" s="48"/>
      <c r="M219" s="49"/>
      <c r="P219" s="48"/>
      <c r="S219" s="50"/>
    </row>
    <row r="220" spans="2:19" x14ac:dyDescent="0.2">
      <c r="B220" s="48"/>
      <c r="F220" s="48"/>
      <c r="M220" s="49"/>
      <c r="P220" s="48"/>
      <c r="S220" s="50"/>
    </row>
    <row r="221" spans="2:19" x14ac:dyDescent="0.2">
      <c r="B221" s="48"/>
      <c r="F221" s="48"/>
      <c r="M221" s="49"/>
      <c r="P221" s="48"/>
      <c r="S221" s="50"/>
    </row>
    <row r="222" spans="2:19" x14ac:dyDescent="0.2">
      <c r="B222" s="48"/>
      <c r="F222" s="48"/>
      <c r="M222" s="49"/>
      <c r="P222" s="48"/>
      <c r="S222" s="50"/>
    </row>
    <row r="223" spans="2:19" x14ac:dyDescent="0.2">
      <c r="B223" s="48"/>
      <c r="F223" s="48"/>
      <c r="M223" s="49"/>
      <c r="P223" s="48"/>
      <c r="S223" s="50"/>
    </row>
    <row r="224" spans="2:19" x14ac:dyDescent="0.2">
      <c r="B224" s="48"/>
      <c r="F224" s="48"/>
      <c r="M224" s="49"/>
      <c r="P224" s="48"/>
      <c r="S224" s="50"/>
    </row>
    <row r="225" spans="2:19" x14ac:dyDescent="0.2">
      <c r="B225" s="48"/>
      <c r="F225" s="48"/>
      <c r="M225" s="49"/>
      <c r="P225" s="48"/>
      <c r="S225" s="50"/>
    </row>
    <row r="226" spans="2:19" x14ac:dyDescent="0.2">
      <c r="B226" s="48"/>
      <c r="F226" s="48"/>
      <c r="M226" s="49"/>
      <c r="P226" s="48"/>
      <c r="S226" s="50"/>
    </row>
    <row r="227" spans="2:19" x14ac:dyDescent="0.2">
      <c r="B227" s="48"/>
      <c r="F227" s="48"/>
      <c r="M227" s="49"/>
      <c r="P227" s="48"/>
      <c r="S227" s="50"/>
    </row>
    <row r="228" spans="2:19" x14ac:dyDescent="0.2">
      <c r="B228" s="48"/>
      <c r="F228" s="48"/>
      <c r="M228" s="49"/>
      <c r="P228" s="48"/>
      <c r="S228" s="50"/>
    </row>
    <row r="229" spans="2:19" x14ac:dyDescent="0.2">
      <c r="B229" s="48"/>
      <c r="F229" s="48"/>
      <c r="M229" s="49"/>
      <c r="P229" s="48"/>
      <c r="S229" s="50"/>
    </row>
    <row r="230" spans="2:19" x14ac:dyDescent="0.2">
      <c r="B230" s="48"/>
      <c r="F230" s="48"/>
      <c r="M230" s="49"/>
      <c r="P230" s="48"/>
      <c r="S230" s="50"/>
    </row>
    <row r="231" spans="2:19" x14ac:dyDescent="0.2">
      <c r="B231" s="48"/>
      <c r="F231" s="48"/>
      <c r="M231" s="49"/>
      <c r="P231" s="48"/>
      <c r="S231" s="50"/>
    </row>
    <row r="232" spans="2:19" x14ac:dyDescent="0.2">
      <c r="B232" s="48"/>
      <c r="F232" s="48"/>
      <c r="M232" s="49"/>
      <c r="P232" s="48"/>
      <c r="S232" s="50"/>
    </row>
    <row r="233" spans="2:19" x14ac:dyDescent="0.2">
      <c r="B233" s="48"/>
      <c r="F233" s="48"/>
      <c r="M233" s="49"/>
      <c r="P233" s="48"/>
      <c r="S233" s="50"/>
    </row>
    <row r="234" spans="2:19" x14ac:dyDescent="0.2">
      <c r="B234" s="48"/>
      <c r="F234" s="48"/>
      <c r="M234" s="49"/>
      <c r="P234" s="48"/>
      <c r="S234" s="50"/>
    </row>
    <row r="235" spans="2:19" x14ac:dyDescent="0.2">
      <c r="B235" s="48"/>
      <c r="F235" s="48"/>
      <c r="M235" s="49"/>
      <c r="P235" s="48"/>
      <c r="S235" s="50"/>
    </row>
    <row r="236" spans="2:19" x14ac:dyDescent="0.2">
      <c r="B236" s="48"/>
      <c r="F236" s="48"/>
      <c r="M236" s="49"/>
      <c r="P236" s="48"/>
      <c r="S236" s="50"/>
    </row>
    <row r="237" spans="2:19" x14ac:dyDescent="0.2">
      <c r="B237" s="48"/>
      <c r="F237" s="48"/>
      <c r="M237" s="49"/>
      <c r="P237" s="48"/>
      <c r="S237" s="50"/>
    </row>
    <row r="238" spans="2:19" x14ac:dyDescent="0.2">
      <c r="B238" s="48"/>
      <c r="F238" s="48"/>
      <c r="M238" s="49"/>
      <c r="P238" s="48"/>
      <c r="S238" s="50"/>
    </row>
    <row r="239" spans="2:19" x14ac:dyDescent="0.2">
      <c r="B239" s="48"/>
      <c r="F239" s="48"/>
      <c r="M239" s="49"/>
      <c r="P239" s="48"/>
      <c r="S239" s="50"/>
    </row>
    <row r="240" spans="2:19" x14ac:dyDescent="0.2">
      <c r="B240" s="48"/>
      <c r="F240" s="48"/>
      <c r="M240" s="49"/>
      <c r="P240" s="48"/>
      <c r="S240" s="50"/>
    </row>
    <row r="241" spans="2:19" x14ac:dyDescent="0.2">
      <c r="B241" s="48"/>
      <c r="F241" s="48"/>
      <c r="M241" s="49"/>
      <c r="P241" s="48"/>
      <c r="S241" s="50"/>
    </row>
    <row r="242" spans="2:19" x14ac:dyDescent="0.2">
      <c r="B242" s="48"/>
      <c r="F242" s="48"/>
      <c r="M242" s="49"/>
      <c r="P242" s="48"/>
      <c r="S242" s="50"/>
    </row>
    <row r="243" spans="2:19" x14ac:dyDescent="0.2">
      <c r="B243" s="48"/>
      <c r="F243" s="48"/>
      <c r="M243" s="49"/>
      <c r="P243" s="48"/>
      <c r="S243" s="50"/>
    </row>
    <row r="244" spans="2:19" x14ac:dyDescent="0.2">
      <c r="B244" s="48"/>
      <c r="F244" s="48"/>
      <c r="M244" s="49"/>
      <c r="P244" s="48"/>
      <c r="S244" s="50"/>
    </row>
    <row r="245" spans="2:19" x14ac:dyDescent="0.2">
      <c r="B245" s="48"/>
      <c r="F245" s="48"/>
      <c r="M245" s="49"/>
      <c r="P245" s="48"/>
      <c r="S245" s="50"/>
    </row>
    <row r="246" spans="2:19" x14ac:dyDescent="0.2">
      <c r="B246" s="48"/>
      <c r="F246" s="48"/>
      <c r="M246" s="49"/>
      <c r="P246" s="48"/>
      <c r="S246" s="50"/>
    </row>
    <row r="247" spans="2:19" x14ac:dyDescent="0.2">
      <c r="B247" s="48"/>
      <c r="F247" s="48"/>
      <c r="M247" s="49"/>
      <c r="P247" s="48"/>
      <c r="S247" s="50"/>
    </row>
    <row r="248" spans="2:19" x14ac:dyDescent="0.2">
      <c r="B248" s="48"/>
      <c r="F248" s="48"/>
      <c r="M248" s="49"/>
      <c r="P248" s="48"/>
      <c r="S248" s="50"/>
    </row>
    <row r="249" spans="2:19" x14ac:dyDescent="0.2">
      <c r="B249" s="48"/>
      <c r="F249" s="48"/>
      <c r="M249" s="49"/>
      <c r="P249" s="48"/>
      <c r="S249" s="50"/>
    </row>
    <row r="250" spans="2:19" x14ac:dyDescent="0.2">
      <c r="B250" s="48"/>
      <c r="F250" s="48"/>
      <c r="M250" s="49"/>
      <c r="P250" s="48"/>
      <c r="S250" s="50"/>
    </row>
    <row r="251" spans="2:19" x14ac:dyDescent="0.2">
      <c r="B251" s="48"/>
      <c r="F251" s="48"/>
      <c r="M251" s="49"/>
      <c r="P251" s="48"/>
      <c r="S251" s="50"/>
    </row>
    <row r="252" spans="2:19" x14ac:dyDescent="0.2">
      <c r="B252" s="48"/>
      <c r="F252" s="48"/>
      <c r="M252" s="49"/>
      <c r="P252" s="48"/>
      <c r="S252" s="50"/>
    </row>
    <row r="253" spans="2:19" x14ac:dyDescent="0.2">
      <c r="B253" s="48"/>
      <c r="F253" s="48"/>
      <c r="M253" s="49"/>
      <c r="P253" s="48"/>
      <c r="S253" s="50"/>
    </row>
    <row r="254" spans="2:19" x14ac:dyDescent="0.2">
      <c r="B254" s="48"/>
      <c r="F254" s="48"/>
      <c r="M254" s="49"/>
      <c r="P254" s="48"/>
      <c r="S254" s="50"/>
    </row>
    <row r="255" spans="2:19" x14ac:dyDescent="0.2">
      <c r="B255" s="48"/>
      <c r="F255" s="48"/>
      <c r="M255" s="49"/>
      <c r="P255" s="48"/>
      <c r="S255" s="50"/>
    </row>
    <row r="256" spans="2:19" x14ac:dyDescent="0.2">
      <c r="B256" s="48"/>
      <c r="F256" s="48"/>
      <c r="M256" s="49"/>
      <c r="P256" s="48"/>
      <c r="S256" s="50"/>
    </row>
    <row r="257" spans="2:19" x14ac:dyDescent="0.2">
      <c r="B257" s="48"/>
      <c r="F257" s="48"/>
      <c r="M257" s="49"/>
      <c r="P257" s="48"/>
      <c r="S257" s="50"/>
    </row>
    <row r="258" spans="2:19" x14ac:dyDescent="0.2">
      <c r="B258" s="48"/>
      <c r="F258" s="48"/>
      <c r="M258" s="49"/>
      <c r="P258" s="48"/>
      <c r="S258" s="50"/>
    </row>
    <row r="259" spans="2:19" x14ac:dyDescent="0.2">
      <c r="B259" s="48"/>
      <c r="F259" s="48"/>
      <c r="M259" s="49"/>
      <c r="P259" s="48"/>
      <c r="S259" s="50"/>
    </row>
    <row r="260" spans="2:19" x14ac:dyDescent="0.2">
      <c r="B260" s="48"/>
      <c r="F260" s="48"/>
      <c r="M260" s="49"/>
      <c r="P260" s="48"/>
      <c r="S260" s="50"/>
    </row>
    <row r="261" spans="2:19" x14ac:dyDescent="0.2">
      <c r="B261" s="48"/>
      <c r="F261" s="48"/>
      <c r="M261" s="49"/>
      <c r="P261" s="48"/>
      <c r="S261" s="50"/>
    </row>
    <row r="262" spans="2:19" x14ac:dyDescent="0.2">
      <c r="B262" s="48"/>
      <c r="F262" s="48"/>
      <c r="M262" s="49"/>
      <c r="P262" s="48"/>
      <c r="S262" s="50"/>
    </row>
    <row r="263" spans="2:19" x14ac:dyDescent="0.2">
      <c r="B263" s="48"/>
      <c r="F263" s="48"/>
      <c r="M263" s="49"/>
      <c r="P263" s="48"/>
      <c r="S263" s="50"/>
    </row>
    <row r="264" spans="2:19" x14ac:dyDescent="0.2">
      <c r="B264" s="48"/>
      <c r="F264" s="48"/>
      <c r="M264" s="49"/>
      <c r="P264" s="48"/>
      <c r="S264" s="50"/>
    </row>
    <row r="265" spans="2:19" x14ac:dyDescent="0.2">
      <c r="B265" s="48"/>
      <c r="F265" s="48"/>
      <c r="M265" s="49"/>
      <c r="P265" s="48"/>
      <c r="S265" s="50"/>
    </row>
    <row r="266" spans="2:19" x14ac:dyDescent="0.2">
      <c r="B266" s="48"/>
      <c r="F266" s="48"/>
      <c r="M266" s="49"/>
      <c r="P266" s="48"/>
      <c r="S266" s="50"/>
    </row>
    <row r="267" spans="2:19" x14ac:dyDescent="0.2">
      <c r="B267" s="48"/>
      <c r="F267" s="48"/>
      <c r="M267" s="49"/>
      <c r="P267" s="48"/>
      <c r="S267" s="50"/>
    </row>
    <row r="268" spans="2:19" x14ac:dyDescent="0.2">
      <c r="B268" s="48"/>
      <c r="F268" s="48"/>
      <c r="M268" s="49"/>
      <c r="P268" s="48"/>
      <c r="S268" s="50"/>
    </row>
    <row r="269" spans="2:19" x14ac:dyDescent="0.2">
      <c r="B269" s="48"/>
      <c r="F269" s="48"/>
      <c r="M269" s="49"/>
      <c r="P269" s="48"/>
      <c r="S269" s="50"/>
    </row>
    <row r="270" spans="2:19" x14ac:dyDescent="0.2">
      <c r="B270" s="48"/>
      <c r="F270" s="48"/>
      <c r="M270" s="49"/>
      <c r="P270" s="48"/>
      <c r="S270" s="50"/>
    </row>
    <row r="271" spans="2:19" x14ac:dyDescent="0.2">
      <c r="B271" s="48"/>
      <c r="F271" s="48"/>
      <c r="M271" s="49"/>
      <c r="P271" s="48"/>
      <c r="S271" s="50"/>
    </row>
    <row r="272" spans="2:19" x14ac:dyDescent="0.2">
      <c r="B272" s="48"/>
      <c r="F272" s="48"/>
      <c r="M272" s="49"/>
      <c r="P272" s="48"/>
      <c r="S272" s="50"/>
    </row>
    <row r="273" spans="2:19" x14ac:dyDescent="0.2">
      <c r="B273" s="48"/>
      <c r="F273" s="48"/>
      <c r="M273" s="49"/>
      <c r="P273" s="48"/>
      <c r="S273" s="50"/>
    </row>
    <row r="274" spans="2:19" x14ac:dyDescent="0.2">
      <c r="B274" s="48"/>
      <c r="F274" s="48"/>
      <c r="M274" s="49"/>
      <c r="P274" s="48"/>
      <c r="S274" s="50"/>
    </row>
    <row r="275" spans="2:19" x14ac:dyDescent="0.2">
      <c r="B275" s="48"/>
      <c r="F275" s="48"/>
      <c r="M275" s="49"/>
      <c r="P275" s="48"/>
      <c r="S275" s="50"/>
    </row>
    <row r="276" spans="2:19" x14ac:dyDescent="0.2">
      <c r="B276" s="48"/>
      <c r="F276" s="48"/>
      <c r="M276" s="49"/>
      <c r="P276" s="48"/>
      <c r="S276" s="50"/>
    </row>
    <row r="277" spans="2:19" x14ac:dyDescent="0.2">
      <c r="B277" s="48"/>
      <c r="F277" s="48"/>
      <c r="M277" s="49"/>
      <c r="P277" s="48"/>
      <c r="S277" s="50"/>
    </row>
    <row r="278" spans="2:19" x14ac:dyDescent="0.2">
      <c r="B278" s="48"/>
      <c r="F278" s="48"/>
      <c r="M278" s="49"/>
      <c r="P278" s="48"/>
      <c r="S278" s="50"/>
    </row>
    <row r="279" spans="2:19" x14ac:dyDescent="0.2">
      <c r="B279" s="48"/>
      <c r="F279" s="48"/>
      <c r="M279" s="49"/>
      <c r="P279" s="48"/>
      <c r="S279" s="50"/>
    </row>
    <row r="280" spans="2:19" x14ac:dyDescent="0.2">
      <c r="B280" s="48"/>
      <c r="F280" s="48"/>
      <c r="M280" s="49"/>
      <c r="P280" s="48"/>
      <c r="S280" s="50"/>
    </row>
    <row r="281" spans="2:19" x14ac:dyDescent="0.2">
      <c r="B281" s="48"/>
      <c r="F281" s="48"/>
      <c r="M281" s="49"/>
      <c r="P281" s="48"/>
      <c r="S281" s="50"/>
    </row>
    <row r="282" spans="2:19" x14ac:dyDescent="0.2">
      <c r="B282" s="48"/>
      <c r="F282" s="48"/>
      <c r="M282" s="49"/>
      <c r="P282" s="48"/>
      <c r="S282" s="50"/>
    </row>
    <row r="283" spans="2:19" x14ac:dyDescent="0.2">
      <c r="B283" s="48"/>
      <c r="F283" s="48"/>
      <c r="M283" s="49"/>
      <c r="P283" s="48"/>
      <c r="S283" s="50"/>
    </row>
    <row r="284" spans="2:19" x14ac:dyDescent="0.2">
      <c r="B284" s="48"/>
      <c r="F284" s="48"/>
      <c r="M284" s="49"/>
      <c r="P284" s="48"/>
      <c r="S284" s="50"/>
    </row>
    <row r="285" spans="2:19" x14ac:dyDescent="0.2">
      <c r="B285" s="48"/>
      <c r="F285" s="48"/>
      <c r="M285" s="49"/>
      <c r="P285" s="48"/>
      <c r="S285" s="50"/>
    </row>
    <row r="286" spans="2:19" x14ac:dyDescent="0.2">
      <c r="B286" s="48"/>
      <c r="F286" s="48"/>
      <c r="M286" s="49"/>
      <c r="P286" s="48"/>
      <c r="S286" s="50"/>
    </row>
    <row r="287" spans="2:19" x14ac:dyDescent="0.2">
      <c r="B287" s="48"/>
      <c r="F287" s="48"/>
      <c r="M287" s="49"/>
      <c r="P287" s="48"/>
      <c r="S287" s="50"/>
    </row>
    <row r="288" spans="2:19" x14ac:dyDescent="0.2">
      <c r="B288" s="48"/>
      <c r="F288" s="48"/>
      <c r="M288" s="49"/>
      <c r="P288" s="48"/>
      <c r="S288" s="50"/>
    </row>
    <row r="289" spans="2:19" x14ac:dyDescent="0.2">
      <c r="B289" s="48"/>
      <c r="F289" s="48"/>
      <c r="M289" s="49"/>
      <c r="P289" s="48"/>
      <c r="S289" s="50"/>
    </row>
    <row r="290" spans="2:19" x14ac:dyDescent="0.2">
      <c r="B290" s="48"/>
      <c r="F290" s="48"/>
      <c r="M290" s="49"/>
      <c r="P290" s="48"/>
      <c r="S290" s="50"/>
    </row>
    <row r="291" spans="2:19" x14ac:dyDescent="0.2">
      <c r="B291" s="48"/>
      <c r="F291" s="48"/>
      <c r="M291" s="49"/>
      <c r="P291" s="48"/>
      <c r="S291" s="50"/>
    </row>
    <row r="292" spans="2:19" x14ac:dyDescent="0.2">
      <c r="B292" s="48"/>
      <c r="F292" s="48"/>
      <c r="M292" s="49"/>
      <c r="P292" s="48"/>
      <c r="S292" s="50"/>
    </row>
    <row r="293" spans="2:19" x14ac:dyDescent="0.2">
      <c r="B293" s="48"/>
      <c r="F293" s="48"/>
      <c r="M293" s="49"/>
      <c r="P293" s="48"/>
      <c r="S293" s="50"/>
    </row>
    <row r="294" spans="2:19" x14ac:dyDescent="0.2">
      <c r="B294" s="48"/>
      <c r="F294" s="48"/>
      <c r="M294" s="49"/>
      <c r="P294" s="48"/>
      <c r="S294" s="50"/>
    </row>
    <row r="295" spans="2:19" x14ac:dyDescent="0.2">
      <c r="B295" s="48"/>
      <c r="F295" s="48"/>
      <c r="M295" s="49"/>
      <c r="P295" s="48"/>
      <c r="S295" s="50"/>
    </row>
    <row r="296" spans="2:19" x14ac:dyDescent="0.2">
      <c r="B296" s="48"/>
      <c r="F296" s="48"/>
      <c r="M296" s="49"/>
      <c r="P296" s="48"/>
      <c r="S296" s="50"/>
    </row>
    <row r="297" spans="2:19" x14ac:dyDescent="0.2">
      <c r="B297" s="48"/>
      <c r="F297" s="48"/>
      <c r="M297" s="49"/>
      <c r="P297" s="48"/>
      <c r="S297" s="50"/>
    </row>
    <row r="298" spans="2:19" x14ac:dyDescent="0.2">
      <c r="B298" s="48"/>
      <c r="F298" s="48"/>
      <c r="M298" s="49"/>
      <c r="P298" s="48"/>
      <c r="S298" s="50"/>
    </row>
    <row r="299" spans="2:19" x14ac:dyDescent="0.2">
      <c r="B299" s="48"/>
      <c r="F299" s="48"/>
      <c r="M299" s="49"/>
      <c r="P299" s="48"/>
      <c r="S299" s="50"/>
    </row>
    <row r="300" spans="2:19" x14ac:dyDescent="0.2">
      <c r="B300" s="48"/>
      <c r="F300" s="48"/>
      <c r="M300" s="49"/>
      <c r="P300" s="48"/>
      <c r="S300" s="50"/>
    </row>
    <row r="301" spans="2:19" x14ac:dyDescent="0.2">
      <c r="B301" s="48"/>
      <c r="F301" s="48"/>
      <c r="M301" s="49"/>
      <c r="P301" s="48"/>
      <c r="S301" s="50"/>
    </row>
    <row r="302" spans="2:19" x14ac:dyDescent="0.2">
      <c r="B302" s="48"/>
      <c r="F302" s="48"/>
      <c r="M302" s="49"/>
      <c r="P302" s="48"/>
      <c r="S302" s="50"/>
    </row>
    <row r="303" spans="2:19" x14ac:dyDescent="0.2">
      <c r="B303" s="48"/>
      <c r="F303" s="48"/>
      <c r="M303" s="49"/>
      <c r="P303" s="48"/>
      <c r="S303" s="50"/>
    </row>
    <row r="304" spans="2:19" x14ac:dyDescent="0.2">
      <c r="B304" s="48"/>
      <c r="F304" s="48"/>
      <c r="M304" s="49"/>
      <c r="P304" s="48"/>
      <c r="S304" s="50"/>
    </row>
    <row r="305" spans="2:19" x14ac:dyDescent="0.2">
      <c r="B305" s="48"/>
      <c r="F305" s="48"/>
      <c r="M305" s="49"/>
      <c r="P305" s="48"/>
      <c r="S305" s="50"/>
    </row>
    <row r="306" spans="2:19" x14ac:dyDescent="0.2">
      <c r="B306" s="48"/>
      <c r="F306" s="48"/>
      <c r="M306" s="49"/>
      <c r="P306" s="48"/>
      <c r="S306" s="50"/>
    </row>
    <row r="307" spans="2:19" x14ac:dyDescent="0.2">
      <c r="B307" s="48"/>
      <c r="F307" s="48"/>
      <c r="M307" s="49"/>
      <c r="P307" s="48"/>
      <c r="S307" s="50"/>
    </row>
    <row r="308" spans="2:19" x14ac:dyDescent="0.2">
      <c r="B308" s="48"/>
      <c r="F308" s="48"/>
      <c r="M308" s="49"/>
      <c r="P308" s="48"/>
      <c r="S308" s="50"/>
    </row>
    <row r="309" spans="2:19" x14ac:dyDescent="0.2">
      <c r="B309" s="48"/>
      <c r="F309" s="48"/>
      <c r="M309" s="49"/>
      <c r="P309" s="48"/>
      <c r="S309" s="50"/>
    </row>
    <row r="310" spans="2:19" x14ac:dyDescent="0.2">
      <c r="B310" s="48"/>
      <c r="F310" s="48"/>
      <c r="M310" s="49"/>
      <c r="P310" s="48"/>
      <c r="S310" s="50"/>
    </row>
    <row r="311" spans="2:19" x14ac:dyDescent="0.2">
      <c r="B311" s="48"/>
      <c r="F311" s="48"/>
      <c r="M311" s="49"/>
      <c r="P311" s="48"/>
      <c r="S311" s="50"/>
    </row>
    <row r="312" spans="2:19" x14ac:dyDescent="0.2">
      <c r="B312" s="48"/>
      <c r="F312" s="48"/>
      <c r="M312" s="49"/>
      <c r="P312" s="48"/>
      <c r="S312" s="50"/>
    </row>
    <row r="313" spans="2:19" x14ac:dyDescent="0.2">
      <c r="B313" s="48"/>
      <c r="F313" s="48"/>
      <c r="M313" s="49"/>
      <c r="P313" s="48"/>
      <c r="S313" s="50"/>
    </row>
    <row r="314" spans="2:19" x14ac:dyDescent="0.2">
      <c r="B314" s="48"/>
      <c r="F314" s="48"/>
      <c r="M314" s="49"/>
      <c r="P314" s="48"/>
      <c r="S314" s="50"/>
    </row>
    <row r="315" spans="2:19" x14ac:dyDescent="0.2">
      <c r="B315" s="48"/>
      <c r="F315" s="48"/>
      <c r="M315" s="49"/>
      <c r="P315" s="48"/>
      <c r="S315" s="50"/>
    </row>
    <row r="316" spans="2:19" x14ac:dyDescent="0.2">
      <c r="B316" s="48"/>
      <c r="F316" s="48"/>
      <c r="M316" s="49"/>
      <c r="P316" s="48"/>
      <c r="S316" s="50"/>
    </row>
    <row r="317" spans="2:19" x14ac:dyDescent="0.2">
      <c r="B317" s="48"/>
      <c r="F317" s="48"/>
      <c r="M317" s="49"/>
      <c r="P317" s="48"/>
      <c r="S317" s="50"/>
    </row>
    <row r="318" spans="2:19" x14ac:dyDescent="0.2">
      <c r="B318" s="48"/>
      <c r="F318" s="48"/>
      <c r="M318" s="49"/>
      <c r="P318" s="48"/>
      <c r="S318" s="50"/>
    </row>
    <row r="319" spans="2:19" x14ac:dyDescent="0.2">
      <c r="B319" s="48"/>
      <c r="F319" s="48"/>
      <c r="M319" s="49"/>
      <c r="P319" s="48"/>
      <c r="S319" s="50"/>
    </row>
    <row r="320" spans="2:19" x14ac:dyDescent="0.2">
      <c r="B320" s="48"/>
      <c r="F320" s="48"/>
      <c r="M320" s="49"/>
      <c r="P320" s="48"/>
      <c r="S320" s="50"/>
    </row>
    <row r="321" spans="2:19" x14ac:dyDescent="0.2">
      <c r="B321" s="48"/>
      <c r="F321" s="48"/>
      <c r="M321" s="49"/>
      <c r="P321" s="48"/>
      <c r="S321" s="50"/>
    </row>
    <row r="322" spans="2:19" x14ac:dyDescent="0.2">
      <c r="B322" s="48"/>
      <c r="F322" s="48"/>
      <c r="M322" s="49"/>
      <c r="P322" s="48"/>
      <c r="S322" s="50"/>
    </row>
    <row r="323" spans="2:19" x14ac:dyDescent="0.2">
      <c r="B323" s="48"/>
      <c r="F323" s="48"/>
      <c r="M323" s="49"/>
      <c r="P323" s="48"/>
      <c r="S323" s="50"/>
    </row>
    <row r="324" spans="2:19" x14ac:dyDescent="0.2">
      <c r="B324" s="48"/>
      <c r="F324" s="48"/>
      <c r="M324" s="49"/>
      <c r="P324" s="48"/>
      <c r="S324" s="50"/>
    </row>
    <row r="325" spans="2:19" x14ac:dyDescent="0.2">
      <c r="B325" s="48"/>
      <c r="F325" s="48"/>
      <c r="M325" s="49"/>
      <c r="P325" s="48"/>
      <c r="S325" s="50"/>
    </row>
    <row r="326" spans="2:19" x14ac:dyDescent="0.2">
      <c r="B326" s="48"/>
      <c r="F326" s="48"/>
      <c r="M326" s="49"/>
      <c r="P326" s="48"/>
      <c r="S326" s="50"/>
    </row>
    <row r="327" spans="2:19" x14ac:dyDescent="0.2">
      <c r="B327" s="48"/>
      <c r="F327" s="48"/>
      <c r="M327" s="49"/>
      <c r="P327" s="48"/>
      <c r="S327" s="50"/>
    </row>
    <row r="328" spans="2:19" x14ac:dyDescent="0.2">
      <c r="B328" s="48"/>
      <c r="F328" s="48"/>
      <c r="M328" s="49"/>
      <c r="P328" s="48"/>
      <c r="S328" s="50"/>
    </row>
    <row r="329" spans="2:19" x14ac:dyDescent="0.2">
      <c r="B329" s="48"/>
      <c r="F329" s="48"/>
      <c r="M329" s="49"/>
      <c r="P329" s="48"/>
      <c r="S329" s="50"/>
    </row>
    <row r="330" spans="2:19" x14ac:dyDescent="0.2">
      <c r="B330" s="48"/>
      <c r="F330" s="48"/>
      <c r="M330" s="49"/>
      <c r="P330" s="48"/>
      <c r="S330" s="50"/>
    </row>
    <row r="331" spans="2:19" x14ac:dyDescent="0.2">
      <c r="B331" s="48"/>
      <c r="F331" s="48"/>
      <c r="M331" s="49"/>
      <c r="P331" s="48"/>
      <c r="S331" s="50"/>
    </row>
    <row r="332" spans="2:19" x14ac:dyDescent="0.2">
      <c r="B332" s="48"/>
      <c r="F332" s="48"/>
      <c r="M332" s="49"/>
      <c r="P332" s="48"/>
      <c r="S332" s="50"/>
    </row>
    <row r="333" spans="2:19" x14ac:dyDescent="0.2">
      <c r="B333" s="48"/>
      <c r="F333" s="48"/>
      <c r="M333" s="49"/>
      <c r="P333" s="48"/>
      <c r="S333" s="50"/>
    </row>
    <row r="334" spans="2:19" x14ac:dyDescent="0.2">
      <c r="B334" s="48"/>
      <c r="F334" s="48"/>
      <c r="M334" s="49"/>
      <c r="P334" s="48"/>
      <c r="S334" s="50"/>
    </row>
    <row r="335" spans="2:19" x14ac:dyDescent="0.2">
      <c r="B335" s="48"/>
      <c r="F335" s="48"/>
      <c r="M335" s="49"/>
      <c r="P335" s="48"/>
      <c r="S335" s="50"/>
    </row>
    <row r="336" spans="2:19" x14ac:dyDescent="0.2">
      <c r="B336" s="48"/>
      <c r="F336" s="48"/>
      <c r="M336" s="49"/>
      <c r="P336" s="48"/>
      <c r="S336" s="50"/>
    </row>
    <row r="337" spans="2:19" x14ac:dyDescent="0.2">
      <c r="B337" s="48"/>
      <c r="F337" s="48"/>
      <c r="M337" s="49"/>
      <c r="P337" s="48"/>
      <c r="S337" s="50"/>
    </row>
    <row r="338" spans="2:19" x14ac:dyDescent="0.2">
      <c r="B338" s="48"/>
      <c r="F338" s="48"/>
      <c r="M338" s="49"/>
      <c r="P338" s="48"/>
      <c r="S338" s="50"/>
    </row>
    <row r="339" spans="2:19" x14ac:dyDescent="0.2">
      <c r="B339" s="48"/>
      <c r="F339" s="48"/>
      <c r="M339" s="49"/>
      <c r="P339" s="48"/>
      <c r="S339" s="50"/>
    </row>
    <row r="340" spans="2:19" x14ac:dyDescent="0.2">
      <c r="B340" s="48"/>
      <c r="F340" s="48"/>
      <c r="M340" s="49"/>
      <c r="P340" s="48"/>
      <c r="S340" s="50"/>
    </row>
    <row r="341" spans="2:19" x14ac:dyDescent="0.2">
      <c r="B341" s="48"/>
      <c r="F341" s="48"/>
      <c r="M341" s="49"/>
      <c r="P341" s="48"/>
      <c r="S341" s="50"/>
    </row>
    <row r="342" spans="2:19" x14ac:dyDescent="0.2">
      <c r="B342" s="48"/>
      <c r="F342" s="48"/>
      <c r="M342" s="49"/>
      <c r="P342" s="48"/>
      <c r="S342" s="50"/>
    </row>
    <row r="343" spans="2:19" x14ac:dyDescent="0.2">
      <c r="B343" s="48"/>
      <c r="F343" s="48"/>
      <c r="M343" s="49"/>
      <c r="P343" s="48"/>
      <c r="S343" s="50"/>
    </row>
    <row r="344" spans="2:19" x14ac:dyDescent="0.2">
      <c r="B344" s="48"/>
      <c r="F344" s="48"/>
      <c r="M344" s="49"/>
      <c r="P344" s="48"/>
      <c r="S344" s="50"/>
    </row>
    <row r="345" spans="2:19" x14ac:dyDescent="0.2">
      <c r="B345" s="48"/>
      <c r="F345" s="48"/>
      <c r="M345" s="49"/>
      <c r="P345" s="48"/>
      <c r="S345" s="50"/>
    </row>
    <row r="346" spans="2:19" x14ac:dyDescent="0.2">
      <c r="B346" s="48"/>
      <c r="F346" s="48"/>
      <c r="M346" s="49"/>
      <c r="P346" s="48"/>
      <c r="S346" s="50"/>
    </row>
    <row r="347" spans="2:19" x14ac:dyDescent="0.2">
      <c r="B347" s="48"/>
      <c r="F347" s="48"/>
      <c r="M347" s="49"/>
      <c r="P347" s="48"/>
      <c r="S347" s="50"/>
    </row>
    <row r="348" spans="2:19" x14ac:dyDescent="0.2">
      <c r="B348" s="48"/>
      <c r="F348" s="48"/>
      <c r="M348" s="49"/>
      <c r="P348" s="48"/>
      <c r="S348" s="50"/>
    </row>
    <row r="349" spans="2:19" x14ac:dyDescent="0.2">
      <c r="B349" s="48"/>
      <c r="F349" s="48"/>
      <c r="M349" s="49"/>
      <c r="P349" s="48"/>
      <c r="S349" s="50"/>
    </row>
    <row r="350" spans="2:19" x14ac:dyDescent="0.2">
      <c r="B350" s="48"/>
      <c r="F350" s="48"/>
      <c r="M350" s="49"/>
      <c r="P350" s="48"/>
      <c r="S350" s="50"/>
    </row>
    <row r="351" spans="2:19" x14ac:dyDescent="0.2">
      <c r="B351" s="48"/>
      <c r="F351" s="48"/>
      <c r="M351" s="49"/>
      <c r="P351" s="48"/>
      <c r="S351" s="50"/>
    </row>
    <row r="352" spans="2:19" x14ac:dyDescent="0.2">
      <c r="B352" s="48"/>
      <c r="F352" s="48"/>
      <c r="M352" s="49"/>
      <c r="P352" s="48"/>
      <c r="S352" s="50"/>
    </row>
    <row r="353" spans="2:19" x14ac:dyDescent="0.2">
      <c r="B353" s="48"/>
      <c r="F353" s="48"/>
      <c r="M353" s="49"/>
      <c r="P353" s="48"/>
      <c r="S353" s="50"/>
    </row>
    <row r="354" spans="2:19" x14ac:dyDescent="0.2">
      <c r="B354" s="48"/>
      <c r="F354" s="48"/>
      <c r="M354" s="49"/>
      <c r="P354" s="48"/>
      <c r="S354" s="50"/>
    </row>
    <row r="355" spans="2:19" x14ac:dyDescent="0.2">
      <c r="B355" s="48"/>
      <c r="F355" s="48"/>
      <c r="M355" s="49"/>
      <c r="P355" s="48"/>
      <c r="S355" s="50"/>
    </row>
    <row r="356" spans="2:19" x14ac:dyDescent="0.2">
      <c r="B356" s="48"/>
      <c r="F356" s="48"/>
      <c r="M356" s="49"/>
      <c r="P356" s="48"/>
      <c r="S356" s="50"/>
    </row>
    <row r="357" spans="2:19" x14ac:dyDescent="0.2">
      <c r="B357" s="48"/>
      <c r="F357" s="48"/>
      <c r="M357" s="49"/>
      <c r="P357" s="48"/>
      <c r="S357" s="50"/>
    </row>
    <row r="358" spans="2:19" x14ac:dyDescent="0.2">
      <c r="B358" s="48"/>
      <c r="F358" s="48"/>
      <c r="M358" s="49"/>
      <c r="P358" s="48"/>
      <c r="S358" s="50"/>
    </row>
    <row r="359" spans="2:19" x14ac:dyDescent="0.2">
      <c r="B359" s="48"/>
      <c r="F359" s="48"/>
      <c r="M359" s="49"/>
      <c r="P359" s="48"/>
      <c r="S359" s="50"/>
    </row>
    <row r="360" spans="2:19" x14ac:dyDescent="0.2">
      <c r="B360" s="48"/>
      <c r="F360" s="48"/>
      <c r="M360" s="49"/>
      <c r="P360" s="48"/>
      <c r="S360" s="50"/>
    </row>
    <row r="361" spans="2:19" x14ac:dyDescent="0.2">
      <c r="B361" s="48"/>
      <c r="F361" s="48"/>
      <c r="M361" s="49"/>
      <c r="P361" s="48"/>
      <c r="S361" s="50"/>
    </row>
    <row r="362" spans="2:19" x14ac:dyDescent="0.2">
      <c r="B362" s="48"/>
      <c r="F362" s="48"/>
      <c r="M362" s="49"/>
      <c r="P362" s="48"/>
      <c r="S362" s="50"/>
    </row>
    <row r="363" spans="2:19" x14ac:dyDescent="0.2">
      <c r="B363" s="48"/>
      <c r="F363" s="48"/>
      <c r="M363" s="49"/>
      <c r="P363" s="48"/>
      <c r="S363" s="50"/>
    </row>
    <row r="364" spans="2:19" x14ac:dyDescent="0.2">
      <c r="B364" s="48"/>
      <c r="F364" s="48"/>
      <c r="M364" s="49"/>
      <c r="P364" s="48"/>
      <c r="S364" s="50"/>
    </row>
    <row r="365" spans="2:19" x14ac:dyDescent="0.2">
      <c r="B365" s="48"/>
      <c r="F365" s="48"/>
      <c r="M365" s="49"/>
      <c r="P365" s="48"/>
      <c r="S365" s="50"/>
    </row>
    <row r="366" spans="2:19" x14ac:dyDescent="0.2">
      <c r="B366" s="48"/>
      <c r="F366" s="48"/>
      <c r="M366" s="49"/>
      <c r="P366" s="48"/>
      <c r="S366" s="50"/>
    </row>
    <row r="367" spans="2:19" x14ac:dyDescent="0.2">
      <c r="B367" s="48"/>
      <c r="F367" s="48"/>
      <c r="M367" s="49"/>
      <c r="P367" s="48"/>
      <c r="S367" s="50"/>
    </row>
    <row r="368" spans="2:19" x14ac:dyDescent="0.2">
      <c r="B368" s="48"/>
      <c r="F368" s="48"/>
      <c r="M368" s="49"/>
      <c r="P368" s="48"/>
      <c r="S368" s="50"/>
    </row>
    <row r="369" spans="2:19" x14ac:dyDescent="0.2">
      <c r="B369" s="48"/>
      <c r="F369" s="48"/>
      <c r="M369" s="49"/>
      <c r="P369" s="48"/>
      <c r="S369" s="50"/>
    </row>
    <row r="370" spans="2:19" x14ac:dyDescent="0.2">
      <c r="B370" s="48"/>
      <c r="F370" s="48"/>
      <c r="M370" s="49"/>
      <c r="P370" s="48"/>
      <c r="S370" s="50"/>
    </row>
    <row r="371" spans="2:19" x14ac:dyDescent="0.2">
      <c r="B371" s="48"/>
      <c r="F371" s="48"/>
      <c r="M371" s="49"/>
      <c r="P371" s="48"/>
      <c r="S371" s="50"/>
    </row>
    <row r="372" spans="2:19" x14ac:dyDescent="0.2">
      <c r="B372" s="48"/>
      <c r="F372" s="48"/>
      <c r="M372" s="49"/>
      <c r="P372" s="48"/>
      <c r="S372" s="50"/>
    </row>
    <row r="373" spans="2:19" x14ac:dyDescent="0.2">
      <c r="B373" s="48"/>
      <c r="F373" s="48"/>
      <c r="M373" s="49"/>
      <c r="P373" s="48"/>
      <c r="S373" s="50"/>
    </row>
    <row r="374" spans="2:19" x14ac:dyDescent="0.2">
      <c r="B374" s="48"/>
      <c r="F374" s="48"/>
      <c r="M374" s="49"/>
      <c r="P374" s="48"/>
      <c r="S374" s="50"/>
    </row>
    <row r="375" spans="2:19" x14ac:dyDescent="0.2">
      <c r="B375" s="48"/>
      <c r="F375" s="48"/>
      <c r="M375" s="49"/>
      <c r="P375" s="48"/>
      <c r="S375" s="50"/>
    </row>
    <row r="376" spans="2:19" x14ac:dyDescent="0.2">
      <c r="B376" s="48"/>
      <c r="F376" s="48"/>
      <c r="M376" s="49"/>
      <c r="P376" s="48"/>
      <c r="S376" s="50"/>
    </row>
    <row r="377" spans="2:19" x14ac:dyDescent="0.2">
      <c r="B377" s="48"/>
      <c r="F377" s="48"/>
      <c r="M377" s="49"/>
      <c r="P377" s="48"/>
      <c r="S377" s="50"/>
    </row>
    <row r="378" spans="2:19" x14ac:dyDescent="0.2">
      <c r="B378" s="48"/>
      <c r="F378" s="48"/>
      <c r="M378" s="49"/>
      <c r="P378" s="48"/>
      <c r="S378" s="50"/>
    </row>
    <row r="379" spans="2:19" x14ac:dyDescent="0.2">
      <c r="B379" s="48"/>
      <c r="F379" s="48"/>
      <c r="M379" s="49"/>
      <c r="P379" s="48"/>
      <c r="S379" s="50"/>
    </row>
    <row r="380" spans="2:19" x14ac:dyDescent="0.2">
      <c r="B380" s="48"/>
      <c r="F380" s="48"/>
      <c r="M380" s="49"/>
      <c r="P380" s="48"/>
      <c r="S380" s="50"/>
    </row>
    <row r="381" spans="2:19" x14ac:dyDescent="0.2">
      <c r="B381" s="48"/>
      <c r="F381" s="48"/>
      <c r="M381" s="49"/>
      <c r="P381" s="48"/>
      <c r="S381" s="50"/>
    </row>
    <row r="382" spans="2:19" x14ac:dyDescent="0.2">
      <c r="B382" s="48"/>
      <c r="F382" s="48"/>
      <c r="M382" s="49"/>
      <c r="P382" s="48"/>
      <c r="S382" s="50"/>
    </row>
    <row r="383" spans="2:19" x14ac:dyDescent="0.2">
      <c r="B383" s="48"/>
      <c r="F383" s="48"/>
      <c r="M383" s="49"/>
      <c r="P383" s="48"/>
      <c r="S383" s="50"/>
    </row>
    <row r="384" spans="2:19" x14ac:dyDescent="0.2">
      <c r="B384" s="48"/>
      <c r="F384" s="48"/>
      <c r="M384" s="49"/>
      <c r="P384" s="48"/>
      <c r="S384" s="50"/>
    </row>
    <row r="385" spans="2:19" x14ac:dyDescent="0.2">
      <c r="B385" s="48"/>
      <c r="F385" s="48"/>
      <c r="M385" s="49"/>
      <c r="P385" s="48"/>
      <c r="S385" s="50"/>
    </row>
    <row r="386" spans="2:19" x14ac:dyDescent="0.2">
      <c r="B386" s="48"/>
      <c r="F386" s="48"/>
      <c r="M386" s="49"/>
      <c r="P386" s="48"/>
      <c r="S386" s="50"/>
    </row>
    <row r="387" spans="2:19" x14ac:dyDescent="0.2">
      <c r="B387" s="48"/>
      <c r="F387" s="48"/>
      <c r="M387" s="49"/>
      <c r="P387" s="48"/>
      <c r="S387" s="50"/>
    </row>
    <row r="388" spans="2:19" x14ac:dyDescent="0.2">
      <c r="B388" s="48"/>
      <c r="F388" s="48"/>
      <c r="M388" s="49"/>
      <c r="P388" s="48"/>
      <c r="S388" s="50"/>
    </row>
    <row r="389" spans="2:19" x14ac:dyDescent="0.2">
      <c r="B389" s="48"/>
      <c r="F389" s="48"/>
      <c r="M389" s="49"/>
      <c r="P389" s="48"/>
      <c r="S389" s="50"/>
    </row>
    <row r="390" spans="2:19" x14ac:dyDescent="0.2">
      <c r="B390" s="48"/>
      <c r="F390" s="48"/>
      <c r="M390" s="49"/>
      <c r="P390" s="48"/>
      <c r="S390" s="50"/>
    </row>
    <row r="391" spans="2:19" x14ac:dyDescent="0.2">
      <c r="B391" s="48"/>
      <c r="F391" s="48"/>
      <c r="M391" s="49"/>
      <c r="P391" s="48"/>
      <c r="S391" s="50"/>
    </row>
    <row r="392" spans="2:19" x14ac:dyDescent="0.2">
      <c r="B392" s="48"/>
      <c r="F392" s="48"/>
      <c r="M392" s="49"/>
      <c r="P392" s="48"/>
      <c r="S392" s="50"/>
    </row>
    <row r="393" spans="2:19" x14ac:dyDescent="0.2">
      <c r="B393" s="48"/>
      <c r="F393" s="48"/>
      <c r="M393" s="49"/>
      <c r="P393" s="48"/>
      <c r="S393" s="50"/>
    </row>
    <row r="394" spans="2:19" x14ac:dyDescent="0.2">
      <c r="B394" s="48"/>
      <c r="F394" s="48"/>
      <c r="M394" s="49"/>
      <c r="P394" s="48"/>
      <c r="S394" s="50"/>
    </row>
    <row r="395" spans="2:19" x14ac:dyDescent="0.2">
      <c r="B395" s="48"/>
      <c r="F395" s="48"/>
      <c r="M395" s="49"/>
      <c r="P395" s="48"/>
      <c r="S395" s="50"/>
    </row>
    <row r="396" spans="2:19" x14ac:dyDescent="0.2">
      <c r="B396" s="48"/>
      <c r="F396" s="48"/>
      <c r="M396" s="49"/>
      <c r="P396" s="48"/>
      <c r="S396" s="50"/>
    </row>
    <row r="397" spans="2:19" x14ac:dyDescent="0.2">
      <c r="B397" s="48"/>
      <c r="F397" s="48"/>
      <c r="M397" s="49"/>
      <c r="P397" s="48"/>
      <c r="S397" s="50"/>
    </row>
    <row r="398" spans="2:19" x14ac:dyDescent="0.2">
      <c r="B398" s="48"/>
      <c r="F398" s="48"/>
      <c r="M398" s="49"/>
      <c r="P398" s="48"/>
      <c r="S398" s="50"/>
    </row>
    <row r="399" spans="2:19" x14ac:dyDescent="0.2">
      <c r="B399" s="48"/>
      <c r="F399" s="48"/>
      <c r="M399" s="49"/>
      <c r="P399" s="48"/>
      <c r="S399" s="50"/>
    </row>
    <row r="400" spans="2:19" x14ac:dyDescent="0.2">
      <c r="B400" s="48"/>
      <c r="F400" s="48"/>
      <c r="M400" s="49"/>
      <c r="P400" s="48"/>
      <c r="S400" s="50"/>
    </row>
    <row r="401" spans="2:19" x14ac:dyDescent="0.2">
      <c r="B401" s="48"/>
      <c r="F401" s="48"/>
      <c r="M401" s="49"/>
      <c r="P401" s="48"/>
      <c r="S401" s="50"/>
    </row>
    <row r="402" spans="2:19" x14ac:dyDescent="0.2">
      <c r="B402" s="48"/>
      <c r="F402" s="48"/>
      <c r="M402" s="49"/>
      <c r="P402" s="48"/>
      <c r="S402" s="50"/>
    </row>
    <row r="403" spans="2:19" x14ac:dyDescent="0.2">
      <c r="B403" s="48"/>
      <c r="F403" s="48"/>
      <c r="M403" s="49"/>
      <c r="P403" s="48"/>
      <c r="S403" s="50"/>
    </row>
    <row r="404" spans="2:19" x14ac:dyDescent="0.2">
      <c r="B404" s="48"/>
      <c r="F404" s="48"/>
      <c r="M404" s="49"/>
      <c r="P404" s="48"/>
      <c r="S404" s="50"/>
    </row>
    <row r="405" spans="2:19" x14ac:dyDescent="0.2">
      <c r="B405" s="48"/>
      <c r="F405" s="48"/>
      <c r="M405" s="49"/>
      <c r="P405" s="48"/>
      <c r="S405" s="50"/>
    </row>
    <row r="406" spans="2:19" x14ac:dyDescent="0.2">
      <c r="B406" s="48"/>
      <c r="F406" s="48"/>
      <c r="M406" s="49"/>
      <c r="P406" s="48"/>
      <c r="S406" s="50"/>
    </row>
    <row r="407" spans="2:19" x14ac:dyDescent="0.2">
      <c r="B407" s="48"/>
      <c r="F407" s="48"/>
      <c r="M407" s="49"/>
      <c r="P407" s="48"/>
      <c r="S407" s="50"/>
    </row>
    <row r="408" spans="2:19" x14ac:dyDescent="0.2">
      <c r="B408" s="48"/>
      <c r="F408" s="48"/>
      <c r="M408" s="49"/>
      <c r="P408" s="48"/>
      <c r="S408" s="50"/>
    </row>
    <row r="409" spans="2:19" x14ac:dyDescent="0.2">
      <c r="B409" s="48"/>
      <c r="F409" s="48"/>
      <c r="M409" s="49"/>
      <c r="P409" s="48"/>
      <c r="S409" s="50"/>
    </row>
    <row r="410" spans="2:19" x14ac:dyDescent="0.2">
      <c r="B410" s="48"/>
      <c r="F410" s="48"/>
      <c r="M410" s="49"/>
      <c r="P410" s="48"/>
      <c r="S410" s="50"/>
    </row>
    <row r="411" spans="2:19" x14ac:dyDescent="0.2">
      <c r="B411" s="48"/>
      <c r="F411" s="48"/>
      <c r="M411" s="49"/>
      <c r="P411" s="48"/>
      <c r="S411" s="50"/>
    </row>
    <row r="412" spans="2:19" x14ac:dyDescent="0.2">
      <c r="B412" s="48"/>
      <c r="F412" s="48"/>
      <c r="M412" s="49"/>
      <c r="P412" s="48"/>
      <c r="S412" s="50"/>
    </row>
    <row r="413" spans="2:19" x14ac:dyDescent="0.2">
      <c r="B413" s="48"/>
      <c r="F413" s="48"/>
      <c r="M413" s="49"/>
      <c r="P413" s="48"/>
      <c r="S413" s="50"/>
    </row>
    <row r="414" spans="2:19" x14ac:dyDescent="0.2">
      <c r="B414" s="48"/>
      <c r="F414" s="48"/>
      <c r="M414" s="49"/>
      <c r="P414" s="48"/>
      <c r="S414" s="50"/>
    </row>
    <row r="415" spans="2:19" x14ac:dyDescent="0.2">
      <c r="B415" s="48"/>
      <c r="F415" s="48"/>
      <c r="M415" s="49"/>
      <c r="P415" s="48"/>
      <c r="S415" s="50"/>
    </row>
    <row r="416" spans="2:19" x14ac:dyDescent="0.2">
      <c r="B416" s="48"/>
      <c r="F416" s="48"/>
      <c r="M416" s="49"/>
      <c r="P416" s="48"/>
      <c r="S416" s="50"/>
    </row>
    <row r="417" spans="2:19" x14ac:dyDescent="0.2">
      <c r="B417" s="48"/>
      <c r="F417" s="48"/>
      <c r="M417" s="49"/>
      <c r="P417" s="48"/>
      <c r="S417" s="50"/>
    </row>
    <row r="418" spans="2:19" x14ac:dyDescent="0.2">
      <c r="B418" s="48"/>
      <c r="F418" s="48"/>
      <c r="M418" s="49"/>
      <c r="P418" s="48"/>
      <c r="S418" s="50"/>
    </row>
    <row r="419" spans="2:19" x14ac:dyDescent="0.2">
      <c r="B419" s="48"/>
      <c r="F419" s="48"/>
      <c r="M419" s="49"/>
      <c r="P419" s="48"/>
      <c r="S419" s="50"/>
    </row>
    <row r="420" spans="2:19" x14ac:dyDescent="0.2">
      <c r="B420" s="48"/>
      <c r="F420" s="48"/>
      <c r="M420" s="49"/>
      <c r="P420" s="48"/>
      <c r="S420" s="50"/>
    </row>
    <row r="421" spans="2:19" x14ac:dyDescent="0.2">
      <c r="B421" s="48"/>
      <c r="F421" s="48"/>
      <c r="M421" s="49"/>
      <c r="P421" s="48"/>
      <c r="S421" s="50"/>
    </row>
    <row r="422" spans="2:19" x14ac:dyDescent="0.2">
      <c r="B422" s="48"/>
      <c r="F422" s="48"/>
      <c r="M422" s="49"/>
      <c r="P422" s="48"/>
      <c r="S422" s="50"/>
    </row>
    <row r="423" spans="2:19" x14ac:dyDescent="0.2">
      <c r="B423" s="48"/>
      <c r="F423" s="48"/>
      <c r="M423" s="49"/>
      <c r="P423" s="48"/>
      <c r="S423" s="50"/>
    </row>
    <row r="424" spans="2:19" x14ac:dyDescent="0.2">
      <c r="B424" s="48"/>
      <c r="F424" s="48"/>
      <c r="M424" s="49"/>
      <c r="P424" s="48"/>
      <c r="S424" s="50"/>
    </row>
    <row r="425" spans="2:19" x14ac:dyDescent="0.2">
      <c r="B425" s="48"/>
      <c r="F425" s="48"/>
      <c r="M425" s="49"/>
      <c r="P425" s="48"/>
      <c r="S425" s="50"/>
    </row>
    <row r="426" spans="2:19" x14ac:dyDescent="0.2">
      <c r="B426" s="48"/>
      <c r="F426" s="48"/>
      <c r="M426" s="49"/>
      <c r="P426" s="48"/>
      <c r="S426" s="50"/>
    </row>
    <row r="427" spans="2:19" x14ac:dyDescent="0.2">
      <c r="B427" s="48"/>
      <c r="F427" s="48"/>
      <c r="M427" s="49"/>
      <c r="P427" s="48"/>
      <c r="S427" s="50"/>
    </row>
    <row r="428" spans="2:19" x14ac:dyDescent="0.2">
      <c r="B428" s="48"/>
      <c r="F428" s="48"/>
      <c r="M428" s="49"/>
      <c r="P428" s="48"/>
      <c r="S428" s="50"/>
    </row>
    <row r="429" spans="2:19" x14ac:dyDescent="0.2">
      <c r="B429" s="48"/>
      <c r="F429" s="48"/>
      <c r="M429" s="49"/>
      <c r="P429" s="48"/>
      <c r="S429" s="50"/>
    </row>
    <row r="430" spans="2:19" x14ac:dyDescent="0.2">
      <c r="B430" s="48"/>
      <c r="F430" s="48"/>
      <c r="M430" s="49"/>
      <c r="P430" s="48"/>
      <c r="S430" s="50"/>
    </row>
    <row r="431" spans="2:19" x14ac:dyDescent="0.2">
      <c r="B431" s="48"/>
      <c r="F431" s="48"/>
      <c r="M431" s="49"/>
      <c r="P431" s="48"/>
      <c r="S431" s="50"/>
    </row>
    <row r="432" spans="2:19" x14ac:dyDescent="0.2">
      <c r="B432" s="48"/>
      <c r="F432" s="48"/>
      <c r="M432" s="49"/>
      <c r="P432" s="48"/>
      <c r="S432" s="50"/>
    </row>
    <row r="433" spans="2:19" x14ac:dyDescent="0.2">
      <c r="B433" s="48"/>
      <c r="F433" s="48"/>
      <c r="M433" s="49"/>
      <c r="P433" s="48"/>
      <c r="S433" s="50"/>
    </row>
    <row r="434" spans="2:19" x14ac:dyDescent="0.2">
      <c r="B434" s="48"/>
      <c r="F434" s="48"/>
      <c r="M434" s="49"/>
      <c r="P434" s="48"/>
      <c r="S434" s="50"/>
    </row>
    <row r="435" spans="2:19" x14ac:dyDescent="0.2">
      <c r="B435" s="48"/>
      <c r="F435" s="48"/>
      <c r="M435" s="49"/>
      <c r="P435" s="48"/>
      <c r="S435" s="50"/>
    </row>
    <row r="436" spans="2:19" x14ac:dyDescent="0.2">
      <c r="B436" s="48"/>
      <c r="F436" s="48"/>
      <c r="M436" s="49"/>
      <c r="P436" s="48"/>
      <c r="S436" s="50"/>
    </row>
    <row r="437" spans="2:19" x14ac:dyDescent="0.2">
      <c r="B437" s="48"/>
      <c r="F437" s="48"/>
      <c r="M437" s="49"/>
      <c r="P437" s="48"/>
      <c r="S437" s="50"/>
    </row>
    <row r="438" spans="2:19" x14ac:dyDescent="0.2">
      <c r="B438" s="48"/>
      <c r="F438" s="48"/>
      <c r="M438" s="49"/>
      <c r="P438" s="48"/>
      <c r="S438" s="50"/>
    </row>
    <row r="439" spans="2:19" x14ac:dyDescent="0.2">
      <c r="B439" s="48"/>
      <c r="F439" s="48"/>
      <c r="M439" s="49"/>
      <c r="P439" s="48"/>
      <c r="S439" s="50"/>
    </row>
    <row r="440" spans="2:19" x14ac:dyDescent="0.2">
      <c r="B440" s="48"/>
      <c r="F440" s="48"/>
      <c r="M440" s="49"/>
      <c r="P440" s="48"/>
      <c r="S440" s="50"/>
    </row>
    <row r="441" spans="2:19" x14ac:dyDescent="0.2">
      <c r="B441" s="48"/>
      <c r="F441" s="48"/>
      <c r="M441" s="49"/>
      <c r="P441" s="48"/>
      <c r="S441" s="50"/>
    </row>
    <row r="442" spans="2:19" x14ac:dyDescent="0.2">
      <c r="B442" s="48"/>
      <c r="F442" s="48"/>
      <c r="M442" s="49"/>
      <c r="P442" s="48"/>
      <c r="S442" s="50"/>
    </row>
    <row r="443" spans="2:19" x14ac:dyDescent="0.2">
      <c r="B443" s="48"/>
      <c r="F443" s="48"/>
      <c r="M443" s="49"/>
      <c r="P443" s="48"/>
      <c r="S443" s="50"/>
    </row>
    <row r="444" spans="2:19" x14ac:dyDescent="0.2">
      <c r="B444" s="48"/>
      <c r="F444" s="48"/>
      <c r="M444" s="49"/>
      <c r="P444" s="48"/>
      <c r="S444" s="50"/>
    </row>
    <row r="445" spans="2:19" x14ac:dyDescent="0.2">
      <c r="B445" s="48"/>
      <c r="F445" s="48"/>
      <c r="M445" s="49"/>
      <c r="P445" s="48"/>
      <c r="S445" s="50"/>
    </row>
    <row r="446" spans="2:19" x14ac:dyDescent="0.2">
      <c r="B446" s="48"/>
      <c r="F446" s="48"/>
      <c r="M446" s="49"/>
      <c r="P446" s="48"/>
      <c r="S446" s="50"/>
    </row>
    <row r="447" spans="2:19" x14ac:dyDescent="0.2">
      <c r="B447" s="48"/>
      <c r="F447" s="48"/>
      <c r="M447" s="49"/>
      <c r="P447" s="48"/>
      <c r="S447" s="50"/>
    </row>
    <row r="448" spans="2:19" x14ac:dyDescent="0.2">
      <c r="B448" s="48"/>
      <c r="F448" s="48"/>
      <c r="M448" s="49"/>
      <c r="P448" s="48"/>
      <c r="S448" s="50"/>
    </row>
    <row r="449" spans="2:19" x14ac:dyDescent="0.2">
      <c r="B449" s="48"/>
      <c r="F449" s="48"/>
      <c r="M449" s="49"/>
      <c r="P449" s="48"/>
      <c r="S449" s="50"/>
    </row>
    <row r="450" spans="2:19" x14ac:dyDescent="0.2">
      <c r="B450" s="48"/>
      <c r="F450" s="48"/>
      <c r="M450" s="49"/>
      <c r="P450" s="48"/>
      <c r="S450" s="50"/>
    </row>
    <row r="451" spans="2:19" x14ac:dyDescent="0.2">
      <c r="B451" s="48"/>
      <c r="F451" s="48"/>
      <c r="M451" s="49"/>
      <c r="P451" s="48"/>
      <c r="S451" s="50"/>
    </row>
    <row r="452" spans="2:19" x14ac:dyDescent="0.2">
      <c r="B452" s="48"/>
      <c r="F452" s="48"/>
      <c r="M452" s="49"/>
      <c r="P452" s="48"/>
      <c r="S452" s="50"/>
    </row>
    <row r="453" spans="2:19" x14ac:dyDescent="0.2">
      <c r="B453" s="48"/>
      <c r="F453" s="48"/>
      <c r="M453" s="49"/>
      <c r="P453" s="48"/>
      <c r="S453" s="50"/>
    </row>
    <row r="454" spans="2:19" x14ac:dyDescent="0.2">
      <c r="B454" s="48"/>
      <c r="F454" s="48"/>
      <c r="M454" s="49"/>
      <c r="P454" s="48"/>
      <c r="S454" s="50"/>
    </row>
    <row r="455" spans="2:19" x14ac:dyDescent="0.2">
      <c r="B455" s="48"/>
      <c r="F455" s="48"/>
      <c r="M455" s="49"/>
      <c r="P455" s="48"/>
      <c r="S455" s="50"/>
    </row>
    <row r="456" spans="2:19" x14ac:dyDescent="0.2">
      <c r="B456" s="48"/>
      <c r="F456" s="48"/>
      <c r="M456" s="49"/>
      <c r="P456" s="48"/>
      <c r="S456" s="50"/>
    </row>
    <row r="457" spans="2:19" x14ac:dyDescent="0.2">
      <c r="B457" s="48"/>
      <c r="F457" s="48"/>
      <c r="M457" s="49"/>
      <c r="P457" s="48"/>
      <c r="S457" s="50"/>
    </row>
    <row r="458" spans="2:19" x14ac:dyDescent="0.2">
      <c r="B458" s="48"/>
      <c r="F458" s="48"/>
      <c r="M458" s="49"/>
      <c r="P458" s="48"/>
      <c r="S458" s="50"/>
    </row>
    <row r="459" spans="2:19" x14ac:dyDescent="0.2">
      <c r="B459" s="48"/>
      <c r="F459" s="48"/>
      <c r="M459" s="49"/>
      <c r="P459" s="48"/>
      <c r="S459" s="50"/>
    </row>
    <row r="460" spans="2:19" x14ac:dyDescent="0.2">
      <c r="B460" s="48"/>
      <c r="F460" s="48"/>
      <c r="M460" s="49"/>
      <c r="P460" s="48"/>
      <c r="S460" s="50"/>
    </row>
    <row r="461" spans="2:19" x14ac:dyDescent="0.2">
      <c r="B461" s="48"/>
      <c r="F461" s="48"/>
      <c r="M461" s="49"/>
      <c r="P461" s="48"/>
      <c r="S461" s="50"/>
    </row>
    <row r="462" spans="2:19" x14ac:dyDescent="0.2">
      <c r="B462" s="48"/>
      <c r="F462" s="48"/>
      <c r="M462" s="49"/>
      <c r="P462" s="48"/>
      <c r="S462" s="50"/>
    </row>
    <row r="463" spans="2:19" x14ac:dyDescent="0.2">
      <c r="B463" s="48"/>
      <c r="F463" s="48"/>
      <c r="M463" s="49"/>
      <c r="P463" s="48"/>
      <c r="S463" s="50"/>
    </row>
    <row r="464" spans="2:19" x14ac:dyDescent="0.2">
      <c r="B464" s="48"/>
      <c r="F464" s="48"/>
      <c r="M464" s="49"/>
      <c r="P464" s="48"/>
      <c r="S464" s="50"/>
    </row>
    <row r="465" spans="2:19" x14ac:dyDescent="0.2">
      <c r="B465" s="48"/>
      <c r="F465" s="48"/>
      <c r="M465" s="49"/>
      <c r="P465" s="48"/>
      <c r="S465" s="50"/>
    </row>
    <row r="466" spans="2:19" x14ac:dyDescent="0.2">
      <c r="B466" s="48"/>
      <c r="F466" s="48"/>
      <c r="M466" s="49"/>
      <c r="P466" s="48"/>
      <c r="S466" s="50"/>
    </row>
    <row r="467" spans="2:19" x14ac:dyDescent="0.2">
      <c r="B467" s="48"/>
      <c r="F467" s="48"/>
      <c r="M467" s="49"/>
      <c r="P467" s="48"/>
      <c r="S467" s="50"/>
    </row>
    <row r="468" spans="2:19" x14ac:dyDescent="0.2">
      <c r="B468" s="48"/>
      <c r="F468" s="48"/>
      <c r="M468" s="49"/>
      <c r="P468" s="48"/>
      <c r="S468" s="50"/>
    </row>
    <row r="469" spans="2:19" x14ac:dyDescent="0.2">
      <c r="B469" s="48"/>
      <c r="F469" s="48"/>
      <c r="M469" s="49"/>
      <c r="P469" s="48"/>
      <c r="S469" s="50"/>
    </row>
    <row r="470" spans="2:19" x14ac:dyDescent="0.2">
      <c r="B470" s="48"/>
      <c r="F470" s="48"/>
      <c r="M470" s="49"/>
      <c r="P470" s="48"/>
      <c r="S470" s="50"/>
    </row>
    <row r="471" spans="2:19" x14ac:dyDescent="0.2">
      <c r="B471" s="48"/>
      <c r="F471" s="48"/>
      <c r="M471" s="49"/>
      <c r="P471" s="48"/>
      <c r="S471" s="50"/>
    </row>
    <row r="472" spans="2:19" x14ac:dyDescent="0.2">
      <c r="B472" s="48"/>
      <c r="F472" s="48"/>
      <c r="M472" s="49"/>
      <c r="P472" s="48"/>
      <c r="S472" s="50"/>
    </row>
    <row r="473" spans="2:19" x14ac:dyDescent="0.2">
      <c r="B473" s="48"/>
      <c r="F473" s="48"/>
      <c r="M473" s="49"/>
      <c r="P473" s="48"/>
      <c r="S473" s="50"/>
    </row>
    <row r="474" spans="2:19" x14ac:dyDescent="0.2">
      <c r="B474" s="48"/>
      <c r="F474" s="48"/>
      <c r="M474" s="49"/>
      <c r="P474" s="48"/>
      <c r="S474" s="50"/>
    </row>
    <row r="475" spans="2:19" x14ac:dyDescent="0.2">
      <c r="B475" s="48"/>
      <c r="F475" s="48"/>
      <c r="M475" s="49"/>
      <c r="P475" s="48"/>
      <c r="S475" s="50"/>
    </row>
    <row r="476" spans="2:19" x14ac:dyDescent="0.2">
      <c r="B476" s="48"/>
      <c r="F476" s="48"/>
      <c r="M476" s="49"/>
      <c r="P476" s="48"/>
      <c r="S476" s="50"/>
    </row>
    <row r="477" spans="2:19" x14ac:dyDescent="0.2">
      <c r="B477" s="48"/>
      <c r="F477" s="48"/>
      <c r="M477" s="49"/>
      <c r="P477" s="48"/>
      <c r="S477" s="50"/>
    </row>
    <row r="478" spans="2:19" x14ac:dyDescent="0.2">
      <c r="B478" s="48"/>
      <c r="F478" s="48"/>
      <c r="M478" s="49"/>
      <c r="P478" s="48"/>
      <c r="S478" s="50"/>
    </row>
    <row r="479" spans="2:19" x14ac:dyDescent="0.2">
      <c r="B479" s="48"/>
      <c r="F479" s="48"/>
      <c r="M479" s="49"/>
      <c r="P479" s="48"/>
      <c r="S479" s="50"/>
    </row>
    <row r="480" spans="2:19" x14ac:dyDescent="0.2">
      <c r="B480" s="48"/>
      <c r="F480" s="48"/>
      <c r="M480" s="49"/>
      <c r="P480" s="48"/>
      <c r="S480" s="50"/>
    </row>
    <row r="481" spans="2:19" x14ac:dyDescent="0.2">
      <c r="B481" s="48"/>
      <c r="F481" s="48"/>
      <c r="M481" s="49"/>
      <c r="P481" s="48"/>
      <c r="S481" s="50"/>
    </row>
    <row r="482" spans="2:19" x14ac:dyDescent="0.2">
      <c r="B482" s="48"/>
      <c r="F482" s="48"/>
      <c r="M482" s="49"/>
      <c r="P482" s="48"/>
      <c r="S482" s="50"/>
    </row>
    <row r="483" spans="2:19" x14ac:dyDescent="0.2">
      <c r="B483" s="48"/>
      <c r="F483" s="48"/>
      <c r="M483" s="49"/>
      <c r="P483" s="48"/>
      <c r="S483" s="50"/>
    </row>
    <row r="484" spans="2:19" x14ac:dyDescent="0.2">
      <c r="B484" s="48"/>
      <c r="F484" s="48"/>
      <c r="M484" s="49"/>
      <c r="P484" s="48"/>
      <c r="S484" s="50"/>
    </row>
    <row r="485" spans="2:19" x14ac:dyDescent="0.2">
      <c r="B485" s="48"/>
      <c r="F485" s="48"/>
      <c r="M485" s="49"/>
      <c r="P485" s="48"/>
      <c r="S485" s="50"/>
    </row>
    <row r="486" spans="2:19" x14ac:dyDescent="0.2">
      <c r="B486" s="48"/>
      <c r="F486" s="48"/>
      <c r="M486" s="49"/>
      <c r="P486" s="48"/>
      <c r="S486" s="50"/>
    </row>
    <row r="487" spans="2:19" x14ac:dyDescent="0.2">
      <c r="B487" s="48"/>
      <c r="F487" s="48"/>
      <c r="M487" s="49"/>
      <c r="P487" s="48"/>
      <c r="S487" s="50"/>
    </row>
    <row r="488" spans="2:19" x14ac:dyDescent="0.2">
      <c r="B488" s="48"/>
      <c r="F488" s="48"/>
      <c r="M488" s="49"/>
      <c r="P488" s="48"/>
      <c r="S488" s="50"/>
    </row>
    <row r="489" spans="2:19" x14ac:dyDescent="0.2">
      <c r="B489" s="48"/>
      <c r="F489" s="48"/>
      <c r="M489" s="49"/>
      <c r="P489" s="48"/>
      <c r="S489" s="50"/>
    </row>
    <row r="490" spans="2:19" x14ac:dyDescent="0.2">
      <c r="B490" s="48"/>
      <c r="F490" s="48"/>
      <c r="M490" s="49"/>
      <c r="P490" s="48"/>
      <c r="S490" s="50"/>
    </row>
    <row r="491" spans="2:19" x14ac:dyDescent="0.2">
      <c r="B491" s="48"/>
      <c r="F491" s="48"/>
      <c r="M491" s="49"/>
      <c r="P491" s="48"/>
      <c r="S491" s="50"/>
    </row>
    <row r="492" spans="2:19" x14ac:dyDescent="0.2">
      <c r="B492" s="48"/>
      <c r="F492" s="48"/>
      <c r="M492" s="49"/>
      <c r="P492" s="48"/>
      <c r="S492" s="50"/>
    </row>
    <row r="493" spans="2:19" x14ac:dyDescent="0.2">
      <c r="B493" s="48"/>
      <c r="F493" s="48"/>
      <c r="M493" s="49"/>
      <c r="P493" s="48"/>
      <c r="S493" s="50"/>
    </row>
    <row r="494" spans="2:19" x14ac:dyDescent="0.2">
      <c r="B494" s="48"/>
      <c r="F494" s="48"/>
      <c r="M494" s="49"/>
      <c r="P494" s="48"/>
      <c r="S494" s="50"/>
    </row>
    <row r="495" spans="2:19" x14ac:dyDescent="0.2">
      <c r="B495" s="48"/>
      <c r="F495" s="48"/>
      <c r="M495" s="49"/>
      <c r="P495" s="48"/>
      <c r="S495" s="50"/>
    </row>
    <row r="496" spans="2:19" x14ac:dyDescent="0.2">
      <c r="B496" s="48"/>
      <c r="F496" s="48"/>
      <c r="M496" s="49"/>
      <c r="P496" s="48"/>
      <c r="S496" s="50"/>
    </row>
    <row r="497" spans="2:19" x14ac:dyDescent="0.2">
      <c r="B497" s="48"/>
      <c r="F497" s="48"/>
      <c r="M497" s="49"/>
      <c r="P497" s="48"/>
      <c r="S497" s="50"/>
    </row>
    <row r="498" spans="2:19" x14ac:dyDescent="0.2">
      <c r="B498" s="48"/>
      <c r="F498" s="48"/>
      <c r="M498" s="49"/>
      <c r="P498" s="48"/>
      <c r="S498" s="50"/>
    </row>
    <row r="499" spans="2:19" x14ac:dyDescent="0.2">
      <c r="B499" s="48"/>
      <c r="F499" s="48"/>
      <c r="M499" s="49"/>
      <c r="P499" s="48"/>
      <c r="S499" s="50"/>
    </row>
    <row r="500" spans="2:19" x14ac:dyDescent="0.2">
      <c r="B500" s="48"/>
      <c r="F500" s="48"/>
      <c r="M500" s="49"/>
      <c r="P500" s="48"/>
      <c r="S500" s="50"/>
    </row>
    <row r="501" spans="2:19" x14ac:dyDescent="0.2">
      <c r="B501" s="48"/>
      <c r="F501" s="48"/>
      <c r="M501" s="49"/>
      <c r="P501" s="48"/>
      <c r="S501" s="50"/>
    </row>
    <row r="502" spans="2:19" x14ac:dyDescent="0.2">
      <c r="B502" s="48"/>
      <c r="F502" s="48"/>
      <c r="M502" s="49"/>
      <c r="P502" s="48"/>
      <c r="S502" s="50"/>
    </row>
    <row r="503" spans="2:19" x14ac:dyDescent="0.2">
      <c r="B503" s="48"/>
      <c r="F503" s="48"/>
      <c r="M503" s="49"/>
      <c r="P503" s="48"/>
      <c r="S503" s="50"/>
    </row>
    <row r="504" spans="2:19" x14ac:dyDescent="0.2">
      <c r="B504" s="48"/>
      <c r="F504" s="48"/>
      <c r="M504" s="49"/>
      <c r="P504" s="48"/>
      <c r="S504" s="50"/>
    </row>
    <row r="505" spans="2:19" x14ac:dyDescent="0.2">
      <c r="B505" s="48"/>
      <c r="F505" s="48"/>
      <c r="M505" s="49"/>
      <c r="P505" s="48"/>
      <c r="S505" s="50"/>
    </row>
    <row r="506" spans="2:19" x14ac:dyDescent="0.2">
      <c r="B506" s="48"/>
      <c r="F506" s="48"/>
      <c r="M506" s="49"/>
      <c r="P506" s="48"/>
      <c r="S506" s="50"/>
    </row>
    <row r="507" spans="2:19" x14ac:dyDescent="0.2">
      <c r="B507" s="48"/>
      <c r="F507" s="48"/>
      <c r="M507" s="49"/>
      <c r="P507" s="48"/>
      <c r="S507" s="50"/>
    </row>
    <row r="508" spans="2:19" x14ac:dyDescent="0.2">
      <c r="B508" s="48"/>
      <c r="F508" s="48"/>
      <c r="M508" s="49"/>
      <c r="P508" s="48"/>
      <c r="S508" s="50"/>
    </row>
    <row r="509" spans="2:19" x14ac:dyDescent="0.2">
      <c r="B509" s="48"/>
      <c r="F509" s="48"/>
      <c r="M509" s="49"/>
      <c r="P509" s="48"/>
      <c r="S509" s="50"/>
    </row>
    <row r="510" spans="2:19" x14ac:dyDescent="0.2">
      <c r="B510" s="48"/>
      <c r="F510" s="48"/>
      <c r="M510" s="49"/>
      <c r="P510" s="48"/>
      <c r="S510" s="50"/>
    </row>
    <row r="511" spans="2:19" x14ac:dyDescent="0.2">
      <c r="B511" s="48"/>
      <c r="F511" s="48"/>
      <c r="M511" s="49"/>
      <c r="P511" s="48"/>
      <c r="S511" s="50"/>
    </row>
    <row r="512" spans="2:19" x14ac:dyDescent="0.2">
      <c r="B512" s="48"/>
      <c r="F512" s="48"/>
      <c r="M512" s="49"/>
      <c r="P512" s="48"/>
      <c r="S512" s="50"/>
    </row>
    <row r="513" spans="2:19" x14ac:dyDescent="0.2">
      <c r="B513" s="48"/>
      <c r="F513" s="48"/>
      <c r="M513" s="49"/>
      <c r="P513" s="48"/>
      <c r="S513" s="50"/>
    </row>
    <row r="514" spans="2:19" x14ac:dyDescent="0.2">
      <c r="B514" s="48"/>
      <c r="F514" s="48"/>
      <c r="M514" s="49"/>
      <c r="P514" s="48"/>
      <c r="S514" s="50"/>
    </row>
    <row r="515" spans="2:19" x14ac:dyDescent="0.2">
      <c r="B515" s="48"/>
      <c r="F515" s="48"/>
      <c r="M515" s="49"/>
      <c r="P515" s="48"/>
      <c r="S515" s="50"/>
    </row>
    <row r="516" spans="2:19" x14ac:dyDescent="0.2">
      <c r="B516" s="48"/>
      <c r="F516" s="48"/>
      <c r="M516" s="49"/>
      <c r="P516" s="48"/>
      <c r="S516" s="50"/>
    </row>
    <row r="517" spans="2:19" x14ac:dyDescent="0.2">
      <c r="B517" s="48"/>
      <c r="F517" s="48"/>
      <c r="M517" s="49"/>
      <c r="P517" s="48"/>
      <c r="S517" s="50"/>
    </row>
    <row r="518" spans="2:19" x14ac:dyDescent="0.2">
      <c r="B518" s="48"/>
      <c r="F518" s="48"/>
      <c r="M518" s="49"/>
      <c r="P518" s="48"/>
      <c r="S518" s="50"/>
    </row>
    <row r="519" spans="2:19" x14ac:dyDescent="0.2">
      <c r="B519" s="48"/>
      <c r="F519" s="48"/>
      <c r="M519" s="49"/>
      <c r="P519" s="48"/>
      <c r="S519" s="50"/>
    </row>
    <row r="520" spans="2:19" x14ac:dyDescent="0.2">
      <c r="B520" s="48"/>
      <c r="F520" s="48"/>
      <c r="M520" s="49"/>
      <c r="P520" s="48"/>
      <c r="S520" s="50"/>
    </row>
    <row r="521" spans="2:19" x14ac:dyDescent="0.2">
      <c r="B521" s="48"/>
      <c r="F521" s="48"/>
      <c r="M521" s="49"/>
      <c r="P521" s="48"/>
      <c r="S521" s="50"/>
    </row>
    <row r="522" spans="2:19" x14ac:dyDescent="0.2">
      <c r="B522" s="48"/>
      <c r="F522" s="48"/>
      <c r="M522" s="49"/>
      <c r="P522" s="48"/>
      <c r="S522" s="50"/>
    </row>
    <row r="523" spans="2:19" x14ac:dyDescent="0.2">
      <c r="B523" s="48"/>
      <c r="F523" s="48"/>
      <c r="M523" s="49"/>
      <c r="P523" s="48"/>
      <c r="S523" s="50"/>
    </row>
    <row r="524" spans="2:19" x14ac:dyDescent="0.2">
      <c r="B524" s="48"/>
      <c r="F524" s="48"/>
      <c r="M524" s="49"/>
      <c r="P524" s="48"/>
      <c r="S524" s="50"/>
    </row>
    <row r="525" spans="2:19" x14ac:dyDescent="0.2">
      <c r="B525" s="48"/>
      <c r="F525" s="48"/>
      <c r="M525" s="49"/>
      <c r="P525" s="48"/>
      <c r="S525" s="50"/>
    </row>
    <row r="526" spans="2:19" x14ac:dyDescent="0.2">
      <c r="B526" s="48"/>
      <c r="F526" s="48"/>
      <c r="M526" s="49"/>
      <c r="P526" s="48"/>
      <c r="S526" s="50"/>
    </row>
    <row r="527" spans="2:19" x14ac:dyDescent="0.2">
      <c r="B527" s="48"/>
      <c r="F527" s="48"/>
      <c r="M527" s="49"/>
      <c r="P527" s="48"/>
      <c r="S527" s="50"/>
    </row>
    <row r="528" spans="2:19" x14ac:dyDescent="0.2">
      <c r="B528" s="48"/>
      <c r="F528" s="48"/>
      <c r="M528" s="49"/>
      <c r="P528" s="48"/>
      <c r="S528" s="50"/>
    </row>
    <row r="529" spans="2:19" x14ac:dyDescent="0.2">
      <c r="B529" s="48"/>
      <c r="F529" s="48"/>
      <c r="M529" s="49"/>
      <c r="P529" s="48"/>
      <c r="S529" s="50"/>
    </row>
    <row r="530" spans="2:19" x14ac:dyDescent="0.2">
      <c r="B530" s="48"/>
      <c r="F530" s="48"/>
      <c r="M530" s="49"/>
      <c r="P530" s="48"/>
      <c r="S530" s="50"/>
    </row>
    <row r="531" spans="2:19" x14ac:dyDescent="0.2">
      <c r="B531" s="48"/>
      <c r="F531" s="48"/>
      <c r="M531" s="49"/>
      <c r="P531" s="48"/>
      <c r="S531" s="50"/>
    </row>
    <row r="532" spans="2:19" x14ac:dyDescent="0.2">
      <c r="B532" s="48"/>
      <c r="F532" s="48"/>
      <c r="M532" s="49"/>
      <c r="P532" s="48"/>
      <c r="S532" s="50"/>
    </row>
    <row r="533" spans="2:19" x14ac:dyDescent="0.2">
      <c r="B533" s="48"/>
      <c r="F533" s="48"/>
      <c r="M533" s="49"/>
      <c r="P533" s="48"/>
      <c r="S533" s="50"/>
    </row>
    <row r="534" spans="2:19" x14ac:dyDescent="0.2">
      <c r="B534" s="48"/>
      <c r="F534" s="48"/>
      <c r="M534" s="49"/>
      <c r="P534" s="48"/>
      <c r="S534" s="50"/>
    </row>
    <row r="535" spans="2:19" x14ac:dyDescent="0.2">
      <c r="B535" s="48"/>
      <c r="F535" s="48"/>
      <c r="M535" s="49"/>
      <c r="P535" s="48"/>
      <c r="S535" s="50"/>
    </row>
    <row r="536" spans="2:19" x14ac:dyDescent="0.2">
      <c r="B536" s="48"/>
      <c r="F536" s="48"/>
      <c r="M536" s="49"/>
      <c r="P536" s="48"/>
      <c r="S536" s="50"/>
    </row>
    <row r="537" spans="2:19" x14ac:dyDescent="0.2">
      <c r="B537" s="48"/>
      <c r="F537" s="48"/>
      <c r="M537" s="49"/>
      <c r="P537" s="48"/>
      <c r="S537" s="50"/>
    </row>
    <row r="538" spans="2:19" x14ac:dyDescent="0.2">
      <c r="B538" s="48"/>
      <c r="F538" s="48"/>
      <c r="M538" s="49"/>
      <c r="P538" s="48"/>
      <c r="S538" s="50"/>
    </row>
    <row r="539" spans="2:19" x14ac:dyDescent="0.2">
      <c r="B539" s="48"/>
      <c r="F539" s="48"/>
      <c r="M539" s="49"/>
      <c r="P539" s="48"/>
      <c r="S539" s="50"/>
    </row>
    <row r="540" spans="2:19" x14ac:dyDescent="0.2">
      <c r="B540" s="48"/>
      <c r="F540" s="48"/>
      <c r="M540" s="49"/>
      <c r="P540" s="48"/>
      <c r="S540" s="50"/>
    </row>
    <row r="541" spans="2:19" x14ac:dyDescent="0.2">
      <c r="B541" s="48"/>
      <c r="F541" s="48"/>
      <c r="M541" s="49"/>
      <c r="P541" s="48"/>
      <c r="S541" s="50"/>
    </row>
    <row r="542" spans="2:19" x14ac:dyDescent="0.2">
      <c r="B542" s="48"/>
      <c r="F542" s="48"/>
      <c r="M542" s="49"/>
      <c r="P542" s="48"/>
      <c r="S542" s="50"/>
    </row>
    <row r="543" spans="2:19" x14ac:dyDescent="0.2">
      <c r="B543" s="48"/>
      <c r="F543" s="48"/>
      <c r="M543" s="49"/>
      <c r="P543" s="48"/>
      <c r="S543" s="50"/>
    </row>
    <row r="544" spans="2:19" x14ac:dyDescent="0.2">
      <c r="B544" s="48"/>
      <c r="F544" s="48"/>
      <c r="M544" s="49"/>
      <c r="P544" s="48"/>
      <c r="S544" s="50"/>
    </row>
    <row r="545" spans="2:19" x14ac:dyDescent="0.2">
      <c r="B545" s="48"/>
      <c r="F545" s="48"/>
      <c r="M545" s="49"/>
      <c r="P545" s="48"/>
      <c r="S545" s="50"/>
    </row>
    <row r="546" spans="2:19" x14ac:dyDescent="0.2">
      <c r="B546" s="48"/>
      <c r="F546" s="48"/>
      <c r="M546" s="49"/>
      <c r="P546" s="48"/>
      <c r="S546" s="50"/>
    </row>
    <row r="547" spans="2:19" x14ac:dyDescent="0.2">
      <c r="B547" s="48"/>
      <c r="F547" s="48"/>
      <c r="M547" s="49"/>
      <c r="P547" s="48"/>
      <c r="S547" s="50"/>
    </row>
    <row r="548" spans="2:19" x14ac:dyDescent="0.2">
      <c r="B548" s="48"/>
      <c r="F548" s="48"/>
      <c r="M548" s="49"/>
      <c r="P548" s="48"/>
      <c r="S548" s="50"/>
    </row>
    <row r="549" spans="2:19" x14ac:dyDescent="0.2">
      <c r="B549" s="48"/>
      <c r="F549" s="48"/>
      <c r="M549" s="49"/>
      <c r="P549" s="48"/>
      <c r="S549" s="50"/>
    </row>
    <row r="550" spans="2:19" x14ac:dyDescent="0.2">
      <c r="B550" s="48"/>
      <c r="F550" s="48"/>
      <c r="M550" s="49"/>
      <c r="P550" s="48"/>
      <c r="S550" s="50"/>
    </row>
    <row r="551" spans="2:19" x14ac:dyDescent="0.2">
      <c r="B551" s="48"/>
      <c r="F551" s="48"/>
      <c r="M551" s="49"/>
      <c r="P551" s="48"/>
      <c r="S551" s="50"/>
    </row>
    <row r="552" spans="2:19" x14ac:dyDescent="0.2">
      <c r="B552" s="48"/>
      <c r="F552" s="48"/>
      <c r="M552" s="49"/>
      <c r="P552" s="48"/>
      <c r="S552" s="50"/>
    </row>
    <row r="553" spans="2:19" x14ac:dyDescent="0.2">
      <c r="B553" s="48"/>
      <c r="F553" s="48"/>
      <c r="M553" s="49"/>
      <c r="P553" s="48"/>
      <c r="S553" s="50"/>
    </row>
    <row r="554" spans="2:19" x14ac:dyDescent="0.2">
      <c r="B554" s="48"/>
      <c r="F554" s="48"/>
      <c r="M554" s="49"/>
      <c r="P554" s="48"/>
      <c r="S554" s="50"/>
    </row>
    <row r="555" spans="2:19" x14ac:dyDescent="0.2">
      <c r="B555" s="48"/>
      <c r="F555" s="48"/>
      <c r="M555" s="49"/>
      <c r="P555" s="48"/>
      <c r="S555" s="50"/>
    </row>
    <row r="556" spans="2:19" x14ac:dyDescent="0.2">
      <c r="B556" s="48"/>
      <c r="F556" s="48"/>
      <c r="M556" s="49"/>
      <c r="P556" s="48"/>
      <c r="S556" s="50"/>
    </row>
    <row r="557" spans="2:19" x14ac:dyDescent="0.2">
      <c r="B557" s="48"/>
      <c r="F557" s="48"/>
      <c r="M557" s="49"/>
      <c r="P557" s="48"/>
      <c r="S557" s="50"/>
    </row>
    <row r="558" spans="2:19" x14ac:dyDescent="0.2">
      <c r="B558" s="48"/>
      <c r="F558" s="48"/>
      <c r="M558" s="49"/>
      <c r="P558" s="48"/>
      <c r="S558" s="50"/>
    </row>
    <row r="559" spans="2:19" x14ac:dyDescent="0.2">
      <c r="B559" s="48"/>
      <c r="F559" s="48"/>
      <c r="M559" s="49"/>
      <c r="P559" s="48"/>
      <c r="S559" s="50"/>
    </row>
    <row r="560" spans="2:19" x14ac:dyDescent="0.2">
      <c r="B560" s="48"/>
      <c r="F560" s="48"/>
      <c r="M560" s="49"/>
      <c r="P560" s="48"/>
      <c r="S560" s="50"/>
    </row>
    <row r="561" spans="2:19" x14ac:dyDescent="0.2">
      <c r="B561" s="48"/>
      <c r="F561" s="48"/>
      <c r="M561" s="49"/>
      <c r="P561" s="48"/>
      <c r="S561" s="50"/>
    </row>
    <row r="562" spans="2:19" x14ac:dyDescent="0.2">
      <c r="B562" s="48"/>
      <c r="F562" s="48"/>
      <c r="M562" s="49"/>
      <c r="P562" s="48"/>
      <c r="S562" s="50"/>
    </row>
    <row r="563" spans="2:19" x14ac:dyDescent="0.2">
      <c r="B563" s="48"/>
      <c r="F563" s="48"/>
      <c r="M563" s="49"/>
      <c r="P563" s="48"/>
      <c r="S563" s="50"/>
    </row>
    <row r="564" spans="2:19" x14ac:dyDescent="0.2">
      <c r="B564" s="48"/>
      <c r="F564" s="48"/>
      <c r="M564" s="49"/>
      <c r="P564" s="48"/>
      <c r="S564" s="50"/>
    </row>
    <row r="565" spans="2:19" x14ac:dyDescent="0.2">
      <c r="B565" s="48"/>
      <c r="F565" s="48"/>
      <c r="M565" s="49"/>
      <c r="P565" s="48"/>
      <c r="S565" s="50"/>
    </row>
    <row r="566" spans="2:19" x14ac:dyDescent="0.2">
      <c r="B566" s="48"/>
      <c r="F566" s="48"/>
      <c r="M566" s="49"/>
      <c r="P566" s="48"/>
      <c r="S566" s="50"/>
    </row>
    <row r="567" spans="2:19" x14ac:dyDescent="0.2">
      <c r="B567" s="48"/>
      <c r="F567" s="48"/>
      <c r="M567" s="49"/>
      <c r="P567" s="48"/>
      <c r="S567" s="50"/>
    </row>
    <row r="568" spans="2:19" x14ac:dyDescent="0.2">
      <c r="B568" s="48"/>
      <c r="F568" s="48"/>
      <c r="M568" s="49"/>
      <c r="P568" s="48"/>
      <c r="S568" s="50"/>
    </row>
    <row r="569" spans="2:19" x14ac:dyDescent="0.2">
      <c r="B569" s="48"/>
      <c r="F569" s="48"/>
      <c r="M569" s="49"/>
      <c r="P569" s="48"/>
      <c r="S569" s="50"/>
    </row>
    <row r="570" spans="2:19" x14ac:dyDescent="0.2">
      <c r="B570" s="48"/>
      <c r="F570" s="48"/>
      <c r="M570" s="49"/>
      <c r="P570" s="48"/>
      <c r="S570" s="50"/>
    </row>
    <row r="571" spans="2:19" x14ac:dyDescent="0.2">
      <c r="B571" s="48"/>
      <c r="F571" s="48"/>
      <c r="M571" s="49"/>
      <c r="P571" s="48"/>
      <c r="S571" s="50"/>
    </row>
    <row r="572" spans="2:19" x14ac:dyDescent="0.2">
      <c r="B572" s="48"/>
      <c r="F572" s="48"/>
      <c r="M572" s="49"/>
      <c r="P572" s="48"/>
      <c r="S572" s="50"/>
    </row>
    <row r="573" spans="2:19" x14ac:dyDescent="0.2">
      <c r="B573" s="48"/>
      <c r="F573" s="48"/>
      <c r="M573" s="49"/>
      <c r="P573" s="48"/>
      <c r="S573" s="50"/>
    </row>
    <row r="574" spans="2:19" x14ac:dyDescent="0.2">
      <c r="B574" s="48"/>
      <c r="F574" s="48"/>
      <c r="M574" s="49"/>
      <c r="P574" s="48"/>
      <c r="S574" s="50"/>
    </row>
    <row r="575" spans="2:19" x14ac:dyDescent="0.2">
      <c r="B575" s="48"/>
      <c r="F575" s="48"/>
      <c r="M575" s="49"/>
      <c r="P575" s="48"/>
      <c r="S575" s="50"/>
    </row>
    <row r="576" spans="2:19" x14ac:dyDescent="0.2">
      <c r="B576" s="48"/>
      <c r="F576" s="48"/>
      <c r="M576" s="49"/>
      <c r="P576" s="48"/>
      <c r="S576" s="50"/>
    </row>
    <row r="577" spans="2:19" x14ac:dyDescent="0.2">
      <c r="B577" s="48"/>
      <c r="F577" s="48"/>
      <c r="M577" s="49"/>
      <c r="P577" s="48"/>
      <c r="S577" s="50"/>
    </row>
    <row r="578" spans="2:19" x14ac:dyDescent="0.2">
      <c r="B578" s="48"/>
      <c r="F578" s="48"/>
      <c r="M578" s="49"/>
      <c r="P578" s="48"/>
      <c r="S578" s="50"/>
    </row>
    <row r="579" spans="2:19" x14ac:dyDescent="0.2">
      <c r="B579" s="48"/>
      <c r="F579" s="48"/>
      <c r="M579" s="49"/>
      <c r="P579" s="48"/>
      <c r="S579" s="50"/>
    </row>
    <row r="580" spans="2:19" x14ac:dyDescent="0.2">
      <c r="B580" s="48"/>
      <c r="F580" s="48"/>
      <c r="M580" s="49"/>
      <c r="P580" s="48"/>
      <c r="S580" s="50"/>
    </row>
    <row r="581" spans="2:19" x14ac:dyDescent="0.2">
      <c r="B581" s="48"/>
      <c r="F581" s="48"/>
      <c r="M581" s="49"/>
      <c r="P581" s="48"/>
      <c r="S581" s="50"/>
    </row>
    <row r="582" spans="2:19" x14ac:dyDescent="0.2">
      <c r="B582" s="48"/>
      <c r="F582" s="48"/>
      <c r="M582" s="49"/>
      <c r="P582" s="48"/>
      <c r="S582" s="50"/>
    </row>
    <row r="583" spans="2:19" x14ac:dyDescent="0.2">
      <c r="B583" s="48"/>
      <c r="F583" s="48"/>
      <c r="M583" s="49"/>
      <c r="P583" s="48"/>
      <c r="S583" s="50"/>
    </row>
    <row r="584" spans="2:19" x14ac:dyDescent="0.2">
      <c r="B584" s="48"/>
      <c r="F584" s="48"/>
      <c r="M584" s="49"/>
      <c r="P584" s="48"/>
      <c r="S584" s="50"/>
    </row>
    <row r="585" spans="2:19" x14ac:dyDescent="0.2">
      <c r="B585" s="48"/>
      <c r="F585" s="48"/>
      <c r="M585" s="49"/>
      <c r="P585" s="48"/>
      <c r="S585" s="50"/>
    </row>
    <row r="586" spans="2:19" x14ac:dyDescent="0.2">
      <c r="B586" s="48"/>
      <c r="F586" s="48"/>
      <c r="M586" s="49"/>
      <c r="P586" s="48"/>
      <c r="S586" s="50"/>
    </row>
    <row r="587" spans="2:19" x14ac:dyDescent="0.2">
      <c r="B587" s="48"/>
      <c r="F587" s="48"/>
      <c r="M587" s="49"/>
      <c r="P587" s="48"/>
      <c r="S587" s="50"/>
    </row>
    <row r="588" spans="2:19" x14ac:dyDescent="0.2">
      <c r="B588" s="48"/>
      <c r="F588" s="48"/>
      <c r="M588" s="49"/>
      <c r="P588" s="48"/>
      <c r="S588" s="50"/>
    </row>
    <row r="589" spans="2:19" x14ac:dyDescent="0.2">
      <c r="B589" s="48"/>
      <c r="F589" s="48"/>
      <c r="M589" s="49"/>
      <c r="P589" s="48"/>
      <c r="S589" s="50"/>
    </row>
    <row r="590" spans="2:19" x14ac:dyDescent="0.2">
      <c r="B590" s="48"/>
      <c r="F590" s="48"/>
      <c r="M590" s="49"/>
      <c r="P590" s="48"/>
      <c r="S590" s="50"/>
    </row>
    <row r="591" spans="2:19" x14ac:dyDescent="0.2">
      <c r="B591" s="48"/>
      <c r="F591" s="48"/>
      <c r="M591" s="49"/>
      <c r="P591" s="48"/>
      <c r="S591" s="50"/>
    </row>
    <row r="592" spans="2:19" x14ac:dyDescent="0.2">
      <c r="B592" s="48"/>
      <c r="F592" s="48"/>
      <c r="M592" s="49"/>
      <c r="P592" s="48"/>
      <c r="S592" s="50"/>
    </row>
    <row r="593" spans="2:19" x14ac:dyDescent="0.2">
      <c r="B593" s="48"/>
      <c r="F593" s="48"/>
      <c r="M593" s="49"/>
      <c r="P593" s="48"/>
      <c r="S593" s="50"/>
    </row>
    <row r="594" spans="2:19" x14ac:dyDescent="0.2">
      <c r="B594" s="48"/>
      <c r="F594" s="48"/>
      <c r="M594" s="49"/>
      <c r="P594" s="48"/>
      <c r="S594" s="50"/>
    </row>
    <row r="595" spans="2:19" x14ac:dyDescent="0.2">
      <c r="B595" s="48"/>
      <c r="F595" s="48"/>
      <c r="M595" s="49"/>
      <c r="P595" s="48"/>
      <c r="S595" s="50"/>
    </row>
    <row r="596" spans="2:19" x14ac:dyDescent="0.2">
      <c r="B596" s="48"/>
      <c r="F596" s="48"/>
      <c r="M596" s="49"/>
      <c r="P596" s="48"/>
      <c r="S596" s="50"/>
    </row>
    <row r="597" spans="2:19" x14ac:dyDescent="0.2">
      <c r="B597" s="48"/>
      <c r="F597" s="48"/>
      <c r="M597" s="49"/>
      <c r="P597" s="48"/>
      <c r="S597" s="50"/>
    </row>
    <row r="598" spans="2:19" x14ac:dyDescent="0.2">
      <c r="B598" s="48"/>
      <c r="F598" s="48"/>
      <c r="M598" s="49"/>
      <c r="P598" s="48"/>
      <c r="S598" s="50"/>
    </row>
    <row r="599" spans="2:19" x14ac:dyDescent="0.2">
      <c r="B599" s="48"/>
      <c r="F599" s="48"/>
      <c r="M599" s="49"/>
      <c r="P599" s="48"/>
      <c r="S599" s="50"/>
    </row>
    <row r="600" spans="2:19" x14ac:dyDescent="0.2">
      <c r="B600" s="48"/>
      <c r="F600" s="48"/>
      <c r="M600" s="49"/>
      <c r="P600" s="48"/>
      <c r="S600" s="50"/>
    </row>
    <row r="601" spans="2:19" x14ac:dyDescent="0.2">
      <c r="B601" s="48"/>
      <c r="F601" s="48"/>
      <c r="M601" s="49"/>
      <c r="P601" s="48"/>
      <c r="S601" s="50"/>
    </row>
    <row r="602" spans="2:19" x14ac:dyDescent="0.2">
      <c r="B602" s="48"/>
      <c r="F602" s="48"/>
      <c r="M602" s="49"/>
      <c r="P602" s="48"/>
      <c r="S602" s="50"/>
    </row>
    <row r="603" spans="2:19" x14ac:dyDescent="0.2">
      <c r="B603" s="48"/>
      <c r="F603" s="48"/>
      <c r="M603" s="49"/>
      <c r="P603" s="48"/>
      <c r="S603" s="50"/>
    </row>
    <row r="604" spans="2:19" x14ac:dyDescent="0.2">
      <c r="B604" s="48"/>
      <c r="F604" s="48"/>
      <c r="M604" s="49"/>
      <c r="P604" s="48"/>
      <c r="S604" s="50"/>
    </row>
    <row r="605" spans="2:19" x14ac:dyDescent="0.2">
      <c r="B605" s="48"/>
      <c r="F605" s="48"/>
      <c r="M605" s="49"/>
      <c r="P605" s="48"/>
      <c r="S605" s="50"/>
    </row>
    <row r="606" spans="2:19" x14ac:dyDescent="0.2">
      <c r="B606" s="48"/>
      <c r="F606" s="48"/>
      <c r="M606" s="49"/>
      <c r="P606" s="48"/>
      <c r="S606" s="50"/>
    </row>
    <row r="607" spans="2:19" x14ac:dyDescent="0.2">
      <c r="B607" s="48"/>
      <c r="F607" s="48"/>
      <c r="M607" s="49"/>
      <c r="P607" s="48"/>
      <c r="S607" s="50"/>
    </row>
    <row r="608" spans="2:19" x14ac:dyDescent="0.2">
      <c r="B608" s="48"/>
      <c r="F608" s="48"/>
      <c r="M608" s="49"/>
      <c r="P608" s="48"/>
      <c r="S608" s="50"/>
    </row>
    <row r="609" spans="2:19" x14ac:dyDescent="0.2">
      <c r="B609" s="48"/>
      <c r="F609" s="48"/>
      <c r="M609" s="49"/>
      <c r="P609" s="48"/>
      <c r="S609" s="50"/>
    </row>
    <row r="610" spans="2:19" x14ac:dyDescent="0.2">
      <c r="B610" s="48"/>
      <c r="F610" s="48"/>
      <c r="M610" s="49"/>
      <c r="P610" s="48"/>
      <c r="S610" s="50"/>
    </row>
    <row r="611" spans="2:19" x14ac:dyDescent="0.2">
      <c r="B611" s="48"/>
      <c r="F611" s="48"/>
      <c r="M611" s="49"/>
      <c r="P611" s="48"/>
      <c r="S611" s="50"/>
    </row>
    <row r="612" spans="2:19" x14ac:dyDescent="0.2">
      <c r="B612" s="48"/>
      <c r="F612" s="48"/>
      <c r="M612" s="49"/>
      <c r="P612" s="48"/>
      <c r="S612" s="50"/>
    </row>
    <row r="613" spans="2:19" x14ac:dyDescent="0.2">
      <c r="B613" s="48"/>
      <c r="F613" s="48"/>
      <c r="M613" s="49"/>
      <c r="P613" s="48"/>
      <c r="S613" s="50"/>
    </row>
    <row r="614" spans="2:19" x14ac:dyDescent="0.2">
      <c r="B614" s="48"/>
      <c r="F614" s="48"/>
      <c r="M614" s="49"/>
      <c r="P614" s="48"/>
      <c r="S614" s="50"/>
    </row>
    <row r="615" spans="2:19" x14ac:dyDescent="0.2">
      <c r="B615" s="48"/>
      <c r="F615" s="48"/>
      <c r="M615" s="49"/>
      <c r="P615" s="48"/>
      <c r="S615" s="50"/>
    </row>
    <row r="616" spans="2:19" x14ac:dyDescent="0.2">
      <c r="B616" s="48"/>
      <c r="F616" s="48"/>
      <c r="M616" s="49"/>
      <c r="P616" s="48"/>
      <c r="S616" s="50"/>
    </row>
    <row r="617" spans="2:19" x14ac:dyDescent="0.2">
      <c r="B617" s="48"/>
      <c r="F617" s="48"/>
      <c r="M617" s="49"/>
      <c r="P617" s="48"/>
      <c r="S617" s="50"/>
    </row>
    <row r="618" spans="2:19" x14ac:dyDescent="0.2">
      <c r="B618" s="48"/>
      <c r="F618" s="48"/>
      <c r="M618" s="49"/>
      <c r="P618" s="48"/>
      <c r="S618" s="50"/>
    </row>
    <row r="619" spans="2:19" x14ac:dyDescent="0.2">
      <c r="B619" s="48"/>
      <c r="F619" s="48"/>
      <c r="M619" s="49"/>
      <c r="P619" s="48"/>
      <c r="S619" s="50"/>
    </row>
    <row r="620" spans="2:19" x14ac:dyDescent="0.2">
      <c r="B620" s="48"/>
      <c r="F620" s="48"/>
      <c r="M620" s="49"/>
      <c r="P620" s="48"/>
      <c r="S620" s="50"/>
    </row>
    <row r="621" spans="2:19" x14ac:dyDescent="0.2">
      <c r="B621" s="48"/>
      <c r="F621" s="48"/>
      <c r="M621" s="49"/>
      <c r="P621" s="48"/>
      <c r="S621" s="50"/>
    </row>
    <row r="622" spans="2:19" x14ac:dyDescent="0.2">
      <c r="B622" s="48"/>
      <c r="F622" s="48"/>
      <c r="M622" s="49"/>
      <c r="P622" s="48"/>
      <c r="S622" s="50"/>
    </row>
    <row r="623" spans="2:19" x14ac:dyDescent="0.2">
      <c r="B623" s="48"/>
      <c r="F623" s="48"/>
      <c r="M623" s="49"/>
      <c r="P623" s="48"/>
      <c r="S623" s="50"/>
    </row>
    <row r="624" spans="2:19" x14ac:dyDescent="0.2">
      <c r="B624" s="48"/>
      <c r="F624" s="48"/>
      <c r="M624" s="49"/>
      <c r="P624" s="48"/>
      <c r="S624" s="50"/>
    </row>
    <row r="625" spans="2:19" x14ac:dyDescent="0.2">
      <c r="B625" s="48"/>
      <c r="F625" s="48"/>
      <c r="M625" s="49"/>
      <c r="P625" s="48"/>
      <c r="S625" s="50"/>
    </row>
    <row r="626" spans="2:19" x14ac:dyDescent="0.2">
      <c r="B626" s="48"/>
      <c r="F626" s="48"/>
      <c r="M626" s="49"/>
      <c r="P626" s="48"/>
      <c r="S626" s="50"/>
    </row>
    <row r="627" spans="2:19" x14ac:dyDescent="0.2">
      <c r="B627" s="48"/>
      <c r="F627" s="48"/>
      <c r="M627" s="49"/>
      <c r="P627" s="48"/>
      <c r="S627" s="50"/>
    </row>
    <row r="628" spans="2:19" x14ac:dyDescent="0.2">
      <c r="B628" s="48"/>
      <c r="F628" s="48"/>
      <c r="M628" s="49"/>
      <c r="P628" s="48"/>
      <c r="S628" s="50"/>
    </row>
    <row r="629" spans="2:19" x14ac:dyDescent="0.2">
      <c r="B629" s="48"/>
      <c r="F629" s="48"/>
      <c r="M629" s="49"/>
      <c r="P629" s="48"/>
      <c r="S629" s="50"/>
    </row>
    <row r="630" spans="2:19" x14ac:dyDescent="0.2">
      <c r="B630" s="48"/>
      <c r="F630" s="48"/>
      <c r="M630" s="49"/>
      <c r="P630" s="48"/>
      <c r="S630" s="50"/>
    </row>
    <row r="631" spans="2:19" x14ac:dyDescent="0.2">
      <c r="B631" s="48"/>
      <c r="F631" s="48"/>
      <c r="M631" s="49"/>
      <c r="P631" s="48"/>
      <c r="S631" s="50"/>
    </row>
    <row r="632" spans="2:19" x14ac:dyDescent="0.2">
      <c r="B632" s="48"/>
      <c r="F632" s="48"/>
      <c r="M632" s="49"/>
      <c r="P632" s="48"/>
      <c r="S632" s="50"/>
    </row>
    <row r="633" spans="2:19" x14ac:dyDescent="0.2">
      <c r="B633" s="48"/>
      <c r="F633" s="48"/>
      <c r="M633" s="49"/>
      <c r="P633" s="48"/>
      <c r="S633" s="50"/>
    </row>
    <row r="634" spans="2:19" x14ac:dyDescent="0.2">
      <c r="B634" s="48"/>
      <c r="F634" s="48"/>
      <c r="M634" s="49"/>
      <c r="P634" s="48"/>
      <c r="S634" s="50"/>
    </row>
    <row r="635" spans="2:19" x14ac:dyDescent="0.2">
      <c r="B635" s="48"/>
      <c r="F635" s="48"/>
      <c r="M635" s="49"/>
      <c r="P635" s="48"/>
      <c r="S635" s="50"/>
    </row>
    <row r="636" spans="2:19" x14ac:dyDescent="0.2">
      <c r="B636" s="48"/>
      <c r="F636" s="48"/>
      <c r="M636" s="49"/>
      <c r="P636" s="48"/>
      <c r="S636" s="50"/>
    </row>
    <row r="637" spans="2:19" x14ac:dyDescent="0.2">
      <c r="B637" s="48"/>
      <c r="F637" s="48"/>
      <c r="M637" s="49"/>
      <c r="P637" s="48"/>
      <c r="S637" s="50"/>
    </row>
    <row r="638" spans="2:19" x14ac:dyDescent="0.2">
      <c r="B638" s="48"/>
      <c r="F638" s="48"/>
      <c r="M638" s="49"/>
      <c r="P638" s="48"/>
      <c r="S638" s="50"/>
    </row>
    <row r="639" spans="2:19" x14ac:dyDescent="0.2">
      <c r="B639" s="48"/>
      <c r="F639" s="48"/>
      <c r="M639" s="49"/>
      <c r="P639" s="48"/>
      <c r="S639" s="50"/>
    </row>
    <row r="640" spans="2:19" x14ac:dyDescent="0.2">
      <c r="B640" s="48"/>
      <c r="F640" s="48"/>
      <c r="M640" s="49"/>
      <c r="P640" s="48"/>
      <c r="S640" s="50"/>
    </row>
    <row r="641" spans="2:19" x14ac:dyDescent="0.2">
      <c r="B641" s="48"/>
      <c r="F641" s="48"/>
      <c r="M641" s="49"/>
      <c r="P641" s="48"/>
      <c r="S641" s="50"/>
    </row>
    <row r="642" spans="2:19" x14ac:dyDescent="0.2">
      <c r="B642" s="48"/>
      <c r="F642" s="48"/>
      <c r="M642" s="49"/>
      <c r="P642" s="48"/>
      <c r="S642" s="50"/>
    </row>
    <row r="643" spans="2:19" x14ac:dyDescent="0.2">
      <c r="B643" s="48"/>
      <c r="F643" s="48"/>
      <c r="M643" s="49"/>
      <c r="P643" s="48"/>
      <c r="S643" s="50"/>
    </row>
    <row r="644" spans="2:19" x14ac:dyDescent="0.2">
      <c r="B644" s="48"/>
      <c r="F644" s="48"/>
      <c r="M644" s="49"/>
      <c r="P644" s="48"/>
      <c r="S644" s="50"/>
    </row>
    <row r="645" spans="2:19" x14ac:dyDescent="0.2">
      <c r="B645" s="48"/>
      <c r="F645" s="48"/>
      <c r="M645" s="49"/>
      <c r="P645" s="48"/>
      <c r="S645" s="50"/>
    </row>
    <row r="646" spans="2:19" x14ac:dyDescent="0.2">
      <c r="B646" s="48"/>
      <c r="F646" s="48"/>
      <c r="M646" s="49"/>
      <c r="P646" s="48"/>
      <c r="S646" s="50"/>
    </row>
    <row r="647" spans="2:19" x14ac:dyDescent="0.2">
      <c r="B647" s="48"/>
      <c r="F647" s="48"/>
      <c r="M647" s="49"/>
      <c r="P647" s="48"/>
      <c r="S647" s="50"/>
    </row>
    <row r="648" spans="2:19" x14ac:dyDescent="0.2">
      <c r="B648" s="48"/>
      <c r="F648" s="48"/>
      <c r="M648" s="49"/>
      <c r="P648" s="48"/>
      <c r="S648" s="50"/>
    </row>
    <row r="649" spans="2:19" x14ac:dyDescent="0.2">
      <c r="B649" s="48"/>
      <c r="F649" s="48"/>
      <c r="M649" s="49"/>
      <c r="P649" s="48"/>
      <c r="S649" s="50"/>
    </row>
    <row r="650" spans="2:19" x14ac:dyDescent="0.2">
      <c r="B650" s="48"/>
      <c r="F650" s="48"/>
      <c r="M650" s="49"/>
      <c r="P650" s="48"/>
      <c r="S650" s="50"/>
    </row>
    <row r="651" spans="2:19" x14ac:dyDescent="0.2">
      <c r="B651" s="48"/>
      <c r="F651" s="48"/>
      <c r="M651" s="49"/>
      <c r="P651" s="48"/>
      <c r="S651" s="50"/>
    </row>
    <row r="652" spans="2:19" x14ac:dyDescent="0.2">
      <c r="B652" s="48"/>
      <c r="F652" s="48"/>
      <c r="M652" s="49"/>
      <c r="P652" s="48"/>
      <c r="S652" s="50"/>
    </row>
    <row r="653" spans="2:19" x14ac:dyDescent="0.2">
      <c r="B653" s="48"/>
      <c r="F653" s="48"/>
      <c r="M653" s="49"/>
      <c r="P653" s="48"/>
      <c r="S653" s="50"/>
    </row>
    <row r="654" spans="2:19" x14ac:dyDescent="0.2">
      <c r="B654" s="48"/>
      <c r="F654" s="48"/>
      <c r="M654" s="49"/>
      <c r="P654" s="48"/>
      <c r="S654" s="50"/>
    </row>
    <row r="655" spans="2:19" x14ac:dyDescent="0.2">
      <c r="B655" s="48"/>
      <c r="F655" s="48"/>
      <c r="M655" s="49"/>
      <c r="P655" s="48"/>
      <c r="S655" s="50"/>
    </row>
    <row r="656" spans="2:19" x14ac:dyDescent="0.2">
      <c r="B656" s="48"/>
      <c r="F656" s="48"/>
      <c r="M656" s="49"/>
      <c r="P656" s="48"/>
      <c r="S656" s="50"/>
    </row>
    <row r="657" spans="2:19" x14ac:dyDescent="0.2">
      <c r="B657" s="48"/>
      <c r="F657" s="48"/>
      <c r="M657" s="49"/>
      <c r="P657" s="48"/>
      <c r="S657" s="50"/>
    </row>
    <row r="658" spans="2:19" x14ac:dyDescent="0.2">
      <c r="B658" s="48"/>
      <c r="F658" s="48"/>
      <c r="M658" s="49"/>
      <c r="P658" s="48"/>
      <c r="S658" s="50"/>
    </row>
    <row r="659" spans="2:19" x14ac:dyDescent="0.2">
      <c r="B659" s="48"/>
      <c r="F659" s="48"/>
      <c r="M659" s="49"/>
      <c r="P659" s="48"/>
      <c r="S659" s="50"/>
    </row>
    <row r="660" spans="2:19" x14ac:dyDescent="0.2">
      <c r="B660" s="48"/>
      <c r="F660" s="48"/>
      <c r="M660" s="49"/>
      <c r="P660" s="48"/>
      <c r="S660" s="50"/>
    </row>
    <row r="661" spans="2:19" x14ac:dyDescent="0.2">
      <c r="B661" s="48"/>
      <c r="F661" s="48"/>
      <c r="M661" s="49"/>
      <c r="P661" s="48"/>
      <c r="S661" s="50"/>
    </row>
    <row r="662" spans="2:19" x14ac:dyDescent="0.2">
      <c r="B662" s="48"/>
      <c r="F662" s="48"/>
      <c r="M662" s="49"/>
      <c r="P662" s="48"/>
      <c r="S662" s="50"/>
    </row>
    <row r="663" spans="2:19" x14ac:dyDescent="0.2">
      <c r="B663" s="48"/>
      <c r="F663" s="48"/>
      <c r="M663" s="49"/>
      <c r="P663" s="48"/>
      <c r="S663" s="50"/>
    </row>
    <row r="664" spans="2:19" x14ac:dyDescent="0.2">
      <c r="B664" s="48"/>
      <c r="F664" s="48"/>
      <c r="M664" s="49"/>
      <c r="P664" s="48"/>
      <c r="S664" s="50"/>
    </row>
    <row r="665" spans="2:19" x14ac:dyDescent="0.2">
      <c r="B665" s="48"/>
      <c r="F665" s="48"/>
      <c r="M665" s="49"/>
      <c r="P665" s="48"/>
      <c r="S665" s="50"/>
    </row>
    <row r="666" spans="2:19" x14ac:dyDescent="0.2">
      <c r="B666" s="48"/>
      <c r="F666" s="48"/>
      <c r="M666" s="49"/>
      <c r="P666" s="48"/>
      <c r="S666" s="50"/>
    </row>
    <row r="667" spans="2:19" x14ac:dyDescent="0.2">
      <c r="B667" s="48"/>
      <c r="F667" s="48"/>
      <c r="M667" s="49"/>
      <c r="P667" s="48"/>
      <c r="S667" s="50"/>
    </row>
    <row r="668" spans="2:19" x14ac:dyDescent="0.2">
      <c r="B668" s="48"/>
      <c r="F668" s="48"/>
      <c r="M668" s="49"/>
      <c r="P668" s="48"/>
      <c r="S668" s="50"/>
    </row>
    <row r="669" spans="2:19" x14ac:dyDescent="0.2">
      <c r="B669" s="48"/>
      <c r="F669" s="48"/>
      <c r="M669" s="49"/>
      <c r="P669" s="48"/>
      <c r="S669" s="50"/>
    </row>
    <row r="670" spans="2:19" x14ac:dyDescent="0.2">
      <c r="B670" s="48"/>
      <c r="F670" s="48"/>
      <c r="M670" s="49"/>
      <c r="P670" s="48"/>
      <c r="S670" s="50"/>
    </row>
    <row r="671" spans="2:19" x14ac:dyDescent="0.2">
      <c r="B671" s="48"/>
      <c r="F671" s="48"/>
      <c r="M671" s="49"/>
      <c r="P671" s="48"/>
      <c r="S671" s="50"/>
    </row>
    <row r="672" spans="2:19" x14ac:dyDescent="0.2">
      <c r="B672" s="48"/>
      <c r="F672" s="48"/>
      <c r="M672" s="49"/>
      <c r="P672" s="48"/>
      <c r="S672" s="50"/>
    </row>
    <row r="673" spans="2:19" x14ac:dyDescent="0.2">
      <c r="B673" s="48"/>
      <c r="F673" s="48"/>
      <c r="M673" s="49"/>
      <c r="P673" s="48"/>
      <c r="S673" s="50"/>
    </row>
    <row r="674" spans="2:19" x14ac:dyDescent="0.2">
      <c r="B674" s="48"/>
      <c r="F674" s="48"/>
      <c r="M674" s="49"/>
      <c r="P674" s="48"/>
      <c r="S674" s="50"/>
    </row>
    <row r="675" spans="2:19" x14ac:dyDescent="0.2">
      <c r="B675" s="48"/>
      <c r="F675" s="48"/>
      <c r="M675" s="49"/>
      <c r="P675" s="48"/>
      <c r="S675" s="50"/>
    </row>
    <row r="676" spans="2:19" x14ac:dyDescent="0.2">
      <c r="B676" s="48"/>
      <c r="F676" s="48"/>
      <c r="M676" s="49"/>
      <c r="P676" s="48"/>
      <c r="S676" s="50"/>
    </row>
    <row r="677" spans="2:19" x14ac:dyDescent="0.2">
      <c r="B677" s="48"/>
      <c r="F677" s="48"/>
      <c r="M677" s="49"/>
      <c r="P677" s="48"/>
      <c r="S677" s="50"/>
    </row>
    <row r="678" spans="2:19" x14ac:dyDescent="0.2">
      <c r="B678" s="48"/>
      <c r="F678" s="48"/>
      <c r="M678" s="49"/>
      <c r="P678" s="48"/>
      <c r="S678" s="50"/>
    </row>
    <row r="679" spans="2:19" x14ac:dyDescent="0.2">
      <c r="B679" s="48"/>
      <c r="F679" s="48"/>
      <c r="M679" s="49"/>
      <c r="P679" s="48"/>
      <c r="S679" s="50"/>
    </row>
    <row r="680" spans="2:19" x14ac:dyDescent="0.2">
      <c r="B680" s="48"/>
      <c r="F680" s="48"/>
      <c r="M680" s="49"/>
      <c r="P680" s="48"/>
      <c r="S680" s="50"/>
    </row>
    <row r="681" spans="2:19" x14ac:dyDescent="0.2">
      <c r="B681" s="48"/>
      <c r="F681" s="48"/>
      <c r="M681" s="49"/>
      <c r="P681" s="48"/>
      <c r="S681" s="50"/>
    </row>
    <row r="682" spans="2:19" x14ac:dyDescent="0.2">
      <c r="B682" s="48"/>
      <c r="F682" s="48"/>
      <c r="M682" s="49"/>
      <c r="P682" s="48"/>
      <c r="S682" s="50"/>
    </row>
    <row r="683" spans="2:19" x14ac:dyDescent="0.2">
      <c r="B683" s="48"/>
      <c r="F683" s="48"/>
      <c r="M683" s="49"/>
      <c r="P683" s="48"/>
      <c r="S683" s="50"/>
    </row>
    <row r="684" spans="2:19" x14ac:dyDescent="0.2">
      <c r="B684" s="48"/>
      <c r="F684" s="48"/>
      <c r="M684" s="49"/>
      <c r="P684" s="48"/>
      <c r="S684" s="50"/>
    </row>
    <row r="685" spans="2:19" x14ac:dyDescent="0.2">
      <c r="B685" s="48"/>
      <c r="F685" s="48"/>
      <c r="M685" s="49"/>
      <c r="P685" s="48"/>
      <c r="S685" s="50"/>
    </row>
    <row r="686" spans="2:19" x14ac:dyDescent="0.2">
      <c r="B686" s="48"/>
      <c r="F686" s="48"/>
      <c r="M686" s="49"/>
      <c r="P686" s="48"/>
      <c r="S686" s="50"/>
    </row>
    <row r="687" spans="2:19" x14ac:dyDescent="0.2">
      <c r="B687" s="48"/>
      <c r="F687" s="48"/>
      <c r="M687" s="49"/>
      <c r="P687" s="48"/>
      <c r="S687" s="50"/>
    </row>
    <row r="688" spans="2:19" x14ac:dyDescent="0.2">
      <c r="B688" s="48"/>
      <c r="F688" s="48"/>
      <c r="M688" s="49"/>
      <c r="P688" s="48"/>
      <c r="S688" s="50"/>
    </row>
    <row r="689" spans="2:19" x14ac:dyDescent="0.2">
      <c r="B689" s="48"/>
      <c r="F689" s="48"/>
      <c r="M689" s="49"/>
      <c r="P689" s="48"/>
      <c r="S689" s="50"/>
    </row>
    <row r="690" spans="2:19" x14ac:dyDescent="0.2">
      <c r="B690" s="48"/>
      <c r="F690" s="48"/>
      <c r="M690" s="49"/>
      <c r="P690" s="48"/>
      <c r="S690" s="50"/>
    </row>
    <row r="691" spans="2:19" x14ac:dyDescent="0.2">
      <c r="B691" s="48"/>
      <c r="F691" s="48"/>
      <c r="M691" s="49"/>
      <c r="P691" s="48"/>
      <c r="S691" s="50"/>
    </row>
    <row r="692" spans="2:19" x14ac:dyDescent="0.2">
      <c r="B692" s="48"/>
      <c r="F692" s="48"/>
      <c r="M692" s="49"/>
      <c r="P692" s="48"/>
      <c r="S692" s="50"/>
    </row>
    <row r="693" spans="2:19" x14ac:dyDescent="0.2">
      <c r="B693" s="48"/>
      <c r="F693" s="48"/>
      <c r="M693" s="49"/>
      <c r="P693" s="48"/>
      <c r="S693" s="50"/>
    </row>
    <row r="694" spans="2:19" x14ac:dyDescent="0.2">
      <c r="B694" s="48"/>
      <c r="F694" s="48"/>
      <c r="M694" s="49"/>
      <c r="P694" s="48"/>
      <c r="S694" s="50"/>
    </row>
    <row r="695" spans="2:19" x14ac:dyDescent="0.2">
      <c r="B695" s="48"/>
      <c r="F695" s="48"/>
      <c r="M695" s="49"/>
      <c r="P695" s="48"/>
      <c r="S695" s="50"/>
    </row>
    <row r="696" spans="2:19" x14ac:dyDescent="0.2">
      <c r="B696" s="48"/>
      <c r="F696" s="48"/>
      <c r="M696" s="49"/>
      <c r="P696" s="48"/>
      <c r="S696" s="50"/>
    </row>
    <row r="697" spans="2:19" x14ac:dyDescent="0.2">
      <c r="B697" s="48"/>
      <c r="F697" s="48"/>
      <c r="M697" s="49"/>
      <c r="P697" s="48"/>
      <c r="S697" s="50"/>
    </row>
    <row r="698" spans="2:19" x14ac:dyDescent="0.2">
      <c r="B698" s="48"/>
      <c r="F698" s="48"/>
      <c r="M698" s="49"/>
      <c r="P698" s="48"/>
      <c r="S698" s="50"/>
    </row>
    <row r="699" spans="2:19" x14ac:dyDescent="0.2">
      <c r="B699" s="48"/>
      <c r="F699" s="48"/>
      <c r="M699" s="49"/>
      <c r="P699" s="48"/>
      <c r="S699" s="50"/>
    </row>
    <row r="700" spans="2:19" x14ac:dyDescent="0.2">
      <c r="B700" s="48"/>
      <c r="F700" s="48"/>
      <c r="M700" s="49"/>
      <c r="P700" s="48"/>
      <c r="S700" s="50"/>
    </row>
    <row r="701" spans="2:19" x14ac:dyDescent="0.2">
      <c r="B701" s="48"/>
      <c r="F701" s="48"/>
      <c r="M701" s="49"/>
      <c r="P701" s="48"/>
      <c r="S701" s="50"/>
    </row>
    <row r="702" spans="2:19" x14ac:dyDescent="0.2">
      <c r="B702" s="48"/>
      <c r="F702" s="48"/>
      <c r="M702" s="49"/>
      <c r="P702" s="48"/>
      <c r="S702" s="50"/>
    </row>
    <row r="703" spans="2:19" x14ac:dyDescent="0.2">
      <c r="B703" s="48"/>
      <c r="F703" s="48"/>
      <c r="M703" s="49"/>
      <c r="P703" s="48"/>
      <c r="S703" s="50"/>
    </row>
    <row r="704" spans="2:19" x14ac:dyDescent="0.2">
      <c r="B704" s="48"/>
      <c r="F704" s="48"/>
      <c r="M704" s="49"/>
      <c r="P704" s="48"/>
      <c r="S704" s="50"/>
    </row>
    <row r="705" spans="2:19" x14ac:dyDescent="0.2">
      <c r="B705" s="48"/>
      <c r="F705" s="48"/>
      <c r="M705" s="49"/>
      <c r="P705" s="48"/>
      <c r="S705" s="50"/>
    </row>
    <row r="706" spans="2:19" x14ac:dyDescent="0.2">
      <c r="B706" s="48"/>
      <c r="F706" s="48"/>
      <c r="M706" s="49"/>
      <c r="P706" s="48"/>
      <c r="S706" s="50"/>
    </row>
    <row r="707" spans="2:19" x14ac:dyDescent="0.2">
      <c r="B707" s="48"/>
      <c r="F707" s="48"/>
      <c r="M707" s="49"/>
      <c r="P707" s="48"/>
      <c r="S707" s="50"/>
    </row>
    <row r="708" spans="2:19" x14ac:dyDescent="0.2">
      <c r="B708" s="48"/>
      <c r="F708" s="48"/>
      <c r="M708" s="49"/>
      <c r="P708" s="48"/>
      <c r="S708" s="50"/>
    </row>
    <row r="709" spans="2:19" x14ac:dyDescent="0.2">
      <c r="B709" s="48"/>
      <c r="F709" s="48"/>
      <c r="M709" s="49"/>
      <c r="P709" s="48"/>
      <c r="S709" s="50"/>
    </row>
    <row r="710" spans="2:19" x14ac:dyDescent="0.2">
      <c r="B710" s="48"/>
      <c r="F710" s="48"/>
      <c r="M710" s="49"/>
      <c r="P710" s="48"/>
      <c r="S710" s="50"/>
    </row>
    <row r="711" spans="2:19" x14ac:dyDescent="0.2">
      <c r="B711" s="48"/>
      <c r="F711" s="48"/>
      <c r="M711" s="49"/>
      <c r="P711" s="48"/>
      <c r="S711" s="50"/>
    </row>
    <row r="712" spans="2:19" x14ac:dyDescent="0.2">
      <c r="B712" s="48"/>
      <c r="F712" s="48"/>
      <c r="M712" s="49"/>
      <c r="P712" s="48"/>
      <c r="S712" s="50"/>
    </row>
    <row r="713" spans="2:19" x14ac:dyDescent="0.2">
      <c r="B713" s="48"/>
      <c r="F713" s="48"/>
      <c r="M713" s="49"/>
      <c r="P713" s="48"/>
      <c r="S713" s="50"/>
    </row>
    <row r="714" spans="2:19" x14ac:dyDescent="0.2">
      <c r="B714" s="48"/>
      <c r="F714" s="48"/>
      <c r="M714" s="49"/>
      <c r="P714" s="48"/>
      <c r="S714" s="50"/>
    </row>
    <row r="715" spans="2:19" x14ac:dyDescent="0.2">
      <c r="B715" s="48"/>
      <c r="F715" s="48"/>
      <c r="M715" s="49"/>
      <c r="P715" s="48"/>
      <c r="S715" s="50"/>
    </row>
    <row r="716" spans="2:19" x14ac:dyDescent="0.2">
      <c r="B716" s="48"/>
      <c r="F716" s="48"/>
      <c r="M716" s="49"/>
      <c r="P716" s="48"/>
      <c r="S716" s="50"/>
    </row>
    <row r="717" spans="2:19" x14ac:dyDescent="0.2">
      <c r="B717" s="48"/>
      <c r="F717" s="48"/>
      <c r="M717" s="49"/>
      <c r="P717" s="48"/>
      <c r="S717" s="50"/>
    </row>
    <row r="718" spans="2:19" x14ac:dyDescent="0.2">
      <c r="B718" s="48"/>
      <c r="F718" s="48"/>
      <c r="M718" s="49"/>
      <c r="P718" s="48"/>
      <c r="S718" s="50"/>
    </row>
    <row r="719" spans="2:19" x14ac:dyDescent="0.2">
      <c r="B719" s="48"/>
      <c r="F719" s="48"/>
      <c r="M719" s="49"/>
      <c r="P719" s="48"/>
      <c r="S719" s="50"/>
    </row>
    <row r="720" spans="2:19" x14ac:dyDescent="0.2">
      <c r="B720" s="48"/>
      <c r="F720" s="48"/>
      <c r="M720" s="49"/>
      <c r="P720" s="48"/>
      <c r="S720" s="50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N100"/>
  <sheetViews>
    <sheetView workbookViewId="0"/>
  </sheetViews>
  <sheetFormatPr baseColWidth="10" defaultRowHeight="14.25" x14ac:dyDescent="0.2"/>
  <cols>
    <col min="1" max="1" width="14.125" customWidth="1"/>
    <col min="2" max="2" width="11" style="71"/>
    <col min="4" max="4" width="41.125" customWidth="1"/>
    <col min="5" max="5" width="11" style="71"/>
    <col min="8" max="8" width="11" style="71"/>
    <col min="10" max="10" width="26.625" customWidth="1"/>
    <col min="11" max="11" width="11" style="71"/>
    <col min="14" max="14" width="11" style="71"/>
  </cols>
  <sheetData>
    <row r="1" spans="1:14" x14ac:dyDescent="0.2">
      <c r="A1" s="38"/>
      <c r="B1" s="39" t="s">
        <v>36</v>
      </c>
      <c r="C1" s="38"/>
      <c r="D1" s="38"/>
      <c r="E1" s="38" t="s">
        <v>36</v>
      </c>
      <c r="F1" s="39"/>
      <c r="G1" s="38"/>
      <c r="H1" s="38" t="s">
        <v>36</v>
      </c>
      <c r="I1" s="38"/>
      <c r="J1" s="39"/>
      <c r="K1" s="38" t="s">
        <v>36</v>
      </c>
      <c r="L1" s="39"/>
      <c r="M1" s="40"/>
      <c r="N1" s="38" t="s">
        <v>36</v>
      </c>
    </row>
    <row r="2" spans="1:14" x14ac:dyDescent="0.2">
      <c r="A2" s="41" t="s">
        <v>449</v>
      </c>
      <c r="B2" s="42">
        <v>9.2838893989801786E-4</v>
      </c>
      <c r="C2" s="41"/>
      <c r="D2" s="41" t="s">
        <v>451</v>
      </c>
      <c r="E2" s="42">
        <v>0.90251274504395151</v>
      </c>
      <c r="F2" s="42"/>
      <c r="G2" s="41" t="s">
        <v>453</v>
      </c>
      <c r="H2" s="52">
        <v>4.5050469645493583E-3</v>
      </c>
      <c r="I2" s="41"/>
      <c r="J2" s="42" t="s">
        <v>466</v>
      </c>
      <c r="K2" s="52">
        <v>1.4966324248254469E-3</v>
      </c>
      <c r="L2" s="42"/>
      <c r="M2" s="69" t="s">
        <v>506</v>
      </c>
      <c r="N2" s="52">
        <v>9.2838893989801786E-4</v>
      </c>
    </row>
    <row r="3" spans="1:14" x14ac:dyDescent="0.2">
      <c r="A3" s="41" t="s">
        <v>450</v>
      </c>
      <c r="B3" s="42">
        <v>0.99907161106010145</v>
      </c>
      <c r="C3" s="41"/>
      <c r="D3" s="41" t="s">
        <v>452</v>
      </c>
      <c r="E3" s="42">
        <v>9.6558866016150185E-2</v>
      </c>
      <c r="F3" s="42"/>
      <c r="G3" s="41" t="s">
        <v>454</v>
      </c>
      <c r="H3" s="52">
        <v>2.8227918937130746E-2</v>
      </c>
      <c r="I3" s="41"/>
      <c r="J3" s="42" t="s">
        <v>467</v>
      </c>
      <c r="K3" s="52">
        <v>6.8360108052349764E-4</v>
      </c>
      <c r="L3" s="42"/>
      <c r="M3" s="69" t="s">
        <v>507</v>
      </c>
      <c r="N3" s="52">
        <v>0.99907161106010145</v>
      </c>
    </row>
    <row r="4" spans="1:14" x14ac:dyDescent="0.2">
      <c r="A4" s="41"/>
      <c r="B4" s="42"/>
      <c r="C4" s="41"/>
      <c r="D4" s="41" t="s">
        <v>449</v>
      </c>
      <c r="E4" s="42">
        <v>9.2838893989801786E-4</v>
      </c>
      <c r="F4" s="42"/>
      <c r="G4" s="41" t="s">
        <v>455</v>
      </c>
      <c r="H4" s="52">
        <v>1.5365643632321857E-3</v>
      </c>
      <c r="I4" s="41"/>
      <c r="J4" s="42" t="s">
        <v>468</v>
      </c>
      <c r="K4" s="52">
        <v>5.5659202125084184E-2</v>
      </c>
      <c r="L4" s="42"/>
      <c r="M4" s="69"/>
      <c r="N4" s="52"/>
    </row>
    <row r="5" spans="1:14" x14ac:dyDescent="0.2">
      <c r="A5" s="41"/>
      <c r="B5" s="42"/>
      <c r="C5" s="41"/>
      <c r="D5" s="41"/>
      <c r="E5" s="42"/>
      <c r="F5" s="42"/>
      <c r="G5" s="41" t="s">
        <v>456</v>
      </c>
      <c r="H5" s="52">
        <v>6.2268718226322406E-2</v>
      </c>
      <c r="I5" s="41"/>
      <c r="J5" s="42" t="s">
        <v>469</v>
      </c>
      <c r="K5" s="52">
        <v>3.1162249731933661E-3</v>
      </c>
      <c r="L5" s="42"/>
      <c r="M5" s="69"/>
      <c r="N5" s="52"/>
    </row>
    <row r="6" spans="1:14" x14ac:dyDescent="0.2">
      <c r="A6" s="41"/>
      <c r="B6" s="42"/>
      <c r="C6" s="41"/>
      <c r="D6" s="41"/>
      <c r="E6" s="42"/>
      <c r="F6" s="42"/>
      <c r="G6" s="41" t="s">
        <v>457</v>
      </c>
      <c r="H6" s="52">
        <v>1.4856787226969113E-2</v>
      </c>
      <c r="I6" s="41"/>
      <c r="J6" s="42" t="s">
        <v>470</v>
      </c>
      <c r="K6" s="52">
        <v>7.8742514959827967E-2</v>
      </c>
      <c r="L6" s="42"/>
      <c r="M6" s="69"/>
      <c r="N6" s="41"/>
    </row>
    <row r="7" spans="1:14" x14ac:dyDescent="0.2">
      <c r="A7" s="41"/>
      <c r="B7" s="42"/>
      <c r="C7" s="41"/>
      <c r="D7" s="41"/>
      <c r="E7" s="42"/>
      <c r="F7" s="42"/>
      <c r="G7" s="41" t="s">
        <v>458</v>
      </c>
      <c r="H7" s="52">
        <v>0.70060531120969372</v>
      </c>
      <c r="I7" s="41"/>
      <c r="J7" s="42" t="s">
        <v>471</v>
      </c>
      <c r="K7" s="52">
        <v>1.5365643632321857E-3</v>
      </c>
      <c r="L7" s="42"/>
      <c r="M7" s="69"/>
      <c r="N7" s="41"/>
    </row>
    <row r="8" spans="1:14" x14ac:dyDescent="0.2">
      <c r="A8" s="41"/>
      <c r="B8" s="42"/>
      <c r="C8" s="41"/>
      <c r="D8" s="41"/>
      <c r="E8" s="42"/>
      <c r="F8" s="42"/>
      <c r="G8" s="41" t="s">
        <v>459</v>
      </c>
      <c r="H8" s="41">
        <v>1.7564023745245235E-2</v>
      </c>
      <c r="I8" s="41"/>
      <c r="J8" s="42" t="s">
        <v>472</v>
      </c>
      <c r="K8" s="52">
        <v>5.8551484047224309E-2</v>
      </c>
      <c r="L8" s="42"/>
      <c r="M8" s="69"/>
      <c r="N8" s="41"/>
    </row>
    <row r="9" spans="1:14" x14ac:dyDescent="0.2">
      <c r="A9" s="41"/>
      <c r="B9" s="42"/>
      <c r="C9" s="41"/>
      <c r="D9" s="41"/>
      <c r="E9" s="42"/>
      <c r="F9" s="42"/>
      <c r="G9" s="41" t="s">
        <v>460</v>
      </c>
      <c r="H9" s="41">
        <v>1.3634016183715356E-3</v>
      </c>
      <c r="I9" s="41"/>
      <c r="J9" s="42" t="s">
        <v>473</v>
      </c>
      <c r="K9" s="52">
        <v>4.5050469645493583E-3</v>
      </c>
      <c r="L9" s="42"/>
      <c r="M9" s="43"/>
      <c r="N9" s="41"/>
    </row>
    <row r="10" spans="1:14" x14ac:dyDescent="0.2">
      <c r="A10" s="41"/>
      <c r="B10" s="42"/>
      <c r="C10" s="41"/>
      <c r="D10" s="41"/>
      <c r="E10" s="42"/>
      <c r="F10" s="42"/>
      <c r="G10" s="41" t="s">
        <v>461</v>
      </c>
      <c r="H10" s="41">
        <v>1.1427525997958494E-2</v>
      </c>
      <c r="I10" s="41"/>
      <c r="J10" s="42" t="s">
        <v>474</v>
      </c>
      <c r="K10" s="52">
        <v>1.6035406143088786E-2</v>
      </c>
      <c r="L10" s="42"/>
      <c r="M10" s="43"/>
      <c r="N10" s="41"/>
    </row>
    <row r="11" spans="1:14" x14ac:dyDescent="0.2">
      <c r="A11" s="41"/>
      <c r="B11" s="42"/>
      <c r="C11" s="41"/>
      <c r="D11" s="41"/>
      <c r="E11" s="42"/>
      <c r="F11" s="42"/>
      <c r="G11" s="41" t="s">
        <v>462</v>
      </c>
      <c r="H11" s="41">
        <v>1.9151631116282153E-2</v>
      </c>
      <c r="I11" s="41"/>
      <c r="J11" s="42" t="s">
        <v>475</v>
      </c>
      <c r="K11" s="52">
        <v>1.3634016183715356E-3</v>
      </c>
      <c r="L11" s="42"/>
      <c r="M11" s="43"/>
      <c r="N11" s="41"/>
    </row>
    <row r="12" spans="1:14" x14ac:dyDescent="0.2">
      <c r="A12" s="41"/>
      <c r="B12" s="42"/>
      <c r="C12" s="41"/>
      <c r="D12" s="41"/>
      <c r="E12" s="42"/>
      <c r="F12" s="42"/>
      <c r="G12" s="41" t="s">
        <v>463</v>
      </c>
      <c r="H12" s="41">
        <v>5.5659202125084184E-2</v>
      </c>
      <c r="I12" s="41"/>
      <c r="J12" s="42" t="s">
        <v>476</v>
      </c>
      <c r="K12" s="52">
        <v>1.4856787226969113E-2</v>
      </c>
      <c r="L12" s="42"/>
      <c r="M12" s="43"/>
      <c r="N12" s="41"/>
    </row>
    <row r="13" spans="1:14" x14ac:dyDescent="0.2">
      <c r="A13" s="41"/>
      <c r="B13" s="42"/>
      <c r="C13" s="41"/>
      <c r="D13" s="41"/>
      <c r="E13" s="42"/>
      <c r="F13" s="42"/>
      <c r="G13" s="41" t="s">
        <v>464</v>
      </c>
      <c r="H13" s="41">
        <v>7.3188449867672548E-2</v>
      </c>
      <c r="I13" s="41"/>
      <c r="J13" s="42" t="s">
        <v>477</v>
      </c>
      <c r="K13" s="52">
        <v>1.5370006737491482E-3</v>
      </c>
      <c r="L13" s="42"/>
      <c r="M13" s="43"/>
      <c r="N13" s="41"/>
    </row>
    <row r="14" spans="1:14" x14ac:dyDescent="0.2">
      <c r="A14" s="41"/>
      <c r="B14" s="42"/>
      <c r="C14" s="41"/>
      <c r="D14" s="41"/>
      <c r="E14" s="42"/>
      <c r="F14" s="42"/>
      <c r="G14" s="41" t="s">
        <v>465</v>
      </c>
      <c r="H14" s="41">
        <v>9.6454186014881451E-3</v>
      </c>
      <c r="I14" s="41"/>
      <c r="J14" s="42" t="s">
        <v>478</v>
      </c>
      <c r="K14" s="52">
        <v>1.341752587940152E-3</v>
      </c>
      <c r="L14" s="42"/>
      <c r="M14" s="43"/>
      <c r="N14" s="41"/>
    </row>
    <row r="15" spans="1:14" x14ac:dyDescent="0.2">
      <c r="A15" s="41"/>
      <c r="B15" s="42"/>
      <c r="C15" s="41"/>
      <c r="D15" s="41"/>
      <c r="E15" s="42"/>
      <c r="F15" s="42"/>
      <c r="G15" s="41"/>
      <c r="H15" s="41"/>
      <c r="I15" s="41"/>
      <c r="J15" s="42" t="s">
        <v>479</v>
      </c>
      <c r="K15" s="52">
        <v>7.3786908515016542E-2</v>
      </c>
      <c r="L15" s="42"/>
      <c r="M15" s="43"/>
      <c r="N15" s="41"/>
    </row>
    <row r="16" spans="1:14" x14ac:dyDescent="0.2">
      <c r="A16" s="41"/>
      <c r="B16" s="42"/>
      <c r="C16" s="41"/>
      <c r="D16" s="41"/>
      <c r="E16" s="42"/>
      <c r="F16" s="42"/>
      <c r="G16" s="41"/>
      <c r="H16" s="41"/>
      <c r="I16" s="41"/>
      <c r="J16" s="42" t="s">
        <v>480</v>
      </c>
      <c r="K16" s="52">
        <v>8.7361108223149644E-3</v>
      </c>
      <c r="L16" s="42"/>
      <c r="M16" s="43"/>
      <c r="N16" s="41"/>
    </row>
    <row r="17" spans="1:14" x14ac:dyDescent="0.2">
      <c r="A17" s="41"/>
      <c r="B17" s="42"/>
      <c r="C17" s="41"/>
      <c r="D17" s="41"/>
      <c r="E17" s="42"/>
      <c r="F17" s="42"/>
      <c r="G17" s="41"/>
      <c r="H17" s="41"/>
      <c r="I17" s="41"/>
      <c r="J17" s="42" t="s">
        <v>481</v>
      </c>
      <c r="K17" s="52">
        <v>9.6454186014881451E-3</v>
      </c>
      <c r="L17" s="42"/>
      <c r="M17" s="69"/>
      <c r="N17" s="41"/>
    </row>
    <row r="18" spans="1:14" x14ac:dyDescent="0.2">
      <c r="A18" s="41"/>
      <c r="B18" s="42"/>
      <c r="C18" s="41"/>
      <c r="D18" s="41"/>
      <c r="E18" s="42"/>
      <c r="F18" s="42"/>
      <c r="G18" s="41"/>
      <c r="H18" s="41"/>
      <c r="I18" s="41"/>
      <c r="J18" s="42" t="s">
        <v>482</v>
      </c>
      <c r="K18" s="52">
        <v>1.5740495104637064E-3</v>
      </c>
      <c r="L18" s="42"/>
      <c r="M18" s="69"/>
      <c r="N18" s="41"/>
    </row>
    <row r="19" spans="1:14" x14ac:dyDescent="0.2">
      <c r="A19" s="41"/>
      <c r="B19" s="42"/>
      <c r="C19" s="41"/>
      <c r="D19" s="41"/>
      <c r="E19" s="42"/>
      <c r="F19" s="42"/>
      <c r="G19" s="41"/>
      <c r="H19" s="41"/>
      <c r="I19" s="41"/>
      <c r="J19" s="42" t="s">
        <v>483</v>
      </c>
      <c r="K19" s="52">
        <v>8.9841699858264623E-2</v>
      </c>
      <c r="L19" s="42"/>
      <c r="M19" s="69"/>
      <c r="N19" s="41"/>
    </row>
    <row r="20" spans="1:14" x14ac:dyDescent="0.2">
      <c r="A20" s="41"/>
      <c r="B20" s="42"/>
      <c r="C20" s="41"/>
      <c r="D20" s="41"/>
      <c r="E20" s="42"/>
      <c r="F20" s="42"/>
      <c r="G20" s="41"/>
      <c r="H20" s="41"/>
      <c r="I20" s="41"/>
      <c r="J20" s="42" t="s">
        <v>484</v>
      </c>
      <c r="K20" s="52">
        <v>6.6391666616290649E-4</v>
      </c>
      <c r="L20" s="42"/>
      <c r="M20" s="69"/>
      <c r="N20" s="41"/>
    </row>
    <row r="21" spans="1:14" x14ac:dyDescent="0.2">
      <c r="A21" s="41"/>
      <c r="B21" s="42"/>
      <c r="C21" s="41"/>
      <c r="D21" s="41"/>
      <c r="E21" s="42"/>
      <c r="F21" s="42"/>
      <c r="G21" s="41"/>
      <c r="H21" s="41"/>
      <c r="I21" s="41"/>
      <c r="J21" s="42" t="s">
        <v>485</v>
      </c>
      <c r="K21" s="52">
        <v>3.2799561133442616E-2</v>
      </c>
      <c r="L21" s="42"/>
      <c r="M21" s="43"/>
      <c r="N21" s="41"/>
    </row>
    <row r="22" spans="1:14" x14ac:dyDescent="0.2">
      <c r="A22" s="41"/>
      <c r="B22" s="42"/>
      <c r="C22" s="41"/>
      <c r="D22" s="41"/>
      <c r="E22" s="42"/>
      <c r="F22" s="42"/>
      <c r="G22" s="41"/>
      <c r="H22" s="41"/>
      <c r="I22" s="41"/>
      <c r="J22" s="42" t="s">
        <v>486</v>
      </c>
      <c r="K22" s="52">
        <v>5.2476287106783724E-2</v>
      </c>
      <c r="L22" s="42"/>
      <c r="M22" s="69"/>
      <c r="N22" s="41"/>
    </row>
    <row r="23" spans="1:14" x14ac:dyDescent="0.2">
      <c r="A23" s="41"/>
      <c r="B23" s="42"/>
      <c r="C23" s="41"/>
      <c r="D23" s="41"/>
      <c r="E23" s="42"/>
      <c r="F23" s="42"/>
      <c r="G23" s="41"/>
      <c r="H23" s="41"/>
      <c r="I23" s="41"/>
      <c r="J23" s="42" t="s">
        <v>487</v>
      </c>
      <c r="K23" s="52">
        <v>7.4375487472569987E-4</v>
      </c>
      <c r="L23" s="42"/>
      <c r="M23" s="69"/>
      <c r="N23" s="41"/>
    </row>
    <row r="24" spans="1:14" x14ac:dyDescent="0.2">
      <c r="A24" s="41"/>
      <c r="B24" s="42"/>
      <c r="C24" s="41"/>
      <c r="D24" s="41"/>
      <c r="E24" s="42"/>
      <c r="F24" s="42"/>
      <c r="G24" s="41"/>
      <c r="H24" s="41"/>
      <c r="I24" s="41"/>
      <c r="J24" s="42" t="s">
        <v>488</v>
      </c>
      <c r="K24" s="52">
        <v>6.0405370418478615E-3</v>
      </c>
      <c r="L24" s="42"/>
      <c r="M24" s="69"/>
      <c r="N24" s="41"/>
    </row>
    <row r="25" spans="1:14" x14ac:dyDescent="0.2">
      <c r="A25" s="41"/>
      <c r="B25" s="42"/>
      <c r="C25" s="41"/>
      <c r="D25" s="41"/>
      <c r="E25" s="42"/>
      <c r="F25" s="42"/>
      <c r="G25" s="41"/>
      <c r="H25" s="41"/>
      <c r="I25" s="41"/>
      <c r="J25" s="42" t="s">
        <v>489</v>
      </c>
      <c r="K25" s="52">
        <v>2.490657275463452E-2</v>
      </c>
      <c r="L25" s="42"/>
      <c r="M25" s="69"/>
      <c r="N25" s="41"/>
    </row>
    <row r="26" spans="1:14" x14ac:dyDescent="0.2">
      <c r="A26" s="41"/>
      <c r="B26" s="42"/>
      <c r="C26" s="41"/>
      <c r="D26" s="41"/>
      <c r="E26" s="42"/>
      <c r="F26" s="42"/>
      <c r="G26" s="41"/>
      <c r="H26" s="41"/>
      <c r="I26" s="41"/>
      <c r="J26" s="42" t="s">
        <v>490</v>
      </c>
      <c r="K26" s="52">
        <v>8.9131732012374368E-4</v>
      </c>
      <c r="L26" s="42"/>
      <c r="M26" s="43"/>
      <c r="N26" s="41"/>
    </row>
    <row r="27" spans="1:14" x14ac:dyDescent="0.2">
      <c r="A27" s="41"/>
      <c r="B27" s="42"/>
      <c r="C27" s="41"/>
      <c r="D27" s="41"/>
      <c r="E27" s="42"/>
      <c r="F27" s="42"/>
      <c r="G27" s="41"/>
      <c r="H27" s="41"/>
      <c r="I27" s="41"/>
      <c r="J27" s="42" t="s">
        <v>491</v>
      </c>
      <c r="K27" s="52">
        <v>2.0991178038678848E-3</v>
      </c>
      <c r="L27" s="42"/>
      <c r="M27" s="69"/>
      <c r="N27" s="41"/>
    </row>
    <row r="28" spans="1:14" x14ac:dyDescent="0.2">
      <c r="A28" s="41"/>
      <c r="B28" s="42"/>
      <c r="C28" s="41"/>
      <c r="D28" s="41"/>
      <c r="E28" s="42"/>
      <c r="F28" s="42"/>
      <c r="G28" s="41"/>
      <c r="H28" s="41"/>
      <c r="I28" s="41"/>
      <c r="J28" s="42" t="s">
        <v>492</v>
      </c>
      <c r="K28" s="52">
        <v>8.2358814861704377E-3</v>
      </c>
      <c r="L28" s="42"/>
      <c r="M28" s="69"/>
      <c r="N28" s="41"/>
    </row>
    <row r="29" spans="1:14" x14ac:dyDescent="0.2">
      <c r="A29" s="41"/>
      <c r="B29" s="42"/>
      <c r="C29" s="41"/>
      <c r="D29" s="41"/>
      <c r="E29" s="42"/>
      <c r="F29" s="42"/>
      <c r="G29" s="41"/>
      <c r="H29" s="41"/>
      <c r="I29" s="41"/>
      <c r="J29" s="42" t="s">
        <v>493</v>
      </c>
      <c r="K29" s="52">
        <v>2.1802689036574462E-2</v>
      </c>
      <c r="L29" s="42"/>
      <c r="M29" s="69"/>
      <c r="N29" s="41"/>
    </row>
    <row r="30" spans="1:14" x14ac:dyDescent="0.2">
      <c r="A30" s="41"/>
      <c r="B30" s="42"/>
      <c r="C30" s="41"/>
      <c r="D30" s="41"/>
      <c r="E30" s="42"/>
      <c r="F30" s="42"/>
      <c r="G30" s="41"/>
      <c r="H30" s="41"/>
      <c r="I30" s="41"/>
      <c r="J30" s="42" t="s">
        <v>494</v>
      </c>
      <c r="K30" s="41">
        <v>9.2838893989801786E-4</v>
      </c>
      <c r="L30" s="42"/>
      <c r="M30" s="69"/>
      <c r="N30" s="41"/>
    </row>
    <row r="31" spans="1:14" x14ac:dyDescent="0.2">
      <c r="A31" s="41"/>
      <c r="B31" s="42"/>
      <c r="C31" s="41"/>
      <c r="D31" s="41"/>
      <c r="E31" s="42"/>
      <c r="F31" s="42"/>
      <c r="G31" s="41"/>
      <c r="H31" s="41"/>
      <c r="I31" s="41"/>
      <c r="J31" s="42" t="s">
        <v>495</v>
      </c>
      <c r="K31" s="41">
        <v>4.251498083514213E-2</v>
      </c>
      <c r="L31" s="42"/>
      <c r="M31" s="43"/>
      <c r="N31" s="41"/>
    </row>
    <row r="32" spans="1:14" x14ac:dyDescent="0.2">
      <c r="A32" s="41"/>
      <c r="B32" s="42"/>
      <c r="C32" s="41"/>
      <c r="D32" s="41"/>
      <c r="E32" s="42"/>
      <c r="F32" s="42"/>
      <c r="G32" s="41"/>
      <c r="H32" s="41"/>
      <c r="I32" s="41"/>
      <c r="J32" s="42" t="s">
        <v>496</v>
      </c>
      <c r="K32" s="41">
        <v>6.6145134161529007E-2</v>
      </c>
      <c r="L32" s="42"/>
      <c r="M32" s="69"/>
      <c r="N32" s="41"/>
    </row>
    <row r="33" spans="1:14" x14ac:dyDescent="0.2">
      <c r="A33" s="41"/>
      <c r="B33" s="42"/>
      <c r="C33" s="41"/>
      <c r="D33" s="41"/>
      <c r="E33" s="42"/>
      <c r="F33" s="42"/>
      <c r="G33" s="41"/>
      <c r="H33" s="41"/>
      <c r="I33" s="41"/>
      <c r="J33" s="42" t="s">
        <v>497</v>
      </c>
      <c r="K33" s="41">
        <v>3.8833654747943293E-2</v>
      </c>
      <c r="L33" s="42"/>
      <c r="M33" s="69"/>
      <c r="N33" s="41"/>
    </row>
    <row r="34" spans="1:14" x14ac:dyDescent="0.2">
      <c r="A34" s="41"/>
      <c r="B34" s="42"/>
      <c r="C34" s="41"/>
      <c r="D34" s="41"/>
      <c r="E34" s="42"/>
      <c r="F34" s="42"/>
      <c r="G34" s="41"/>
      <c r="H34" s="41"/>
      <c r="I34" s="41"/>
      <c r="J34" s="42" t="s">
        <v>498</v>
      </c>
      <c r="K34" s="41">
        <v>7.7362395948049473E-2</v>
      </c>
      <c r="L34" s="42"/>
      <c r="M34" s="69"/>
      <c r="N34" s="41"/>
    </row>
    <row r="35" spans="1:14" x14ac:dyDescent="0.2">
      <c r="A35" s="41"/>
      <c r="B35" s="42"/>
      <c r="C35" s="41"/>
      <c r="D35" s="41"/>
      <c r="E35" s="42"/>
      <c r="F35" s="42"/>
      <c r="G35" s="41"/>
      <c r="H35" s="41"/>
      <c r="I35" s="41"/>
      <c r="J35" s="42" t="s">
        <v>499</v>
      </c>
      <c r="K35" s="41">
        <v>1.9779687743898825E-2</v>
      </c>
      <c r="L35" s="42"/>
      <c r="M35" s="69"/>
      <c r="N35" s="41"/>
    </row>
    <row r="36" spans="1:14" x14ac:dyDescent="0.2">
      <c r="A36" s="41"/>
      <c r="B36" s="42"/>
      <c r="C36" s="41"/>
      <c r="D36" s="41"/>
      <c r="E36" s="42"/>
      <c r="F36" s="42"/>
      <c r="G36" s="41"/>
      <c r="H36" s="41"/>
      <c r="I36" s="41"/>
      <c r="J36" s="42" t="s">
        <v>500</v>
      </c>
      <c r="K36" s="41">
        <v>7.8507161326707417E-2</v>
      </c>
      <c r="L36" s="42"/>
      <c r="M36" s="43"/>
      <c r="N36" s="41"/>
    </row>
    <row r="37" spans="1:14" x14ac:dyDescent="0.2">
      <c r="A37" s="41"/>
      <c r="B37" s="42"/>
      <c r="C37" s="41"/>
      <c r="D37" s="41"/>
      <c r="E37" s="42"/>
      <c r="F37" s="42"/>
      <c r="G37" s="41"/>
      <c r="H37" s="41"/>
      <c r="I37" s="41"/>
      <c r="J37" s="42" t="s">
        <v>501</v>
      </c>
      <c r="K37" s="41">
        <v>9.3284081940906097E-3</v>
      </c>
      <c r="L37" s="42"/>
      <c r="M37" s="69"/>
      <c r="N37" s="41"/>
    </row>
    <row r="38" spans="1:14" x14ac:dyDescent="0.2">
      <c r="A38" s="41"/>
      <c r="B38" s="42"/>
      <c r="C38" s="41"/>
      <c r="D38" s="41"/>
      <c r="E38" s="42"/>
      <c r="F38" s="42"/>
      <c r="G38" s="41"/>
      <c r="H38" s="41"/>
      <c r="I38" s="41"/>
      <c r="J38" s="42" t="s">
        <v>502</v>
      </c>
      <c r="K38" s="41">
        <v>9.3281422590747974E-3</v>
      </c>
      <c r="L38" s="42"/>
      <c r="M38" s="69"/>
      <c r="N38" s="41"/>
    </row>
    <row r="39" spans="1:14" x14ac:dyDescent="0.2">
      <c r="A39" s="41"/>
      <c r="B39" s="42"/>
      <c r="C39" s="41"/>
      <c r="D39" s="41"/>
      <c r="E39" s="42"/>
      <c r="F39" s="42"/>
      <c r="G39" s="41"/>
      <c r="H39" s="41"/>
      <c r="I39" s="41"/>
      <c r="J39" s="42" t="s">
        <v>503</v>
      </c>
      <c r="K39" s="41">
        <v>5.4094147495932492E-2</v>
      </c>
      <c r="L39" s="42"/>
      <c r="M39" s="69"/>
      <c r="N39" s="41"/>
    </row>
    <row r="40" spans="1:14" x14ac:dyDescent="0.2">
      <c r="A40" s="41"/>
      <c r="B40" s="42"/>
      <c r="C40" s="41"/>
      <c r="D40" s="41"/>
      <c r="E40" s="42"/>
      <c r="F40" s="42"/>
      <c r="G40" s="41"/>
      <c r="H40" s="41"/>
      <c r="I40" s="41"/>
      <c r="J40" s="42" t="s">
        <v>504</v>
      </c>
      <c r="K40" s="41">
        <v>1.0035417973068184E-3</v>
      </c>
      <c r="L40" s="42"/>
      <c r="M40" s="69"/>
      <c r="N40" s="41"/>
    </row>
    <row r="41" spans="1:14" x14ac:dyDescent="0.2">
      <c r="A41" s="41"/>
      <c r="B41" s="42"/>
      <c r="C41" s="41"/>
      <c r="D41" s="41"/>
      <c r="E41" s="42"/>
      <c r="F41" s="42"/>
      <c r="G41" s="41"/>
      <c r="H41" s="41"/>
      <c r="I41" s="41"/>
      <c r="J41" s="42" t="s">
        <v>505</v>
      </c>
      <c r="K41" s="41">
        <v>2.8504914829966237E-2</v>
      </c>
      <c r="L41" s="42"/>
      <c r="M41" s="43"/>
      <c r="N41" s="41"/>
    </row>
    <row r="42" spans="1:14" x14ac:dyDescent="0.2">
      <c r="A42" s="41"/>
      <c r="B42" s="42"/>
      <c r="C42" s="41"/>
      <c r="D42" s="41"/>
      <c r="E42" s="42"/>
      <c r="F42" s="42"/>
      <c r="G42" s="41"/>
      <c r="H42" s="41"/>
      <c r="I42" s="41"/>
      <c r="J42" s="42"/>
      <c r="K42" s="41"/>
      <c r="L42" s="42"/>
      <c r="M42" s="69"/>
      <c r="N42" s="41"/>
    </row>
    <row r="43" spans="1:14" x14ac:dyDescent="0.2">
      <c r="A43" s="41"/>
      <c r="B43" s="42"/>
      <c r="C43" s="41"/>
      <c r="D43" s="41"/>
      <c r="E43" s="42"/>
      <c r="F43" s="42"/>
      <c r="G43" s="41"/>
      <c r="H43" s="41"/>
      <c r="I43" s="41"/>
      <c r="J43" s="42"/>
      <c r="K43" s="41"/>
      <c r="L43" s="42"/>
      <c r="M43" s="69"/>
      <c r="N43" s="41"/>
    </row>
    <row r="44" spans="1:14" x14ac:dyDescent="0.2">
      <c r="A44" s="41"/>
      <c r="B44" s="42"/>
      <c r="C44" s="41"/>
      <c r="D44" s="41"/>
      <c r="E44" s="42"/>
      <c r="F44" s="42"/>
      <c r="G44" s="41"/>
      <c r="H44" s="41"/>
      <c r="I44" s="41"/>
      <c r="J44" s="42"/>
      <c r="K44" s="41"/>
      <c r="L44" s="42"/>
      <c r="M44" s="69"/>
      <c r="N44" s="41"/>
    </row>
    <row r="45" spans="1:14" x14ac:dyDescent="0.2">
      <c r="A45" s="41"/>
      <c r="B45" s="42"/>
      <c r="C45" s="41"/>
      <c r="D45" s="41"/>
      <c r="E45" s="42"/>
      <c r="F45" s="42"/>
      <c r="G45" s="41"/>
      <c r="H45" s="41"/>
      <c r="I45" s="41"/>
      <c r="J45" s="42"/>
      <c r="K45" s="41"/>
      <c r="L45" s="42"/>
      <c r="M45" s="69"/>
      <c r="N45" s="41"/>
    </row>
    <row r="46" spans="1:14" x14ac:dyDescent="0.2">
      <c r="A46" s="41"/>
      <c r="B46" s="42"/>
      <c r="C46" s="41"/>
      <c r="D46" s="41"/>
      <c r="E46" s="42"/>
      <c r="F46" s="42"/>
      <c r="G46" s="41"/>
      <c r="H46" s="41"/>
      <c r="I46" s="41"/>
      <c r="J46" s="42"/>
      <c r="K46" s="41"/>
      <c r="L46" s="42"/>
      <c r="M46" s="43"/>
      <c r="N46" s="41"/>
    </row>
    <row r="47" spans="1:14" x14ac:dyDescent="0.2">
      <c r="A47" s="41"/>
      <c r="B47" s="42"/>
      <c r="C47" s="41"/>
      <c r="D47" s="41"/>
      <c r="E47" s="42"/>
      <c r="F47" s="42"/>
      <c r="G47" s="41"/>
      <c r="H47" s="41"/>
      <c r="I47" s="41"/>
      <c r="J47" s="42"/>
      <c r="K47" s="41"/>
      <c r="L47" s="42"/>
      <c r="M47" s="69"/>
      <c r="N47" s="41"/>
    </row>
    <row r="48" spans="1:14" x14ac:dyDescent="0.2">
      <c r="A48" s="41"/>
      <c r="B48" s="42"/>
      <c r="C48" s="41"/>
      <c r="D48" s="41"/>
      <c r="E48" s="42"/>
      <c r="F48" s="42"/>
      <c r="G48" s="41"/>
      <c r="H48" s="41"/>
      <c r="I48" s="41"/>
      <c r="J48" s="42"/>
      <c r="K48" s="41"/>
      <c r="L48" s="42"/>
      <c r="M48" s="69"/>
      <c r="N48" s="41"/>
    </row>
    <row r="49" spans="1:14" x14ac:dyDescent="0.2">
      <c r="A49" s="41"/>
      <c r="B49" s="42"/>
      <c r="C49" s="41"/>
      <c r="D49" s="41"/>
      <c r="E49" s="42"/>
      <c r="F49" s="42"/>
      <c r="G49" s="41"/>
      <c r="H49" s="41"/>
      <c r="I49" s="41"/>
      <c r="J49" s="42"/>
      <c r="K49" s="41"/>
      <c r="L49" s="42"/>
      <c r="M49" s="69"/>
      <c r="N49" s="41"/>
    </row>
    <row r="50" spans="1:14" x14ac:dyDescent="0.2">
      <c r="A50" s="41"/>
      <c r="B50" s="42"/>
      <c r="C50" s="41"/>
      <c r="D50" s="41"/>
      <c r="E50" s="42"/>
      <c r="F50" s="42"/>
      <c r="G50" s="41"/>
      <c r="H50" s="41"/>
      <c r="I50" s="41"/>
      <c r="J50" s="42"/>
      <c r="K50" s="41"/>
      <c r="L50" s="42"/>
      <c r="M50" s="69"/>
      <c r="N50" s="41"/>
    </row>
    <row r="51" spans="1:14" x14ac:dyDescent="0.2">
      <c r="A51" s="41"/>
      <c r="B51" s="42"/>
      <c r="C51" s="41"/>
      <c r="D51" s="41"/>
      <c r="E51" s="42"/>
      <c r="F51" s="42"/>
      <c r="G51" s="41"/>
      <c r="H51" s="41"/>
      <c r="I51" s="41"/>
      <c r="J51" s="42"/>
      <c r="K51" s="41"/>
      <c r="L51" s="42"/>
      <c r="M51" s="43"/>
      <c r="N51" s="41"/>
    </row>
    <row r="52" spans="1:14" x14ac:dyDescent="0.2">
      <c r="A52" s="41"/>
      <c r="B52" s="42"/>
      <c r="C52" s="41"/>
      <c r="D52" s="41"/>
      <c r="E52" s="42"/>
      <c r="F52" s="42"/>
      <c r="G52" s="41"/>
      <c r="H52" s="41"/>
      <c r="I52" s="41"/>
      <c r="J52" s="42"/>
      <c r="K52" s="41"/>
      <c r="L52" s="42"/>
      <c r="M52" s="69"/>
      <c r="N52" s="41"/>
    </row>
    <row r="53" spans="1:14" x14ac:dyDescent="0.2">
      <c r="A53" s="41"/>
      <c r="B53" s="42"/>
      <c r="C53" s="41"/>
      <c r="D53" s="41"/>
      <c r="E53" s="42"/>
      <c r="F53" s="42"/>
      <c r="G53" s="41"/>
      <c r="H53" s="41"/>
      <c r="I53" s="41"/>
      <c r="J53" s="42"/>
      <c r="K53" s="41"/>
      <c r="L53" s="42"/>
      <c r="M53" s="69"/>
      <c r="N53" s="41"/>
    </row>
    <row r="54" spans="1:14" x14ac:dyDescent="0.2">
      <c r="A54" s="41"/>
      <c r="B54" s="42"/>
      <c r="C54" s="41"/>
      <c r="D54" s="41"/>
      <c r="E54" s="42"/>
      <c r="F54" s="42"/>
      <c r="G54" s="41"/>
      <c r="H54" s="41"/>
      <c r="I54" s="41"/>
      <c r="J54" s="42"/>
      <c r="K54" s="41"/>
      <c r="L54" s="42"/>
      <c r="M54" s="69"/>
      <c r="N54" s="41"/>
    </row>
    <row r="55" spans="1:14" x14ac:dyDescent="0.2">
      <c r="A55" s="41"/>
      <c r="B55" s="42"/>
      <c r="C55" s="41"/>
      <c r="D55" s="41"/>
      <c r="E55" s="42"/>
      <c r="F55" s="42"/>
      <c r="G55" s="41"/>
      <c r="H55" s="41"/>
      <c r="I55" s="41"/>
      <c r="J55" s="42"/>
      <c r="K55" s="41"/>
      <c r="L55" s="42"/>
      <c r="M55" s="69"/>
      <c r="N55" s="41"/>
    </row>
    <row r="56" spans="1:14" x14ac:dyDescent="0.2">
      <c r="A56" s="41"/>
      <c r="B56" s="42"/>
      <c r="C56" s="41"/>
      <c r="D56" s="41"/>
      <c r="E56" s="42"/>
      <c r="F56" s="42"/>
      <c r="G56" s="41"/>
      <c r="H56" s="41"/>
      <c r="I56" s="41"/>
      <c r="J56" s="42"/>
      <c r="K56" s="41"/>
      <c r="L56" s="42"/>
      <c r="M56" s="43"/>
      <c r="N56" s="41"/>
    </row>
    <row r="57" spans="1:14" x14ac:dyDescent="0.2">
      <c r="A57" s="41"/>
      <c r="B57" s="42"/>
      <c r="C57" s="41"/>
      <c r="D57" s="41"/>
      <c r="E57" s="42"/>
      <c r="F57" s="42"/>
      <c r="G57" s="41"/>
      <c r="H57" s="41"/>
      <c r="I57" s="41"/>
      <c r="J57" s="42"/>
      <c r="K57" s="41"/>
      <c r="L57" s="42"/>
      <c r="M57" s="69"/>
      <c r="N57" s="41"/>
    </row>
    <row r="58" spans="1:14" x14ac:dyDescent="0.2">
      <c r="A58" s="41"/>
      <c r="B58" s="42"/>
      <c r="C58" s="41"/>
      <c r="D58" s="41"/>
      <c r="E58" s="42"/>
      <c r="F58" s="42"/>
      <c r="G58" s="41"/>
      <c r="H58" s="41"/>
      <c r="I58" s="41"/>
      <c r="J58" s="42"/>
      <c r="K58" s="41"/>
      <c r="L58" s="42"/>
      <c r="M58" s="69"/>
      <c r="N58" s="41"/>
    </row>
    <row r="59" spans="1:14" x14ac:dyDescent="0.2">
      <c r="A59" s="41"/>
      <c r="B59" s="42"/>
      <c r="C59" s="41"/>
      <c r="D59" s="41"/>
      <c r="E59" s="42"/>
      <c r="F59" s="42"/>
      <c r="G59" s="41"/>
      <c r="H59" s="41"/>
      <c r="I59" s="41"/>
      <c r="J59" s="42"/>
      <c r="K59" s="41"/>
      <c r="L59" s="42"/>
      <c r="M59" s="69"/>
      <c r="N59" s="41"/>
    </row>
    <row r="60" spans="1:14" x14ac:dyDescent="0.2">
      <c r="A60" s="41"/>
      <c r="B60" s="42"/>
      <c r="C60" s="41"/>
      <c r="D60" s="41"/>
      <c r="E60" s="42"/>
      <c r="F60" s="42"/>
      <c r="G60" s="41"/>
      <c r="H60" s="41"/>
      <c r="I60" s="41"/>
      <c r="J60" s="42"/>
      <c r="K60" s="41"/>
      <c r="L60" s="42"/>
      <c r="M60" s="69"/>
      <c r="N60" s="41"/>
    </row>
    <row r="61" spans="1:14" x14ac:dyDescent="0.2">
      <c r="A61" s="41"/>
      <c r="B61" s="42"/>
      <c r="C61" s="41"/>
      <c r="D61" s="41"/>
      <c r="E61" s="42"/>
      <c r="F61" s="42"/>
      <c r="G61" s="41"/>
      <c r="H61" s="41"/>
      <c r="I61" s="41"/>
      <c r="J61" s="42"/>
      <c r="K61" s="41"/>
      <c r="L61" s="42"/>
      <c r="M61" s="43"/>
      <c r="N61" s="41"/>
    </row>
    <row r="62" spans="1:14" x14ac:dyDescent="0.2">
      <c r="A62" s="41"/>
      <c r="B62" s="42"/>
      <c r="C62" s="41"/>
      <c r="D62" s="41"/>
      <c r="E62" s="42"/>
      <c r="F62" s="42"/>
      <c r="G62" s="41"/>
      <c r="H62" s="41"/>
      <c r="I62" s="41"/>
      <c r="J62" s="42"/>
      <c r="K62" s="41"/>
      <c r="L62" s="42"/>
      <c r="M62" s="69"/>
      <c r="N62" s="41"/>
    </row>
    <row r="63" spans="1:14" x14ac:dyDescent="0.2">
      <c r="A63" s="41"/>
      <c r="B63" s="42"/>
      <c r="C63" s="41"/>
      <c r="D63" s="41"/>
      <c r="E63" s="42"/>
      <c r="F63" s="42"/>
      <c r="G63" s="41"/>
      <c r="H63" s="41"/>
      <c r="I63" s="41"/>
      <c r="J63" s="42"/>
      <c r="K63" s="41"/>
      <c r="L63" s="42"/>
      <c r="M63" s="69"/>
      <c r="N63" s="41"/>
    </row>
    <row r="64" spans="1:14" x14ac:dyDescent="0.2">
      <c r="A64" s="41"/>
      <c r="B64" s="42"/>
      <c r="C64" s="41"/>
      <c r="D64" s="41"/>
      <c r="E64" s="42"/>
      <c r="F64" s="42"/>
      <c r="G64" s="41"/>
      <c r="H64" s="41"/>
      <c r="I64" s="41"/>
      <c r="J64" s="42"/>
      <c r="K64" s="41"/>
      <c r="L64" s="42"/>
      <c r="M64" s="69"/>
      <c r="N64" s="41"/>
    </row>
    <row r="65" spans="1:14" x14ac:dyDescent="0.2">
      <c r="A65" s="41"/>
      <c r="B65" s="42"/>
      <c r="C65" s="41"/>
      <c r="D65" s="41"/>
      <c r="E65" s="42"/>
      <c r="F65" s="42"/>
      <c r="G65" s="41"/>
      <c r="H65" s="41"/>
      <c r="I65" s="41"/>
      <c r="J65" s="42"/>
      <c r="K65" s="41"/>
      <c r="L65" s="42"/>
      <c r="M65" s="69"/>
      <c r="N65" s="41"/>
    </row>
    <row r="66" spans="1:14" x14ac:dyDescent="0.2">
      <c r="A66" s="41"/>
      <c r="B66" s="42"/>
      <c r="C66" s="41"/>
      <c r="D66" s="41"/>
      <c r="E66" s="42"/>
      <c r="F66" s="42"/>
      <c r="G66" s="41"/>
      <c r="H66" s="41"/>
      <c r="I66" s="41"/>
      <c r="J66" s="42"/>
      <c r="K66" s="41"/>
      <c r="L66" s="42"/>
      <c r="M66" s="43"/>
      <c r="N66" s="41"/>
    </row>
    <row r="67" spans="1:14" x14ac:dyDescent="0.2">
      <c r="A67" s="41"/>
      <c r="B67" s="42"/>
      <c r="C67" s="41"/>
      <c r="D67" s="41"/>
      <c r="E67" s="42"/>
      <c r="F67" s="42"/>
      <c r="G67" s="41"/>
      <c r="H67" s="41"/>
      <c r="I67" s="41"/>
      <c r="J67" s="42"/>
      <c r="K67" s="41"/>
      <c r="L67" s="42"/>
      <c r="M67" s="69"/>
      <c r="N67" s="41"/>
    </row>
    <row r="68" spans="1:14" x14ac:dyDescent="0.2">
      <c r="A68" s="41"/>
      <c r="B68" s="42"/>
      <c r="C68" s="41"/>
      <c r="D68" s="41"/>
      <c r="E68" s="42"/>
      <c r="F68" s="42"/>
      <c r="G68" s="41"/>
      <c r="H68" s="41"/>
      <c r="I68" s="41"/>
      <c r="J68" s="42"/>
      <c r="K68" s="41"/>
      <c r="L68" s="42"/>
      <c r="M68" s="69"/>
      <c r="N68" s="41"/>
    </row>
    <row r="69" spans="1:14" x14ac:dyDescent="0.2">
      <c r="A69" s="41"/>
      <c r="B69" s="42"/>
      <c r="C69" s="41"/>
      <c r="D69" s="41"/>
      <c r="E69" s="42"/>
      <c r="F69" s="42"/>
      <c r="G69" s="41"/>
      <c r="H69" s="41"/>
      <c r="I69" s="41"/>
      <c r="J69" s="42"/>
      <c r="K69" s="41"/>
      <c r="L69" s="42"/>
      <c r="M69" s="69"/>
      <c r="N69" s="41"/>
    </row>
    <row r="70" spans="1:14" x14ac:dyDescent="0.2">
      <c r="A70" s="41"/>
      <c r="B70" s="42"/>
      <c r="C70" s="41"/>
      <c r="D70" s="41"/>
      <c r="E70" s="42"/>
      <c r="F70" s="42"/>
      <c r="G70" s="41"/>
      <c r="H70" s="41"/>
      <c r="I70" s="41"/>
      <c r="J70" s="42"/>
      <c r="K70" s="41"/>
      <c r="L70" s="42"/>
      <c r="M70" s="69"/>
      <c r="N70" s="41"/>
    </row>
    <row r="71" spans="1:14" x14ac:dyDescent="0.2">
      <c r="A71" s="41"/>
      <c r="B71" s="42"/>
      <c r="C71" s="41"/>
      <c r="D71" s="41"/>
      <c r="E71" s="42"/>
      <c r="F71" s="42"/>
      <c r="G71" s="41"/>
      <c r="H71" s="41"/>
      <c r="I71" s="41"/>
      <c r="J71" s="42"/>
      <c r="K71" s="41"/>
      <c r="L71" s="42"/>
      <c r="M71" s="43"/>
      <c r="N71" s="41"/>
    </row>
    <row r="72" spans="1:14" x14ac:dyDescent="0.2">
      <c r="A72" s="41"/>
      <c r="B72" s="42"/>
      <c r="C72" s="41"/>
      <c r="D72" s="41"/>
      <c r="E72" s="42"/>
      <c r="F72" s="42"/>
      <c r="G72" s="41"/>
      <c r="H72" s="41"/>
      <c r="I72" s="41"/>
      <c r="J72" s="42"/>
      <c r="K72" s="41"/>
      <c r="L72" s="42"/>
      <c r="M72" s="69"/>
      <c r="N72" s="41"/>
    </row>
    <row r="73" spans="1:14" x14ac:dyDescent="0.2">
      <c r="A73" s="41"/>
      <c r="B73" s="42"/>
      <c r="C73" s="41"/>
      <c r="D73" s="41"/>
      <c r="E73" s="42"/>
      <c r="F73" s="42"/>
      <c r="G73" s="41"/>
      <c r="H73" s="41"/>
      <c r="I73" s="41"/>
      <c r="J73" s="42"/>
      <c r="K73" s="41"/>
      <c r="L73" s="42"/>
      <c r="M73" s="69"/>
      <c r="N73" s="41"/>
    </row>
    <row r="74" spans="1:14" x14ac:dyDescent="0.2">
      <c r="A74" s="41"/>
      <c r="B74" s="42"/>
      <c r="C74" s="41"/>
      <c r="D74" s="41"/>
      <c r="E74" s="42"/>
      <c r="F74" s="42"/>
      <c r="G74" s="41"/>
      <c r="H74" s="41"/>
      <c r="I74" s="41"/>
      <c r="J74" s="42"/>
      <c r="K74" s="41"/>
      <c r="L74" s="42"/>
      <c r="M74" s="69"/>
      <c r="N74" s="41"/>
    </row>
    <row r="75" spans="1:14" x14ac:dyDescent="0.2">
      <c r="A75" s="41"/>
      <c r="B75" s="42"/>
      <c r="C75" s="41"/>
      <c r="D75" s="41"/>
      <c r="E75" s="42"/>
      <c r="F75" s="42"/>
      <c r="G75" s="41"/>
      <c r="H75" s="41"/>
      <c r="I75" s="41"/>
      <c r="J75" s="42"/>
      <c r="K75" s="41"/>
      <c r="L75" s="42"/>
      <c r="M75" s="69"/>
      <c r="N75" s="41"/>
    </row>
    <row r="76" spans="1:14" x14ac:dyDescent="0.2">
      <c r="A76" s="41"/>
      <c r="B76" s="42"/>
      <c r="C76" s="41"/>
      <c r="D76" s="41"/>
      <c r="E76" s="42"/>
      <c r="F76" s="42"/>
      <c r="G76" s="41"/>
      <c r="H76" s="41"/>
      <c r="I76" s="41"/>
      <c r="J76" s="42"/>
      <c r="K76" s="41"/>
      <c r="L76" s="42"/>
      <c r="M76" s="43"/>
      <c r="N76" s="41"/>
    </row>
    <row r="77" spans="1:14" x14ac:dyDescent="0.2">
      <c r="A77" s="41"/>
      <c r="B77" s="42"/>
      <c r="C77" s="41"/>
      <c r="D77" s="41"/>
      <c r="E77" s="42"/>
      <c r="F77" s="42"/>
      <c r="G77" s="41"/>
      <c r="H77" s="41"/>
      <c r="I77" s="41"/>
      <c r="J77" s="42"/>
      <c r="K77" s="41"/>
      <c r="L77" s="42"/>
      <c r="M77" s="69"/>
      <c r="N77" s="41"/>
    </row>
    <row r="78" spans="1:14" x14ac:dyDescent="0.2">
      <c r="A78" s="41"/>
      <c r="B78" s="42"/>
      <c r="C78" s="41"/>
      <c r="D78" s="41"/>
      <c r="E78" s="42"/>
      <c r="F78" s="42"/>
      <c r="G78" s="41"/>
      <c r="H78" s="41"/>
      <c r="I78" s="41"/>
      <c r="J78" s="42"/>
      <c r="K78" s="41"/>
      <c r="L78" s="42"/>
      <c r="M78" s="69"/>
      <c r="N78" s="41"/>
    </row>
    <row r="79" spans="1:14" x14ac:dyDescent="0.2">
      <c r="A79" s="41"/>
      <c r="B79" s="42"/>
      <c r="C79" s="41"/>
      <c r="D79" s="41"/>
      <c r="E79" s="42"/>
      <c r="F79" s="42"/>
      <c r="G79" s="41"/>
      <c r="H79" s="41"/>
      <c r="I79" s="41"/>
      <c r="J79" s="42"/>
      <c r="K79" s="41"/>
      <c r="L79" s="42"/>
      <c r="M79" s="69"/>
      <c r="N79" s="41"/>
    </row>
    <row r="80" spans="1:14" x14ac:dyDescent="0.2">
      <c r="A80" s="41"/>
      <c r="B80" s="42"/>
      <c r="C80" s="41"/>
      <c r="D80" s="41"/>
      <c r="E80" s="42"/>
      <c r="F80" s="42"/>
      <c r="G80" s="41"/>
      <c r="H80" s="41"/>
      <c r="I80" s="41"/>
      <c r="J80" s="42"/>
      <c r="K80" s="41"/>
      <c r="L80" s="42"/>
      <c r="M80" s="69"/>
      <c r="N80" s="41"/>
    </row>
    <row r="81" spans="1:14" x14ac:dyDescent="0.2">
      <c r="A81" s="41"/>
      <c r="B81" s="42"/>
      <c r="C81" s="41"/>
      <c r="D81" s="41"/>
      <c r="E81" s="42"/>
      <c r="F81" s="42"/>
      <c r="G81" s="41"/>
      <c r="H81" s="41"/>
      <c r="I81" s="41"/>
      <c r="J81" s="42"/>
      <c r="K81" s="41"/>
      <c r="L81" s="42"/>
      <c r="M81" s="43"/>
      <c r="N81" s="41"/>
    </row>
    <row r="82" spans="1:14" x14ac:dyDescent="0.2">
      <c r="A82" s="41"/>
      <c r="B82" s="42"/>
      <c r="C82" s="41"/>
      <c r="D82" s="41"/>
      <c r="E82" s="42"/>
      <c r="F82" s="42"/>
      <c r="G82" s="41"/>
      <c r="H82" s="41"/>
      <c r="I82" s="41"/>
      <c r="J82" s="42"/>
      <c r="K82" s="41"/>
      <c r="L82" s="42"/>
      <c r="M82" s="69"/>
      <c r="N82" s="41"/>
    </row>
    <row r="83" spans="1:14" x14ac:dyDescent="0.2">
      <c r="A83" s="41"/>
      <c r="B83" s="42"/>
      <c r="C83" s="41"/>
      <c r="D83" s="41"/>
      <c r="E83" s="42"/>
      <c r="F83" s="42"/>
      <c r="G83" s="41"/>
      <c r="H83" s="41"/>
      <c r="I83" s="41"/>
      <c r="J83" s="42"/>
      <c r="K83" s="41"/>
      <c r="L83" s="42"/>
      <c r="M83" s="69"/>
      <c r="N83" s="41"/>
    </row>
    <row r="84" spans="1:14" x14ac:dyDescent="0.2">
      <c r="A84" s="41"/>
      <c r="B84" s="42"/>
      <c r="C84" s="41"/>
      <c r="D84" s="41"/>
      <c r="E84" s="42"/>
      <c r="F84" s="42"/>
      <c r="G84" s="41"/>
      <c r="H84" s="41"/>
      <c r="I84" s="41"/>
      <c r="J84" s="42"/>
      <c r="K84" s="41"/>
      <c r="L84" s="42"/>
      <c r="M84" s="69"/>
      <c r="N84" s="41"/>
    </row>
    <row r="85" spans="1:14" x14ac:dyDescent="0.2">
      <c r="A85" s="41"/>
      <c r="B85" s="42"/>
      <c r="C85" s="41"/>
      <c r="D85" s="41"/>
      <c r="E85" s="42"/>
      <c r="F85" s="42"/>
      <c r="G85" s="41"/>
      <c r="H85" s="41"/>
      <c r="I85" s="41"/>
      <c r="J85" s="42"/>
      <c r="K85" s="41"/>
      <c r="L85" s="42"/>
      <c r="M85" s="69"/>
      <c r="N85" s="41"/>
    </row>
    <row r="86" spans="1:14" x14ac:dyDescent="0.2">
      <c r="A86" s="41"/>
      <c r="B86" s="42"/>
      <c r="C86" s="41"/>
      <c r="D86" s="41"/>
      <c r="E86" s="42"/>
      <c r="F86" s="42"/>
      <c r="G86" s="41"/>
      <c r="H86" s="41"/>
      <c r="I86" s="41"/>
      <c r="J86" s="42"/>
      <c r="K86" s="41"/>
      <c r="L86" s="42"/>
      <c r="M86" s="43"/>
      <c r="N86" s="41"/>
    </row>
    <row r="87" spans="1:14" x14ac:dyDescent="0.2">
      <c r="A87" s="41"/>
      <c r="B87" s="42"/>
      <c r="C87" s="41"/>
      <c r="D87" s="41"/>
      <c r="E87" s="42"/>
      <c r="F87" s="42"/>
      <c r="G87" s="41"/>
      <c r="H87" s="41"/>
      <c r="I87" s="41"/>
      <c r="J87" s="42"/>
      <c r="K87" s="41"/>
      <c r="L87" s="42"/>
      <c r="M87" s="69"/>
      <c r="N87" s="41"/>
    </row>
    <row r="88" spans="1:14" x14ac:dyDescent="0.2">
      <c r="A88" s="41"/>
      <c r="B88" s="42"/>
      <c r="C88" s="41"/>
      <c r="D88" s="41"/>
      <c r="E88" s="42"/>
      <c r="F88" s="42"/>
      <c r="G88" s="41"/>
      <c r="H88" s="41"/>
      <c r="I88" s="41"/>
      <c r="J88" s="42"/>
      <c r="K88" s="41"/>
      <c r="L88" s="42"/>
      <c r="M88" s="69"/>
      <c r="N88" s="41"/>
    </row>
    <row r="89" spans="1:14" x14ac:dyDescent="0.2">
      <c r="A89" s="41"/>
      <c r="B89" s="42"/>
      <c r="C89" s="41"/>
      <c r="D89" s="41"/>
      <c r="E89" s="42"/>
      <c r="F89" s="42"/>
      <c r="G89" s="41"/>
      <c r="H89" s="41"/>
      <c r="I89" s="41"/>
      <c r="J89" s="42"/>
      <c r="K89" s="41"/>
      <c r="L89" s="42"/>
      <c r="M89" s="69"/>
      <c r="N89" s="41"/>
    </row>
    <row r="90" spans="1:14" x14ac:dyDescent="0.2">
      <c r="A90" s="41"/>
      <c r="B90" s="42"/>
      <c r="C90" s="41"/>
      <c r="D90" s="41"/>
      <c r="E90" s="42"/>
      <c r="F90" s="42"/>
      <c r="G90" s="41"/>
      <c r="H90" s="41"/>
      <c r="I90" s="41"/>
      <c r="J90" s="42"/>
      <c r="K90" s="41"/>
      <c r="L90" s="42"/>
      <c r="M90" s="69"/>
      <c r="N90" s="41"/>
    </row>
    <row r="91" spans="1:14" x14ac:dyDescent="0.2">
      <c r="A91" s="41"/>
      <c r="B91" s="42"/>
      <c r="C91" s="41"/>
      <c r="D91" s="41"/>
      <c r="E91" s="42"/>
      <c r="F91" s="42"/>
      <c r="G91" s="41"/>
      <c r="H91" s="41"/>
      <c r="I91" s="41"/>
      <c r="J91" s="42"/>
      <c r="K91" s="41"/>
      <c r="L91" s="42"/>
      <c r="M91" s="43"/>
      <c r="N91" s="41"/>
    </row>
    <row r="92" spans="1:14" x14ac:dyDescent="0.2">
      <c r="A92" s="41"/>
      <c r="B92" s="42"/>
      <c r="C92" s="41"/>
      <c r="D92" s="41"/>
      <c r="E92" s="42"/>
      <c r="F92" s="42"/>
      <c r="G92" s="41"/>
      <c r="H92" s="41"/>
      <c r="I92" s="41"/>
      <c r="J92" s="42"/>
      <c r="K92" s="41"/>
      <c r="L92" s="42"/>
      <c r="M92" s="69"/>
      <c r="N92" s="41"/>
    </row>
    <row r="93" spans="1:14" x14ac:dyDescent="0.2">
      <c r="A93" s="41"/>
      <c r="B93" s="42"/>
      <c r="C93" s="41"/>
      <c r="D93" s="41"/>
      <c r="E93" s="42"/>
      <c r="F93" s="42"/>
      <c r="G93" s="41"/>
      <c r="H93" s="41"/>
      <c r="I93" s="41"/>
      <c r="J93" s="42"/>
      <c r="K93" s="41"/>
      <c r="L93" s="42"/>
      <c r="M93" s="69"/>
      <c r="N93" s="41"/>
    </row>
    <row r="94" spans="1:14" x14ac:dyDescent="0.2">
      <c r="A94" s="41"/>
      <c r="B94" s="42"/>
      <c r="C94" s="41"/>
      <c r="D94" s="41"/>
      <c r="E94" s="42"/>
      <c r="F94" s="42"/>
      <c r="G94" s="41"/>
      <c r="H94" s="41"/>
      <c r="I94" s="41"/>
      <c r="J94" s="42"/>
      <c r="K94" s="41"/>
      <c r="L94" s="42"/>
      <c r="M94" s="69"/>
      <c r="N94" s="41"/>
    </row>
    <row r="95" spans="1:14" x14ac:dyDescent="0.2">
      <c r="A95" s="41"/>
      <c r="B95" s="42"/>
      <c r="C95" s="41"/>
      <c r="D95" s="41"/>
      <c r="E95" s="42"/>
      <c r="F95" s="42"/>
      <c r="G95" s="41"/>
      <c r="H95" s="41"/>
      <c r="I95" s="41"/>
      <c r="J95" s="42"/>
      <c r="K95" s="41"/>
      <c r="L95" s="42"/>
      <c r="M95" s="69"/>
      <c r="N95" s="41"/>
    </row>
    <row r="96" spans="1:14" x14ac:dyDescent="0.2">
      <c r="A96" s="41"/>
      <c r="B96" s="42"/>
      <c r="C96" s="41"/>
      <c r="D96" s="41"/>
      <c r="E96" s="42"/>
      <c r="F96" s="42"/>
      <c r="G96" s="41"/>
      <c r="H96" s="41"/>
      <c r="I96" s="41"/>
      <c r="J96" s="42"/>
      <c r="K96" s="41"/>
      <c r="L96" s="42"/>
      <c r="M96" s="43"/>
      <c r="N96" s="41"/>
    </row>
    <row r="97" spans="1:14" x14ac:dyDescent="0.2">
      <c r="A97" s="41"/>
      <c r="B97" s="42"/>
      <c r="C97" s="41"/>
      <c r="D97" s="41"/>
      <c r="E97" s="42"/>
      <c r="F97" s="42"/>
      <c r="G97" s="41"/>
      <c r="H97" s="41"/>
      <c r="I97" s="41"/>
      <c r="J97" s="42"/>
      <c r="K97" s="41"/>
      <c r="L97" s="42"/>
      <c r="M97" s="69"/>
      <c r="N97" s="41"/>
    </row>
    <row r="98" spans="1:14" x14ac:dyDescent="0.2">
      <c r="A98" s="41"/>
      <c r="B98" s="42"/>
      <c r="C98" s="41"/>
      <c r="D98" s="41"/>
      <c r="E98" s="42"/>
      <c r="F98" s="42"/>
      <c r="G98" s="41"/>
      <c r="H98" s="41"/>
      <c r="I98" s="41"/>
      <c r="J98" s="42"/>
      <c r="K98" s="41"/>
      <c r="L98" s="42"/>
      <c r="M98" s="69"/>
      <c r="N98" s="41"/>
    </row>
    <row r="99" spans="1:14" x14ac:dyDescent="0.2">
      <c r="A99" s="41"/>
      <c r="B99" s="42"/>
      <c r="C99" s="41"/>
      <c r="D99" s="41"/>
      <c r="E99" s="42"/>
      <c r="F99" s="42"/>
      <c r="G99" s="41"/>
      <c r="H99" s="41"/>
      <c r="I99" s="41"/>
      <c r="J99" s="42"/>
      <c r="K99" s="41"/>
      <c r="L99" s="42"/>
      <c r="M99" s="69"/>
      <c r="N99" s="41"/>
    </row>
    <row r="100" spans="1:14" x14ac:dyDescent="0.2">
      <c r="A100" s="41"/>
      <c r="B100" s="42"/>
      <c r="C100" s="41"/>
      <c r="D100" s="41"/>
      <c r="E100" s="42"/>
      <c r="F100" s="42"/>
      <c r="G100" s="41"/>
      <c r="H100" s="41"/>
      <c r="I100" s="41"/>
      <c r="J100" s="42"/>
      <c r="K100" s="41"/>
      <c r="L100" s="42"/>
      <c r="M100" s="69"/>
      <c r="N100" s="4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S1117"/>
  <sheetViews>
    <sheetView workbookViewId="0"/>
  </sheetViews>
  <sheetFormatPr baseColWidth="10" defaultRowHeight="14.25" x14ac:dyDescent="0.2"/>
  <cols>
    <col min="1" max="1" width="11" customWidth="1"/>
    <col min="2" max="2" width="16.75" customWidth="1"/>
    <col min="3" max="3" width="11" style="15"/>
    <col min="5" max="5" width="14.75" customWidth="1"/>
    <col min="6" max="6" width="15" customWidth="1"/>
    <col min="7" max="7" width="11" style="15"/>
    <col min="10" max="10" width="15" customWidth="1"/>
    <col min="11" max="11" width="11" style="15"/>
    <col min="13" max="13" width="22.5" customWidth="1"/>
    <col min="14" max="14" width="15" customWidth="1"/>
    <col min="15" max="15" width="11" style="15"/>
    <col min="18" max="18" width="15" customWidth="1"/>
    <col min="19" max="19" width="11" style="15"/>
    <col min="22" max="22" width="15" customWidth="1"/>
    <col min="23" max="23" width="11" style="15"/>
    <col min="26" max="26" width="15" customWidth="1"/>
    <col min="27" max="27" width="11" style="15"/>
    <col min="30" max="30" width="15" customWidth="1"/>
    <col min="31" max="31" width="11" style="15"/>
    <col min="33" max="33" width="15" customWidth="1"/>
    <col min="34" max="34" width="14.625" style="65" customWidth="1"/>
    <col min="35" max="35" width="11" style="15"/>
    <col min="37" max="37" width="15" customWidth="1"/>
    <col min="39" max="39" width="11" style="15"/>
    <col min="41" max="41" width="15" customWidth="1"/>
    <col min="43" max="43" width="11" style="15"/>
    <col min="44" max="44" width="15" customWidth="1"/>
    <col min="45" max="45" width="14.625" customWidth="1"/>
  </cols>
  <sheetData>
    <row r="1" spans="1:45" x14ac:dyDescent="0.2">
      <c r="A1" s="39"/>
      <c r="B1" s="131" t="s">
        <v>89</v>
      </c>
      <c r="C1" s="66" t="s">
        <v>36</v>
      </c>
      <c r="D1" s="39"/>
      <c r="E1" s="39"/>
      <c r="F1" s="132" t="s">
        <v>89</v>
      </c>
      <c r="G1" s="68" t="s">
        <v>36</v>
      </c>
      <c r="H1" s="39"/>
      <c r="I1" s="38"/>
      <c r="J1" s="131" t="s">
        <v>89</v>
      </c>
      <c r="K1" s="68" t="s">
        <v>36</v>
      </c>
      <c r="L1" s="38"/>
      <c r="M1" s="39"/>
      <c r="N1" s="131" t="s">
        <v>89</v>
      </c>
      <c r="O1" s="66" t="s">
        <v>36</v>
      </c>
      <c r="P1" s="39"/>
      <c r="Q1" s="39"/>
      <c r="R1" s="132" t="s">
        <v>89</v>
      </c>
      <c r="S1" s="66" t="s">
        <v>36</v>
      </c>
      <c r="T1" s="38"/>
      <c r="U1" s="38"/>
      <c r="V1" s="131" t="s">
        <v>89</v>
      </c>
      <c r="W1" s="68" t="s">
        <v>36</v>
      </c>
      <c r="X1" s="38"/>
      <c r="Y1" s="39"/>
      <c r="Z1" s="131" t="s">
        <v>89</v>
      </c>
      <c r="AA1" s="68" t="s">
        <v>36</v>
      </c>
      <c r="AB1" s="38"/>
      <c r="AC1" s="39"/>
      <c r="AD1" s="132" t="s">
        <v>89</v>
      </c>
      <c r="AE1" s="66" t="s">
        <v>36</v>
      </c>
      <c r="AF1" s="39"/>
      <c r="AG1" s="39"/>
      <c r="AH1" s="131" t="s">
        <v>89</v>
      </c>
      <c r="AI1" s="66" t="s">
        <v>36</v>
      </c>
      <c r="AJ1" s="39"/>
      <c r="AK1" s="38"/>
      <c r="AL1" s="132" t="s">
        <v>89</v>
      </c>
      <c r="AM1" s="66" t="s">
        <v>36</v>
      </c>
      <c r="AN1" s="39"/>
      <c r="AO1" s="39"/>
      <c r="AP1" s="131"/>
      <c r="AQ1" s="66"/>
      <c r="AR1" s="39"/>
      <c r="AS1" s="39"/>
    </row>
    <row r="2" spans="1:45" x14ac:dyDescent="0.2">
      <c r="A2" s="42" t="s">
        <v>137</v>
      </c>
      <c r="B2" s="133">
        <v>15299987591</v>
      </c>
      <c r="C2" s="67">
        <v>0.76109286231333328</v>
      </c>
      <c r="D2" s="42"/>
      <c r="E2" s="42" t="s">
        <v>138</v>
      </c>
      <c r="F2" s="134">
        <v>18142902770</v>
      </c>
      <c r="G2" s="69">
        <v>0.90251274504395151</v>
      </c>
      <c r="H2" s="42"/>
      <c r="I2" s="41" t="s">
        <v>139</v>
      </c>
      <c r="J2" s="133">
        <v>15299987591</v>
      </c>
      <c r="K2" s="69">
        <v>0.76109286231333328</v>
      </c>
      <c r="L2" s="41"/>
      <c r="M2" s="42" t="s">
        <v>141</v>
      </c>
      <c r="N2" s="133">
        <v>18142902770</v>
      </c>
      <c r="O2" s="67">
        <v>0.90251274504395151</v>
      </c>
      <c r="P2" s="42"/>
      <c r="Q2" s="42" t="s">
        <v>140</v>
      </c>
      <c r="R2" s="134">
        <v>17241077207</v>
      </c>
      <c r="S2" s="69">
        <v>0.85765172832948333</v>
      </c>
      <c r="T2" s="42"/>
      <c r="U2" s="41" t="s">
        <v>136</v>
      </c>
      <c r="V2" s="133">
        <v>18161565853</v>
      </c>
      <c r="W2" s="69">
        <v>0.90344113398384951</v>
      </c>
      <c r="X2" s="42"/>
      <c r="Y2" s="41" t="s">
        <v>145</v>
      </c>
      <c r="Z2" s="134">
        <v>7107223853</v>
      </c>
      <c r="AA2" s="69">
        <v>0.35354651846667423</v>
      </c>
      <c r="AB2" s="41"/>
      <c r="AC2" s="42" t="s">
        <v>129</v>
      </c>
      <c r="AD2" s="134">
        <v>20083992386</v>
      </c>
      <c r="AE2" s="67">
        <v>0.99907161106010145</v>
      </c>
      <c r="AF2" s="41"/>
      <c r="AG2" s="64" t="s">
        <v>135</v>
      </c>
      <c r="AH2" s="133">
        <v>20083992386</v>
      </c>
      <c r="AI2" s="67">
        <v>0.99907161106010145</v>
      </c>
      <c r="AJ2" s="42"/>
      <c r="AK2" s="64" t="s">
        <v>99</v>
      </c>
      <c r="AL2" s="134">
        <v>17241077207</v>
      </c>
      <c r="AM2" s="67">
        <v>0.85765172832948333</v>
      </c>
      <c r="AN2" s="42"/>
      <c r="AO2" s="42"/>
      <c r="AP2" s="133"/>
      <c r="AQ2" s="67"/>
      <c r="AR2" s="42"/>
      <c r="AS2" s="42"/>
    </row>
    <row r="3" spans="1:45" x14ac:dyDescent="0.2">
      <c r="A3" s="42" t="s">
        <v>177</v>
      </c>
      <c r="B3" s="133">
        <v>2842915179</v>
      </c>
      <c r="C3" s="67">
        <v>0.14141988273061815</v>
      </c>
      <c r="D3" s="42"/>
      <c r="E3" s="42" t="s">
        <v>162</v>
      </c>
      <c r="F3" s="134">
        <v>1941089616</v>
      </c>
      <c r="G3" s="69">
        <v>9.6558866016150185E-2</v>
      </c>
      <c r="H3" s="42"/>
      <c r="I3" s="41" t="s">
        <v>178</v>
      </c>
      <c r="J3" s="133">
        <v>2861578262</v>
      </c>
      <c r="K3" s="69">
        <v>0.14234827167051617</v>
      </c>
      <c r="L3" s="41"/>
      <c r="M3" s="42" t="s">
        <v>164</v>
      </c>
      <c r="N3" s="133">
        <v>1941089616</v>
      </c>
      <c r="O3" s="67">
        <v>9.6558866016150185E-2</v>
      </c>
      <c r="P3" s="42"/>
      <c r="Q3" s="42" t="s">
        <v>179</v>
      </c>
      <c r="R3" s="134">
        <v>2842915179</v>
      </c>
      <c r="S3" s="69">
        <v>0.14141988273061815</v>
      </c>
      <c r="T3" s="42"/>
      <c r="U3" s="41" t="s">
        <v>160</v>
      </c>
      <c r="V3" s="133">
        <v>1941089616</v>
      </c>
      <c r="W3" s="69">
        <v>9.6558866016150185E-2</v>
      </c>
      <c r="X3" s="42"/>
      <c r="Y3" s="41" t="s">
        <v>209</v>
      </c>
      <c r="Z3" s="134">
        <v>6597541833</v>
      </c>
      <c r="AA3" s="69">
        <v>0.32819255362426958</v>
      </c>
      <c r="AB3" s="41"/>
      <c r="AC3" s="42" t="s">
        <v>440</v>
      </c>
      <c r="AD3" s="134">
        <v>18663083</v>
      </c>
      <c r="AE3" s="67">
        <v>9.2838893989801786E-4</v>
      </c>
      <c r="AF3" s="41"/>
      <c r="AG3" s="64" t="s">
        <v>385</v>
      </c>
      <c r="AH3" s="133">
        <v>18663083</v>
      </c>
      <c r="AI3" s="67">
        <v>9.2838893989801786E-4</v>
      </c>
      <c r="AJ3" s="42"/>
      <c r="AK3" s="64" t="s">
        <v>100</v>
      </c>
      <c r="AL3" s="134">
        <v>2861578262</v>
      </c>
      <c r="AM3" s="67">
        <v>0.14234827167051617</v>
      </c>
      <c r="AN3" s="42"/>
      <c r="AO3" s="42"/>
      <c r="AP3" s="133"/>
      <c r="AQ3" s="67"/>
      <c r="AR3" s="42"/>
      <c r="AS3" s="42"/>
    </row>
    <row r="4" spans="1:45" x14ac:dyDescent="0.2">
      <c r="A4" s="42" t="s">
        <v>161</v>
      </c>
      <c r="B4" s="133">
        <v>1941089616</v>
      </c>
      <c r="C4" s="67">
        <v>9.6558866016150185E-2</v>
      </c>
      <c r="D4" s="42"/>
      <c r="E4" s="42" t="s">
        <v>387</v>
      </c>
      <c r="F4" s="134">
        <v>18663083</v>
      </c>
      <c r="G4" s="69">
        <v>9.2838893989801786E-4</v>
      </c>
      <c r="H4" s="42"/>
      <c r="I4" s="41" t="s">
        <v>163</v>
      </c>
      <c r="J4" s="133">
        <v>1941089616</v>
      </c>
      <c r="K4" s="69">
        <v>9.6558866016150185E-2</v>
      </c>
      <c r="L4" s="41"/>
      <c r="M4" s="42" t="s">
        <v>444</v>
      </c>
      <c r="N4" s="133">
        <v>18663083</v>
      </c>
      <c r="O4" s="67">
        <v>9.2838893989801786E-4</v>
      </c>
      <c r="P4" s="42"/>
      <c r="Q4" s="42" t="s">
        <v>443</v>
      </c>
      <c r="R4" s="134">
        <v>18663083</v>
      </c>
      <c r="S4" s="69">
        <v>9.2838893989801786E-4</v>
      </c>
      <c r="T4" s="42"/>
      <c r="U4" s="41"/>
      <c r="V4" s="133"/>
      <c r="W4" s="69"/>
      <c r="X4" s="42"/>
      <c r="Y4" s="41" t="s">
        <v>156</v>
      </c>
      <c r="Z4" s="134">
        <v>3282321595</v>
      </c>
      <c r="AA4" s="69">
        <v>0.16327801071165046</v>
      </c>
      <c r="AB4" s="41"/>
      <c r="AC4" s="42"/>
      <c r="AD4" s="134"/>
      <c r="AE4" s="67"/>
      <c r="AF4" s="41"/>
      <c r="AG4" s="64"/>
      <c r="AH4" s="133"/>
      <c r="AI4" s="67"/>
      <c r="AJ4" s="42"/>
      <c r="AK4" s="64"/>
      <c r="AL4" s="134"/>
      <c r="AM4" s="67"/>
      <c r="AN4" s="42"/>
      <c r="AO4" s="42"/>
      <c r="AP4" s="133"/>
      <c r="AQ4" s="67"/>
      <c r="AR4" s="42"/>
      <c r="AS4" s="42"/>
    </row>
    <row r="5" spans="1:45" x14ac:dyDescent="0.2">
      <c r="A5" s="42" t="s">
        <v>386</v>
      </c>
      <c r="B5" s="133">
        <v>18663083</v>
      </c>
      <c r="C5" s="67">
        <v>9.2838893989801786E-4</v>
      </c>
      <c r="D5" s="42"/>
      <c r="E5" s="42"/>
      <c r="F5" s="134"/>
      <c r="G5" s="69"/>
      <c r="H5" s="42"/>
      <c r="I5" s="41"/>
      <c r="J5" s="133"/>
      <c r="K5" s="69"/>
      <c r="L5" s="41"/>
      <c r="M5" s="42"/>
      <c r="N5" s="133"/>
      <c r="O5" s="67"/>
      <c r="P5" s="42"/>
      <c r="Q5" s="42"/>
      <c r="R5" s="134"/>
      <c r="S5" s="69"/>
      <c r="T5" s="42"/>
      <c r="U5" s="41"/>
      <c r="V5" s="133"/>
      <c r="W5" s="69"/>
      <c r="X5" s="42"/>
      <c r="Y5" s="41" t="s">
        <v>128</v>
      </c>
      <c r="Z5" s="134">
        <v>3096905105</v>
      </c>
      <c r="AA5" s="69">
        <v>0.15405452825750762</v>
      </c>
      <c r="AB5" s="41"/>
      <c r="AC5" s="42"/>
      <c r="AD5" s="134"/>
      <c r="AE5" s="67"/>
      <c r="AF5" s="41"/>
      <c r="AG5" s="64"/>
      <c r="AH5" s="133"/>
      <c r="AI5" s="67"/>
      <c r="AJ5" s="42"/>
      <c r="AK5" s="64"/>
      <c r="AL5" s="134"/>
      <c r="AM5" s="67"/>
      <c r="AN5" s="42"/>
      <c r="AO5" s="42"/>
      <c r="AP5" s="133"/>
      <c r="AQ5" s="67"/>
      <c r="AR5" s="42"/>
      <c r="AS5" s="42"/>
    </row>
    <row r="6" spans="1:45" x14ac:dyDescent="0.2">
      <c r="A6" s="42"/>
      <c r="B6" s="133"/>
      <c r="C6" s="67"/>
      <c r="D6" s="42"/>
      <c r="E6" s="42"/>
      <c r="F6" s="134"/>
      <c r="G6" s="69"/>
      <c r="H6" s="42"/>
      <c r="I6" s="41"/>
      <c r="J6" s="133"/>
      <c r="K6" s="69"/>
      <c r="L6" s="41"/>
      <c r="M6" s="42"/>
      <c r="N6" s="133"/>
      <c r="O6" s="67"/>
      <c r="P6" s="42"/>
      <c r="Q6" s="42"/>
      <c r="R6" s="134"/>
      <c r="S6" s="69"/>
      <c r="T6" s="42"/>
      <c r="U6" s="41"/>
      <c r="V6" s="133"/>
      <c r="W6" s="69"/>
      <c r="X6" s="42"/>
      <c r="Y6" s="41" t="s">
        <v>439</v>
      </c>
      <c r="Z6" s="134">
        <v>18663083</v>
      </c>
      <c r="AA6" s="69">
        <v>9.2838893989801786E-4</v>
      </c>
      <c r="AB6" s="41"/>
      <c r="AC6" s="42"/>
      <c r="AD6" s="134"/>
      <c r="AE6" s="67"/>
      <c r="AF6" s="41"/>
      <c r="AG6" s="64"/>
      <c r="AH6" s="133"/>
      <c r="AI6" s="67"/>
      <c r="AJ6" s="42"/>
      <c r="AK6" s="41"/>
      <c r="AL6" s="134"/>
      <c r="AM6" s="67"/>
      <c r="AN6" s="42"/>
      <c r="AO6" s="42"/>
      <c r="AP6" s="133"/>
      <c r="AQ6" s="67"/>
      <c r="AR6" s="42"/>
      <c r="AS6" s="42"/>
    </row>
    <row r="7" spans="1:45" x14ac:dyDescent="0.2">
      <c r="A7" s="42"/>
      <c r="B7" s="133"/>
      <c r="C7" s="67"/>
      <c r="D7" s="42"/>
      <c r="E7" s="42"/>
      <c r="F7" s="134"/>
      <c r="G7" s="69"/>
      <c r="H7" s="42"/>
      <c r="I7" s="41"/>
      <c r="J7" s="133"/>
      <c r="K7" s="69"/>
      <c r="L7" s="41"/>
      <c r="M7" s="42"/>
      <c r="N7" s="133"/>
      <c r="O7" s="67"/>
      <c r="P7" s="42"/>
      <c r="Q7" s="42"/>
      <c r="R7" s="134"/>
      <c r="S7" s="69"/>
      <c r="T7" s="42"/>
      <c r="U7" s="41"/>
      <c r="V7" s="133"/>
      <c r="W7" s="69"/>
      <c r="X7" s="42"/>
      <c r="Y7" s="41"/>
      <c r="Z7" s="134"/>
      <c r="AA7" s="69"/>
      <c r="AB7" s="41"/>
      <c r="AC7" s="42"/>
      <c r="AD7" s="134"/>
      <c r="AE7" s="67"/>
      <c r="AF7" s="41"/>
      <c r="AG7" s="64"/>
      <c r="AH7" s="133"/>
      <c r="AI7" s="67"/>
      <c r="AJ7" s="42"/>
      <c r="AK7" s="41"/>
      <c r="AL7" s="134"/>
      <c r="AM7" s="67"/>
      <c r="AN7" s="42"/>
      <c r="AO7" s="42"/>
      <c r="AP7" s="133"/>
      <c r="AQ7" s="67"/>
      <c r="AR7" s="42"/>
      <c r="AS7" s="42"/>
    </row>
    <row r="8" spans="1:45" x14ac:dyDescent="0.2">
      <c r="A8" s="42"/>
      <c r="B8" s="133"/>
      <c r="C8" s="67"/>
      <c r="D8" s="42"/>
      <c r="E8" s="42"/>
      <c r="F8" s="134"/>
      <c r="G8" s="69"/>
      <c r="H8" s="42"/>
      <c r="I8" s="41"/>
      <c r="J8" s="133"/>
      <c r="K8" s="69"/>
      <c r="L8" s="41"/>
      <c r="M8" s="42"/>
      <c r="N8" s="133"/>
      <c r="O8" s="67"/>
      <c r="P8" s="42"/>
      <c r="Q8" s="42"/>
      <c r="R8" s="134"/>
      <c r="S8" s="69"/>
      <c r="T8" s="42"/>
      <c r="U8" s="41"/>
      <c r="V8" s="133"/>
      <c r="W8" s="69"/>
      <c r="X8" s="42"/>
      <c r="Y8" s="41"/>
      <c r="Z8" s="134"/>
      <c r="AA8" s="69"/>
      <c r="AB8" s="41"/>
      <c r="AC8" s="42"/>
      <c r="AD8" s="134"/>
      <c r="AE8" s="67"/>
      <c r="AF8" s="41"/>
      <c r="AG8" s="64"/>
      <c r="AH8" s="133"/>
      <c r="AI8" s="67"/>
      <c r="AJ8" s="42"/>
      <c r="AK8" s="41"/>
      <c r="AL8" s="134"/>
      <c r="AM8" s="67"/>
      <c r="AN8" s="42"/>
      <c r="AO8" s="42"/>
      <c r="AP8" s="133"/>
      <c r="AQ8" s="67"/>
      <c r="AR8" s="42"/>
      <c r="AS8" s="42"/>
    </row>
    <row r="9" spans="1:45" x14ac:dyDescent="0.2">
      <c r="A9" s="42"/>
      <c r="B9" s="133"/>
      <c r="C9" s="67"/>
      <c r="D9" s="42"/>
      <c r="E9" s="42"/>
      <c r="F9" s="134"/>
      <c r="G9" s="69"/>
      <c r="H9" s="42"/>
      <c r="I9" s="41"/>
      <c r="J9" s="133"/>
      <c r="K9" s="69"/>
      <c r="L9" s="41"/>
      <c r="M9" s="42"/>
      <c r="N9" s="133"/>
      <c r="O9" s="67"/>
      <c r="P9" s="42"/>
      <c r="Q9" s="42"/>
      <c r="R9" s="134"/>
      <c r="S9" s="69"/>
      <c r="T9" s="42"/>
      <c r="U9" s="41"/>
      <c r="V9" s="133"/>
      <c r="W9" s="69"/>
      <c r="X9" s="42"/>
      <c r="Y9" s="41"/>
      <c r="Z9" s="134"/>
      <c r="AA9" s="69"/>
      <c r="AB9" s="41"/>
      <c r="AC9" s="42"/>
      <c r="AD9" s="134"/>
      <c r="AE9" s="67"/>
      <c r="AF9" s="41"/>
      <c r="AG9" s="64"/>
      <c r="AH9" s="133"/>
      <c r="AI9" s="67"/>
      <c r="AJ9" s="42"/>
      <c r="AK9" s="41"/>
      <c r="AL9" s="134"/>
      <c r="AM9" s="67"/>
      <c r="AN9" s="42"/>
      <c r="AO9" s="42"/>
      <c r="AP9" s="133"/>
      <c r="AQ9" s="67"/>
      <c r="AR9" s="42"/>
      <c r="AS9" s="42"/>
    </row>
    <row r="10" spans="1:45" x14ac:dyDescent="0.2">
      <c r="A10" s="42"/>
      <c r="B10" s="133"/>
      <c r="C10" s="67"/>
      <c r="D10" s="42"/>
      <c r="E10" s="42"/>
      <c r="F10" s="134"/>
      <c r="G10" s="69"/>
      <c r="H10" s="42"/>
      <c r="I10" s="41"/>
      <c r="J10" s="133"/>
      <c r="K10" s="69"/>
      <c r="L10" s="41"/>
      <c r="M10" s="42"/>
      <c r="N10" s="133"/>
      <c r="O10" s="67"/>
      <c r="P10" s="42"/>
      <c r="Q10" s="42"/>
      <c r="R10" s="134"/>
      <c r="S10" s="69"/>
      <c r="T10" s="42"/>
      <c r="U10" s="41"/>
      <c r="V10" s="133"/>
      <c r="W10" s="69"/>
      <c r="X10" s="42"/>
      <c r="Y10" s="41"/>
      <c r="Z10" s="134"/>
      <c r="AA10" s="69"/>
      <c r="AB10" s="41"/>
      <c r="AC10" s="42"/>
      <c r="AD10" s="134"/>
      <c r="AE10" s="67"/>
      <c r="AF10" s="41"/>
      <c r="AG10" s="64"/>
      <c r="AH10" s="133"/>
      <c r="AI10" s="67"/>
      <c r="AJ10" s="42"/>
      <c r="AK10" s="41"/>
      <c r="AL10" s="134"/>
      <c r="AM10" s="67"/>
      <c r="AN10" s="42"/>
      <c r="AO10" s="42"/>
      <c r="AP10" s="133"/>
      <c r="AQ10" s="67"/>
      <c r="AR10" s="42"/>
      <c r="AS10" s="42"/>
    </row>
    <row r="11" spans="1:45" x14ac:dyDescent="0.2">
      <c r="A11" s="42"/>
      <c r="B11" s="133"/>
      <c r="C11" s="67"/>
      <c r="D11" s="42"/>
      <c r="E11" s="42"/>
      <c r="F11" s="134"/>
      <c r="G11" s="69"/>
      <c r="H11" s="42"/>
      <c r="I11" s="41"/>
      <c r="J11" s="133"/>
      <c r="K11" s="69"/>
      <c r="L11" s="41"/>
      <c r="M11" s="42"/>
      <c r="N11" s="133"/>
      <c r="O11" s="67"/>
      <c r="P11" s="42"/>
      <c r="Q11" s="42"/>
      <c r="R11" s="134"/>
      <c r="S11" s="69"/>
      <c r="T11" s="42"/>
      <c r="U11" s="41"/>
      <c r="V11" s="133"/>
      <c r="W11" s="69"/>
      <c r="X11" s="42"/>
      <c r="Y11" s="41"/>
      <c r="Z11" s="134"/>
      <c r="AA11" s="69"/>
      <c r="AB11" s="41"/>
      <c r="AC11" s="42"/>
      <c r="AD11" s="134"/>
      <c r="AE11" s="67"/>
      <c r="AF11" s="41"/>
      <c r="AG11" s="41"/>
      <c r="AH11" s="133"/>
      <c r="AI11" s="67"/>
      <c r="AJ11" s="42"/>
      <c r="AK11" s="41"/>
      <c r="AL11" s="134"/>
      <c r="AM11" s="67"/>
      <c r="AN11" s="42"/>
      <c r="AO11" s="42"/>
      <c r="AP11" s="133"/>
      <c r="AQ11" s="67"/>
      <c r="AR11" s="42"/>
      <c r="AS11" s="42"/>
    </row>
    <row r="12" spans="1:45" x14ac:dyDescent="0.2">
      <c r="A12" s="42"/>
      <c r="B12" s="133"/>
      <c r="C12" s="67"/>
      <c r="D12" s="42"/>
      <c r="E12" s="42"/>
      <c r="F12" s="134"/>
      <c r="G12" s="69"/>
      <c r="H12" s="42"/>
      <c r="I12" s="41"/>
      <c r="J12" s="133"/>
      <c r="K12" s="69"/>
      <c r="L12" s="41"/>
      <c r="M12" s="42"/>
      <c r="N12" s="133"/>
      <c r="O12" s="67"/>
      <c r="P12" s="42"/>
      <c r="Q12" s="42"/>
      <c r="R12" s="134"/>
      <c r="S12" s="69"/>
      <c r="T12" s="42"/>
      <c r="U12" s="41"/>
      <c r="V12" s="133"/>
      <c r="W12" s="69"/>
      <c r="X12" s="42"/>
      <c r="Y12" s="41"/>
      <c r="Z12" s="134"/>
      <c r="AA12" s="69"/>
      <c r="AB12" s="41"/>
      <c r="AC12" s="42"/>
      <c r="AD12" s="134"/>
      <c r="AE12" s="67"/>
      <c r="AF12" s="41"/>
      <c r="AG12" s="41"/>
      <c r="AH12" s="133"/>
      <c r="AI12" s="67"/>
      <c r="AJ12" s="42"/>
      <c r="AK12" s="41"/>
      <c r="AL12" s="134"/>
      <c r="AM12" s="67"/>
      <c r="AN12" s="42"/>
      <c r="AO12" s="42"/>
      <c r="AP12" s="133"/>
      <c r="AQ12" s="67"/>
      <c r="AR12" s="42"/>
      <c r="AS12" s="42"/>
    </row>
    <row r="13" spans="1:45" x14ac:dyDescent="0.2">
      <c r="A13" s="42"/>
      <c r="B13" s="133"/>
      <c r="C13" s="67"/>
      <c r="D13" s="42"/>
      <c r="E13" s="42"/>
      <c r="F13" s="134"/>
      <c r="G13" s="69"/>
      <c r="H13" s="42"/>
      <c r="I13" s="41"/>
      <c r="J13" s="133"/>
      <c r="K13" s="69"/>
      <c r="L13" s="41"/>
      <c r="M13" s="42"/>
      <c r="N13" s="133"/>
      <c r="O13" s="67"/>
      <c r="P13" s="42"/>
      <c r="Q13" s="42"/>
      <c r="R13" s="134"/>
      <c r="S13" s="69"/>
      <c r="T13" s="42"/>
      <c r="U13" s="41"/>
      <c r="V13" s="133"/>
      <c r="W13" s="69"/>
      <c r="X13" s="42"/>
      <c r="Y13" s="41"/>
      <c r="Z13" s="134"/>
      <c r="AA13" s="69"/>
      <c r="AB13" s="41"/>
      <c r="AC13" s="42"/>
      <c r="AD13" s="134"/>
      <c r="AE13" s="67"/>
      <c r="AF13" s="41"/>
      <c r="AG13" s="41"/>
      <c r="AH13" s="133"/>
      <c r="AI13" s="67"/>
      <c r="AJ13" s="42"/>
      <c r="AK13" s="41"/>
      <c r="AL13" s="134"/>
      <c r="AM13" s="67"/>
      <c r="AN13" s="42"/>
      <c r="AO13" s="42"/>
      <c r="AP13" s="133"/>
      <c r="AQ13" s="67"/>
      <c r="AR13" s="42"/>
      <c r="AS13" s="42"/>
    </row>
    <row r="14" spans="1:45" x14ac:dyDescent="0.2">
      <c r="A14" s="42"/>
      <c r="B14" s="133"/>
      <c r="C14" s="67"/>
      <c r="D14" s="42"/>
      <c r="E14" s="42"/>
      <c r="F14" s="134"/>
      <c r="G14" s="69"/>
      <c r="H14" s="42"/>
      <c r="I14" s="41"/>
      <c r="J14" s="133"/>
      <c r="K14" s="69"/>
      <c r="L14" s="41"/>
      <c r="M14" s="42"/>
      <c r="N14" s="133"/>
      <c r="O14" s="67"/>
      <c r="P14" s="42"/>
      <c r="Q14" s="42"/>
      <c r="R14" s="134"/>
      <c r="S14" s="69"/>
      <c r="T14" s="42"/>
      <c r="U14" s="41"/>
      <c r="V14" s="133"/>
      <c r="W14" s="69"/>
      <c r="X14" s="42"/>
      <c r="Y14" s="41"/>
      <c r="Z14" s="134"/>
      <c r="AA14" s="69"/>
      <c r="AB14" s="41"/>
      <c r="AC14" s="42"/>
      <c r="AD14" s="134"/>
      <c r="AE14" s="67"/>
      <c r="AF14" s="41"/>
      <c r="AG14" s="41"/>
      <c r="AH14" s="133"/>
      <c r="AI14" s="67"/>
      <c r="AJ14" s="42"/>
      <c r="AK14" s="41"/>
      <c r="AL14" s="134"/>
      <c r="AM14" s="67"/>
      <c r="AN14" s="42"/>
      <c r="AO14" s="42"/>
      <c r="AP14" s="133"/>
      <c r="AQ14" s="67"/>
      <c r="AR14" s="42"/>
      <c r="AS14" s="42"/>
    </row>
    <row r="15" spans="1:45" x14ac:dyDescent="0.2">
      <c r="A15" s="42"/>
      <c r="B15" s="133"/>
      <c r="C15" s="67"/>
      <c r="D15" s="42"/>
      <c r="E15" s="42"/>
      <c r="F15" s="134"/>
      <c r="G15" s="69"/>
      <c r="H15" s="42"/>
      <c r="I15" s="41"/>
      <c r="J15" s="133"/>
      <c r="K15" s="69"/>
      <c r="L15" s="41"/>
      <c r="M15" s="42"/>
      <c r="N15" s="133"/>
      <c r="O15" s="67"/>
      <c r="P15" s="42"/>
      <c r="Q15" s="42"/>
      <c r="R15" s="134"/>
      <c r="S15" s="69"/>
      <c r="T15" s="42"/>
      <c r="U15" s="41"/>
      <c r="V15" s="133"/>
      <c r="W15" s="69"/>
      <c r="X15" s="42"/>
      <c r="Y15" s="41"/>
      <c r="Z15" s="134"/>
      <c r="AA15" s="69"/>
      <c r="AB15" s="41"/>
      <c r="AC15" s="42"/>
      <c r="AD15" s="134"/>
      <c r="AE15" s="67"/>
      <c r="AF15" s="41"/>
      <c r="AG15" s="41"/>
      <c r="AH15" s="133"/>
      <c r="AI15" s="67"/>
      <c r="AJ15" s="42"/>
      <c r="AK15" s="41"/>
      <c r="AL15" s="134"/>
      <c r="AM15" s="67"/>
      <c r="AN15" s="42"/>
      <c r="AO15" s="42"/>
      <c r="AP15" s="133"/>
      <c r="AQ15" s="67"/>
      <c r="AR15" s="42"/>
      <c r="AS15" s="42"/>
    </row>
    <row r="16" spans="1:45" x14ac:dyDescent="0.2">
      <c r="A16" s="42"/>
      <c r="B16" s="133"/>
      <c r="C16" s="67"/>
      <c r="D16" s="42"/>
      <c r="E16" s="42"/>
      <c r="F16" s="134"/>
      <c r="G16" s="69"/>
      <c r="H16" s="42"/>
      <c r="I16" s="41"/>
      <c r="J16" s="133"/>
      <c r="K16" s="69"/>
      <c r="L16" s="41"/>
      <c r="M16" s="42"/>
      <c r="N16" s="133"/>
      <c r="O16" s="67"/>
      <c r="P16" s="42"/>
      <c r="Q16" s="42"/>
      <c r="R16" s="134"/>
      <c r="S16" s="69"/>
      <c r="T16" s="42"/>
      <c r="U16" s="41"/>
      <c r="V16" s="133"/>
      <c r="W16" s="69"/>
      <c r="X16" s="42"/>
      <c r="Y16" s="41"/>
      <c r="Z16" s="134"/>
      <c r="AA16" s="69"/>
      <c r="AB16" s="41"/>
      <c r="AC16" s="42"/>
      <c r="AD16" s="134"/>
      <c r="AE16" s="67"/>
      <c r="AF16" s="41"/>
      <c r="AG16" s="41"/>
      <c r="AH16" s="133"/>
      <c r="AI16" s="67"/>
      <c r="AJ16" s="42"/>
      <c r="AK16" s="41"/>
      <c r="AL16" s="134"/>
      <c r="AM16" s="67"/>
      <c r="AN16" s="42"/>
      <c r="AO16" s="42"/>
      <c r="AP16" s="133"/>
      <c r="AQ16" s="67"/>
      <c r="AR16" s="42"/>
      <c r="AS16" s="42"/>
    </row>
    <row r="17" spans="1:45" x14ac:dyDescent="0.2">
      <c r="A17" s="42"/>
      <c r="B17" s="133"/>
      <c r="C17" s="67"/>
      <c r="D17" s="42"/>
      <c r="E17" s="42"/>
      <c r="F17" s="134"/>
      <c r="G17" s="69"/>
      <c r="H17" s="42"/>
      <c r="I17" s="41"/>
      <c r="J17" s="133"/>
      <c r="K17" s="69"/>
      <c r="L17" s="41"/>
      <c r="M17" s="42"/>
      <c r="N17" s="133"/>
      <c r="O17" s="67"/>
      <c r="P17" s="42"/>
      <c r="Q17" s="42"/>
      <c r="R17" s="134"/>
      <c r="S17" s="69"/>
      <c r="T17" s="42"/>
      <c r="U17" s="41"/>
      <c r="V17" s="133"/>
      <c r="W17" s="69"/>
      <c r="X17" s="42"/>
      <c r="Y17" s="41"/>
      <c r="Z17" s="134"/>
      <c r="AA17" s="69"/>
      <c r="AB17" s="41"/>
      <c r="AC17" s="42"/>
      <c r="AD17" s="134"/>
      <c r="AE17" s="67"/>
      <c r="AF17" s="41"/>
      <c r="AG17" s="41"/>
      <c r="AH17" s="133"/>
      <c r="AI17" s="67"/>
      <c r="AJ17" s="42"/>
      <c r="AK17" s="41"/>
      <c r="AL17" s="134"/>
      <c r="AM17" s="67"/>
      <c r="AN17" s="42"/>
      <c r="AO17" s="42"/>
      <c r="AP17" s="133"/>
      <c r="AQ17" s="67"/>
      <c r="AR17" s="42"/>
      <c r="AS17" s="42"/>
    </row>
    <row r="18" spans="1:45" x14ac:dyDescent="0.2">
      <c r="A18" s="42"/>
      <c r="B18" s="133"/>
      <c r="C18" s="67"/>
      <c r="D18" s="42"/>
      <c r="E18" s="42"/>
      <c r="F18" s="134"/>
      <c r="G18" s="69"/>
      <c r="H18" s="42"/>
      <c r="I18" s="41"/>
      <c r="J18" s="133"/>
      <c r="K18" s="69"/>
      <c r="L18" s="41"/>
      <c r="M18" s="42"/>
      <c r="N18" s="133"/>
      <c r="O18" s="67"/>
      <c r="P18" s="42"/>
      <c r="Q18" s="42"/>
      <c r="R18" s="134"/>
      <c r="S18" s="69"/>
      <c r="T18" s="42"/>
      <c r="U18" s="41"/>
      <c r="V18" s="133"/>
      <c r="W18" s="69"/>
      <c r="X18" s="42"/>
      <c r="Y18" s="41"/>
      <c r="Z18" s="134"/>
      <c r="AA18" s="69"/>
      <c r="AB18" s="41"/>
      <c r="AC18" s="42"/>
      <c r="AD18" s="134"/>
      <c r="AE18" s="67"/>
      <c r="AF18" s="41"/>
      <c r="AG18" s="41"/>
      <c r="AH18" s="133"/>
      <c r="AI18" s="67"/>
      <c r="AJ18" s="42"/>
      <c r="AK18" s="41"/>
      <c r="AL18" s="134"/>
      <c r="AM18" s="67"/>
      <c r="AN18" s="42"/>
      <c r="AO18" s="42"/>
      <c r="AP18" s="133"/>
      <c r="AQ18" s="67"/>
      <c r="AR18" s="42"/>
      <c r="AS18" s="42"/>
    </row>
    <row r="19" spans="1:45" x14ac:dyDescent="0.2">
      <c r="A19" s="42"/>
      <c r="B19" s="133"/>
      <c r="C19" s="67"/>
      <c r="D19" s="42"/>
      <c r="E19" s="42"/>
      <c r="F19" s="134"/>
      <c r="G19" s="69"/>
      <c r="H19" s="42"/>
      <c r="I19" s="41"/>
      <c r="J19" s="133"/>
      <c r="K19" s="69"/>
      <c r="L19" s="41"/>
      <c r="M19" s="42"/>
      <c r="N19" s="133"/>
      <c r="O19" s="67"/>
      <c r="P19" s="42"/>
      <c r="Q19" s="42"/>
      <c r="R19" s="134"/>
      <c r="S19" s="69"/>
      <c r="T19" s="42"/>
      <c r="U19" s="41"/>
      <c r="V19" s="133"/>
      <c r="W19" s="69"/>
      <c r="X19" s="42"/>
      <c r="Y19" s="41"/>
      <c r="Z19" s="134"/>
      <c r="AA19" s="69"/>
      <c r="AB19" s="41"/>
      <c r="AC19" s="42"/>
      <c r="AD19" s="134"/>
      <c r="AE19" s="67"/>
      <c r="AF19" s="41"/>
      <c r="AG19" s="41"/>
      <c r="AH19" s="133"/>
      <c r="AI19" s="67"/>
      <c r="AJ19" s="42"/>
      <c r="AK19" s="41"/>
      <c r="AL19" s="134"/>
      <c r="AM19" s="67"/>
      <c r="AN19" s="42"/>
      <c r="AO19" s="42"/>
      <c r="AP19" s="133"/>
      <c r="AQ19" s="67"/>
      <c r="AR19" s="42"/>
      <c r="AS19" s="42"/>
    </row>
    <row r="20" spans="1:45" x14ac:dyDescent="0.2">
      <c r="A20" s="42"/>
      <c r="B20" s="133"/>
      <c r="C20" s="67"/>
      <c r="D20" s="42"/>
      <c r="E20" s="42"/>
      <c r="F20" s="134"/>
      <c r="G20" s="69"/>
      <c r="H20" s="42"/>
      <c r="I20" s="41"/>
      <c r="J20" s="133"/>
      <c r="K20" s="69"/>
      <c r="L20" s="41"/>
      <c r="M20" s="42"/>
      <c r="N20" s="133"/>
      <c r="O20" s="67"/>
      <c r="P20" s="42"/>
      <c r="Q20" s="42"/>
      <c r="R20" s="134"/>
      <c r="S20" s="69"/>
      <c r="T20" s="42"/>
      <c r="U20" s="41"/>
      <c r="V20" s="133"/>
      <c r="W20" s="69"/>
      <c r="X20" s="42"/>
      <c r="Y20" s="41"/>
      <c r="Z20" s="134"/>
      <c r="AA20" s="69"/>
      <c r="AB20" s="41"/>
      <c r="AC20" s="42"/>
      <c r="AD20" s="134"/>
      <c r="AE20" s="67"/>
      <c r="AF20" s="41"/>
      <c r="AG20" s="41"/>
      <c r="AH20" s="133"/>
      <c r="AI20" s="67"/>
      <c r="AJ20" s="42"/>
      <c r="AK20" s="41"/>
      <c r="AL20" s="134"/>
      <c r="AM20" s="67"/>
      <c r="AN20" s="42"/>
      <c r="AO20" s="42"/>
      <c r="AP20" s="133"/>
      <c r="AQ20" s="67"/>
      <c r="AR20" s="42"/>
      <c r="AS20" s="42"/>
    </row>
    <row r="21" spans="1:45" x14ac:dyDescent="0.2">
      <c r="A21" s="42"/>
      <c r="B21" s="133"/>
      <c r="C21" s="67"/>
      <c r="D21" s="42"/>
      <c r="E21" s="42"/>
      <c r="F21" s="134"/>
      <c r="G21" s="69"/>
      <c r="H21" s="42"/>
      <c r="I21" s="41"/>
      <c r="J21" s="133"/>
      <c r="K21" s="69"/>
      <c r="L21" s="41"/>
      <c r="M21" s="42"/>
      <c r="N21" s="133"/>
      <c r="O21" s="67"/>
      <c r="P21" s="42"/>
      <c r="Q21" s="42"/>
      <c r="R21" s="134"/>
      <c r="S21" s="69"/>
      <c r="T21" s="42"/>
      <c r="U21" s="41"/>
      <c r="V21" s="133"/>
      <c r="W21" s="69"/>
      <c r="X21" s="42"/>
      <c r="Y21" s="41"/>
      <c r="Z21" s="134"/>
      <c r="AA21" s="69"/>
      <c r="AB21" s="41"/>
      <c r="AC21" s="42"/>
      <c r="AD21" s="134"/>
      <c r="AE21" s="67"/>
      <c r="AF21" s="41"/>
      <c r="AG21" s="41"/>
      <c r="AH21" s="133"/>
      <c r="AI21" s="67"/>
      <c r="AJ21" s="42"/>
      <c r="AK21" s="41"/>
      <c r="AL21" s="134"/>
      <c r="AM21" s="67"/>
      <c r="AN21" s="42"/>
      <c r="AO21" s="42"/>
      <c r="AP21" s="133"/>
      <c r="AQ21" s="67"/>
      <c r="AR21" s="42"/>
      <c r="AS21" s="42"/>
    </row>
    <row r="22" spans="1:45" x14ac:dyDescent="0.2">
      <c r="A22" s="42"/>
      <c r="B22" s="133"/>
      <c r="C22" s="67"/>
      <c r="D22" s="42"/>
      <c r="E22" s="42"/>
      <c r="F22" s="134"/>
      <c r="G22" s="69"/>
      <c r="H22" s="42"/>
      <c r="I22" s="41"/>
      <c r="J22" s="133"/>
      <c r="K22" s="69"/>
      <c r="L22" s="41"/>
      <c r="M22" s="42"/>
      <c r="N22" s="133"/>
      <c r="O22" s="67"/>
      <c r="P22" s="42"/>
      <c r="Q22" s="42"/>
      <c r="R22" s="134"/>
      <c r="S22" s="69"/>
      <c r="T22" s="42"/>
      <c r="U22" s="41"/>
      <c r="V22" s="133"/>
      <c r="W22" s="69"/>
      <c r="X22" s="42"/>
      <c r="Y22" s="41"/>
      <c r="Z22" s="134"/>
      <c r="AA22" s="69"/>
      <c r="AB22" s="41"/>
      <c r="AC22" s="42"/>
      <c r="AD22" s="134"/>
      <c r="AE22" s="67"/>
      <c r="AF22" s="41"/>
      <c r="AG22" s="41"/>
      <c r="AH22" s="133"/>
      <c r="AI22" s="67"/>
      <c r="AJ22" s="42"/>
      <c r="AK22" s="41"/>
      <c r="AL22" s="134"/>
      <c r="AM22" s="67"/>
      <c r="AN22" s="42"/>
      <c r="AO22" s="42"/>
      <c r="AP22" s="133"/>
      <c r="AQ22" s="67"/>
      <c r="AR22" s="42"/>
      <c r="AS22" s="42"/>
    </row>
    <row r="23" spans="1:45" x14ac:dyDescent="0.2">
      <c r="A23" s="42"/>
      <c r="B23" s="133"/>
      <c r="C23" s="67"/>
      <c r="D23" s="42"/>
      <c r="E23" s="42"/>
      <c r="F23" s="134"/>
      <c r="G23" s="69"/>
      <c r="H23" s="42"/>
      <c r="I23" s="41"/>
      <c r="J23" s="133"/>
      <c r="K23" s="69"/>
      <c r="L23" s="41"/>
      <c r="M23" s="42"/>
      <c r="N23" s="133"/>
      <c r="O23" s="67"/>
      <c r="P23" s="42"/>
      <c r="Q23" s="42"/>
      <c r="R23" s="134"/>
      <c r="S23" s="69"/>
      <c r="T23" s="42"/>
      <c r="U23" s="41"/>
      <c r="V23" s="133"/>
      <c r="W23" s="69"/>
      <c r="X23" s="42"/>
      <c r="Y23" s="41"/>
      <c r="Z23" s="134"/>
      <c r="AA23" s="69"/>
      <c r="AB23" s="41"/>
      <c r="AC23" s="42"/>
      <c r="AD23" s="134"/>
      <c r="AE23" s="67"/>
      <c r="AF23" s="41"/>
      <c r="AG23" s="41"/>
      <c r="AH23" s="133"/>
      <c r="AI23" s="67"/>
      <c r="AJ23" s="42"/>
      <c r="AK23" s="41"/>
      <c r="AL23" s="134"/>
      <c r="AM23" s="67"/>
      <c r="AN23" s="42"/>
      <c r="AO23" s="42"/>
      <c r="AP23" s="133"/>
      <c r="AQ23" s="67"/>
      <c r="AR23" s="42"/>
      <c r="AS23" s="42"/>
    </row>
    <row r="24" spans="1:45" x14ac:dyDescent="0.2">
      <c r="A24" s="42"/>
      <c r="B24" s="133"/>
      <c r="C24" s="67"/>
      <c r="D24" s="42"/>
      <c r="E24" s="42"/>
      <c r="F24" s="134"/>
      <c r="G24" s="69"/>
      <c r="H24" s="42"/>
      <c r="I24" s="41"/>
      <c r="J24" s="133"/>
      <c r="K24" s="69"/>
      <c r="L24" s="41"/>
      <c r="M24" s="42"/>
      <c r="N24" s="133"/>
      <c r="O24" s="67"/>
      <c r="P24" s="42"/>
      <c r="Q24" s="42"/>
      <c r="R24" s="134"/>
      <c r="S24" s="69"/>
      <c r="T24" s="42"/>
      <c r="U24" s="41"/>
      <c r="V24" s="133"/>
      <c r="W24" s="69"/>
      <c r="X24" s="42"/>
      <c r="Y24" s="41"/>
      <c r="Z24" s="134"/>
      <c r="AA24" s="69"/>
      <c r="AB24" s="41"/>
      <c r="AC24" s="42"/>
      <c r="AD24" s="134"/>
      <c r="AE24" s="67"/>
      <c r="AF24" s="41"/>
      <c r="AG24" s="41"/>
      <c r="AH24" s="133"/>
      <c r="AI24" s="67"/>
      <c r="AJ24" s="42"/>
      <c r="AK24" s="41"/>
      <c r="AL24" s="134"/>
      <c r="AM24" s="67"/>
      <c r="AN24" s="42"/>
      <c r="AO24" s="42"/>
      <c r="AP24" s="133"/>
      <c r="AQ24" s="67"/>
      <c r="AR24" s="42"/>
      <c r="AS24" s="42"/>
    </row>
    <row r="25" spans="1:45" x14ac:dyDescent="0.2">
      <c r="A25" s="42"/>
      <c r="B25" s="133"/>
      <c r="C25" s="67"/>
      <c r="D25" s="42"/>
      <c r="E25" s="42"/>
      <c r="F25" s="134"/>
      <c r="G25" s="69"/>
      <c r="H25" s="42"/>
      <c r="I25" s="41"/>
      <c r="J25" s="133"/>
      <c r="K25" s="69"/>
      <c r="L25" s="41"/>
      <c r="M25" s="42"/>
      <c r="N25" s="133"/>
      <c r="O25" s="67"/>
      <c r="P25" s="42"/>
      <c r="Q25" s="42"/>
      <c r="R25" s="134"/>
      <c r="S25" s="69"/>
      <c r="T25" s="42"/>
      <c r="U25" s="41"/>
      <c r="V25" s="133"/>
      <c r="W25" s="69"/>
      <c r="X25" s="42"/>
      <c r="Y25" s="41"/>
      <c r="Z25" s="134"/>
      <c r="AA25" s="69"/>
      <c r="AB25" s="41"/>
      <c r="AC25" s="42"/>
      <c r="AD25" s="134"/>
      <c r="AE25" s="67"/>
      <c r="AF25" s="41"/>
      <c r="AG25" s="41"/>
      <c r="AH25" s="133"/>
      <c r="AI25" s="67"/>
      <c r="AJ25" s="42"/>
      <c r="AK25" s="41"/>
      <c r="AL25" s="134"/>
      <c r="AM25" s="67"/>
      <c r="AN25" s="42"/>
      <c r="AO25" s="42"/>
      <c r="AP25" s="133"/>
      <c r="AQ25" s="67"/>
      <c r="AR25" s="42"/>
      <c r="AS25" s="42"/>
    </row>
    <row r="26" spans="1:45" x14ac:dyDescent="0.2">
      <c r="A26" s="42"/>
      <c r="B26" s="133"/>
      <c r="C26" s="67"/>
      <c r="D26" s="42"/>
      <c r="E26" s="42"/>
      <c r="F26" s="134"/>
      <c r="G26" s="69"/>
      <c r="H26" s="42"/>
      <c r="I26" s="41"/>
      <c r="J26" s="133"/>
      <c r="K26" s="69"/>
      <c r="L26" s="41"/>
      <c r="M26" s="42"/>
      <c r="N26" s="133"/>
      <c r="O26" s="67"/>
      <c r="P26" s="42"/>
      <c r="Q26" s="42"/>
      <c r="R26" s="134"/>
      <c r="S26" s="69"/>
      <c r="T26" s="42"/>
      <c r="U26" s="41"/>
      <c r="V26" s="133"/>
      <c r="W26" s="69"/>
      <c r="X26" s="42"/>
      <c r="Y26" s="41"/>
      <c r="Z26" s="134"/>
      <c r="AA26" s="69"/>
      <c r="AB26" s="41"/>
      <c r="AC26" s="42"/>
      <c r="AD26" s="134"/>
      <c r="AE26" s="67"/>
      <c r="AF26" s="41"/>
      <c r="AG26" s="41"/>
      <c r="AH26" s="133"/>
      <c r="AI26" s="67"/>
      <c r="AJ26" s="42"/>
      <c r="AK26" s="41"/>
      <c r="AL26" s="134"/>
      <c r="AM26" s="67"/>
      <c r="AN26" s="42"/>
      <c r="AO26" s="42"/>
      <c r="AP26" s="133"/>
      <c r="AQ26" s="67"/>
      <c r="AR26" s="42"/>
      <c r="AS26" s="42"/>
    </row>
    <row r="27" spans="1:45" x14ac:dyDescent="0.2">
      <c r="A27" s="42"/>
      <c r="B27" s="133"/>
      <c r="C27" s="67"/>
      <c r="D27" s="42"/>
      <c r="E27" s="42"/>
      <c r="F27" s="134"/>
      <c r="G27" s="69"/>
      <c r="H27" s="42"/>
      <c r="I27" s="41"/>
      <c r="J27" s="133"/>
      <c r="K27" s="69"/>
      <c r="L27" s="41"/>
      <c r="M27" s="42"/>
      <c r="N27" s="133"/>
      <c r="O27" s="67"/>
      <c r="P27" s="42"/>
      <c r="Q27" s="42"/>
      <c r="R27" s="134"/>
      <c r="S27" s="69"/>
      <c r="T27" s="42"/>
      <c r="U27" s="41"/>
      <c r="V27" s="133"/>
      <c r="W27" s="69"/>
      <c r="X27" s="42"/>
      <c r="Y27" s="41"/>
      <c r="Z27" s="134"/>
      <c r="AA27" s="69"/>
      <c r="AB27" s="41"/>
      <c r="AC27" s="42"/>
      <c r="AD27" s="134"/>
      <c r="AE27" s="67"/>
      <c r="AF27" s="41"/>
      <c r="AG27" s="41"/>
      <c r="AH27" s="133"/>
      <c r="AI27" s="67"/>
      <c r="AJ27" s="42"/>
      <c r="AK27" s="41"/>
      <c r="AL27" s="134"/>
      <c r="AM27" s="67"/>
      <c r="AN27" s="42"/>
      <c r="AO27" s="42"/>
      <c r="AP27" s="133"/>
      <c r="AQ27" s="67"/>
      <c r="AR27" s="42"/>
      <c r="AS27" s="42"/>
    </row>
    <row r="28" spans="1:45" x14ac:dyDescent="0.2">
      <c r="A28" s="42"/>
      <c r="B28" s="133"/>
      <c r="C28" s="67"/>
      <c r="D28" s="42"/>
      <c r="E28" s="42"/>
      <c r="F28" s="134"/>
      <c r="G28" s="69"/>
      <c r="H28" s="42"/>
      <c r="I28" s="41"/>
      <c r="J28" s="133"/>
      <c r="K28" s="69"/>
      <c r="L28" s="41"/>
      <c r="M28" s="42"/>
      <c r="N28" s="133"/>
      <c r="O28" s="67"/>
      <c r="P28" s="42"/>
      <c r="Q28" s="42"/>
      <c r="R28" s="134"/>
      <c r="S28" s="69"/>
      <c r="T28" s="42"/>
      <c r="U28" s="41"/>
      <c r="V28" s="133"/>
      <c r="W28" s="69"/>
      <c r="X28" s="42"/>
      <c r="Y28" s="41"/>
      <c r="Z28" s="134"/>
      <c r="AA28" s="69"/>
      <c r="AB28" s="41"/>
      <c r="AC28" s="42"/>
      <c r="AD28" s="134"/>
      <c r="AE28" s="67"/>
      <c r="AF28" s="41"/>
      <c r="AG28" s="41"/>
      <c r="AH28" s="133"/>
      <c r="AI28" s="67"/>
      <c r="AJ28" s="42"/>
      <c r="AK28" s="41"/>
      <c r="AL28" s="134"/>
      <c r="AM28" s="67"/>
      <c r="AN28" s="42"/>
      <c r="AO28" s="42"/>
      <c r="AP28" s="133"/>
      <c r="AQ28" s="67"/>
      <c r="AR28" s="42"/>
      <c r="AS28" s="42"/>
    </row>
    <row r="29" spans="1:45" x14ac:dyDescent="0.2">
      <c r="A29" s="42"/>
      <c r="B29" s="133"/>
      <c r="C29" s="67"/>
      <c r="D29" s="42"/>
      <c r="E29" s="42"/>
      <c r="F29" s="134"/>
      <c r="G29" s="69"/>
      <c r="H29" s="42"/>
      <c r="I29" s="41"/>
      <c r="J29" s="133"/>
      <c r="K29" s="69"/>
      <c r="L29" s="41"/>
      <c r="M29" s="42"/>
      <c r="N29" s="133"/>
      <c r="O29" s="67"/>
      <c r="P29" s="42"/>
      <c r="Q29" s="42"/>
      <c r="R29" s="134"/>
      <c r="S29" s="69"/>
      <c r="T29" s="42"/>
      <c r="U29" s="41"/>
      <c r="V29" s="133"/>
      <c r="W29" s="69"/>
      <c r="X29" s="42"/>
      <c r="Y29" s="41"/>
      <c r="Z29" s="134"/>
      <c r="AA29" s="69"/>
      <c r="AB29" s="41"/>
      <c r="AC29" s="42"/>
      <c r="AD29" s="134"/>
      <c r="AE29" s="67"/>
      <c r="AF29" s="41"/>
      <c r="AG29" s="41"/>
      <c r="AH29" s="133"/>
      <c r="AI29" s="67"/>
      <c r="AJ29" s="42"/>
      <c r="AK29" s="41"/>
      <c r="AL29" s="134"/>
      <c r="AM29" s="67"/>
      <c r="AN29" s="42"/>
      <c r="AO29" s="42"/>
      <c r="AP29" s="133"/>
      <c r="AQ29" s="67"/>
      <c r="AR29" s="42"/>
      <c r="AS29" s="42"/>
    </row>
    <row r="30" spans="1:45" x14ac:dyDescent="0.2">
      <c r="A30" s="42"/>
      <c r="B30" s="133"/>
      <c r="C30" s="67"/>
      <c r="D30" s="42"/>
      <c r="E30" s="42"/>
      <c r="F30" s="134"/>
      <c r="G30" s="69"/>
      <c r="H30" s="42"/>
      <c r="I30" s="41"/>
      <c r="J30" s="133"/>
      <c r="K30" s="69"/>
      <c r="L30" s="41"/>
      <c r="M30" s="42"/>
      <c r="N30" s="133"/>
      <c r="O30" s="67"/>
      <c r="P30" s="42"/>
      <c r="Q30" s="42"/>
      <c r="R30" s="134"/>
      <c r="S30" s="69"/>
      <c r="T30" s="42"/>
      <c r="U30" s="41"/>
      <c r="V30" s="133"/>
      <c r="W30" s="69"/>
      <c r="X30" s="42"/>
      <c r="Y30" s="41"/>
      <c r="Z30" s="134"/>
      <c r="AA30" s="69"/>
      <c r="AB30" s="41"/>
      <c r="AC30" s="42"/>
      <c r="AD30" s="134"/>
      <c r="AE30" s="67"/>
      <c r="AF30" s="41"/>
      <c r="AG30" s="41"/>
      <c r="AH30" s="133"/>
      <c r="AI30" s="67"/>
      <c r="AJ30" s="42"/>
      <c r="AK30" s="41"/>
      <c r="AL30" s="134"/>
      <c r="AM30" s="67"/>
      <c r="AN30" s="42"/>
      <c r="AO30" s="42"/>
      <c r="AP30" s="133"/>
      <c r="AQ30" s="67"/>
      <c r="AR30" s="42"/>
      <c r="AS30" s="42"/>
    </row>
    <row r="31" spans="1:45" x14ac:dyDescent="0.2">
      <c r="A31" s="42"/>
      <c r="B31" s="133"/>
      <c r="C31" s="67"/>
      <c r="D31" s="42"/>
      <c r="E31" s="42"/>
      <c r="F31" s="134"/>
      <c r="G31" s="69"/>
      <c r="H31" s="42"/>
      <c r="I31" s="41"/>
      <c r="J31" s="133"/>
      <c r="K31" s="69"/>
      <c r="L31" s="41"/>
      <c r="M31" s="42"/>
      <c r="N31" s="133"/>
      <c r="O31" s="67"/>
      <c r="P31" s="42"/>
      <c r="Q31" s="42"/>
      <c r="R31" s="134"/>
      <c r="S31" s="69"/>
      <c r="T31" s="42"/>
      <c r="U31" s="41"/>
      <c r="V31" s="133"/>
      <c r="W31" s="69"/>
      <c r="X31" s="42"/>
      <c r="Y31" s="41"/>
      <c r="Z31" s="134"/>
      <c r="AA31" s="69"/>
      <c r="AB31" s="41"/>
      <c r="AC31" s="42"/>
      <c r="AD31" s="134"/>
      <c r="AE31" s="67"/>
      <c r="AF31" s="41"/>
      <c r="AG31" s="41"/>
      <c r="AH31" s="133"/>
      <c r="AI31" s="67"/>
      <c r="AJ31" s="42"/>
      <c r="AK31" s="41"/>
      <c r="AL31" s="134"/>
      <c r="AM31" s="67"/>
      <c r="AN31" s="42"/>
      <c r="AO31" s="42"/>
      <c r="AP31" s="133"/>
      <c r="AQ31" s="67"/>
      <c r="AR31" s="42"/>
      <c r="AS31" s="42"/>
    </row>
    <row r="32" spans="1:45" x14ac:dyDescent="0.2">
      <c r="A32" s="42"/>
      <c r="B32" s="133"/>
      <c r="C32" s="67"/>
      <c r="D32" s="42"/>
      <c r="E32" s="42"/>
      <c r="F32" s="134"/>
      <c r="G32" s="69"/>
      <c r="H32" s="42"/>
      <c r="I32" s="41"/>
      <c r="J32" s="133"/>
      <c r="K32" s="69"/>
      <c r="L32" s="41"/>
      <c r="M32" s="42"/>
      <c r="N32" s="133"/>
      <c r="O32" s="67"/>
      <c r="P32" s="42"/>
      <c r="Q32" s="42"/>
      <c r="R32" s="134"/>
      <c r="S32" s="69"/>
      <c r="T32" s="42"/>
      <c r="U32" s="41"/>
      <c r="V32" s="133"/>
      <c r="W32" s="69"/>
      <c r="X32" s="42"/>
      <c r="Y32" s="41"/>
      <c r="Z32" s="134"/>
      <c r="AA32" s="69"/>
      <c r="AB32" s="41"/>
      <c r="AC32" s="42"/>
      <c r="AD32" s="134"/>
      <c r="AE32" s="67"/>
      <c r="AF32" s="41"/>
      <c r="AG32" s="41"/>
      <c r="AH32" s="133"/>
      <c r="AI32" s="67"/>
      <c r="AJ32" s="42"/>
      <c r="AK32" s="41"/>
      <c r="AL32" s="134"/>
      <c r="AM32" s="67"/>
      <c r="AN32" s="42"/>
      <c r="AO32" s="42"/>
      <c r="AP32" s="133"/>
      <c r="AQ32" s="67"/>
      <c r="AR32" s="42"/>
      <c r="AS32" s="42"/>
    </row>
    <row r="33" spans="1:45" x14ac:dyDescent="0.2">
      <c r="A33" s="42"/>
      <c r="B33" s="133"/>
      <c r="C33" s="67"/>
      <c r="D33" s="42"/>
      <c r="E33" s="42"/>
      <c r="F33" s="134"/>
      <c r="G33" s="69"/>
      <c r="H33" s="42"/>
      <c r="I33" s="41"/>
      <c r="J33" s="133"/>
      <c r="K33" s="69"/>
      <c r="L33" s="41"/>
      <c r="M33" s="42"/>
      <c r="N33" s="133"/>
      <c r="O33" s="67"/>
      <c r="P33" s="42"/>
      <c r="Q33" s="42"/>
      <c r="R33" s="134"/>
      <c r="S33" s="69"/>
      <c r="T33" s="42"/>
      <c r="U33" s="41"/>
      <c r="V33" s="133"/>
      <c r="W33" s="69"/>
      <c r="X33" s="42"/>
      <c r="Y33" s="41"/>
      <c r="Z33" s="134"/>
      <c r="AA33" s="69"/>
      <c r="AB33" s="41"/>
      <c r="AC33" s="42"/>
      <c r="AD33" s="134"/>
      <c r="AE33" s="67"/>
      <c r="AF33" s="41"/>
      <c r="AG33" s="41"/>
      <c r="AH33" s="133"/>
      <c r="AI33" s="67"/>
      <c r="AJ33" s="42"/>
      <c r="AK33" s="41"/>
      <c r="AL33" s="134"/>
      <c r="AM33" s="67"/>
      <c r="AN33" s="42"/>
      <c r="AO33" s="42"/>
      <c r="AP33" s="133"/>
      <c r="AQ33" s="67"/>
      <c r="AR33" s="42"/>
      <c r="AS33" s="42"/>
    </row>
    <row r="34" spans="1:45" x14ac:dyDescent="0.2">
      <c r="A34" s="42"/>
      <c r="B34" s="133"/>
      <c r="C34" s="67"/>
      <c r="D34" s="42"/>
      <c r="E34" s="42"/>
      <c r="F34" s="134"/>
      <c r="G34" s="69"/>
      <c r="H34" s="42"/>
      <c r="I34" s="41"/>
      <c r="J34" s="133"/>
      <c r="K34" s="69"/>
      <c r="L34" s="41"/>
      <c r="M34" s="42"/>
      <c r="N34" s="133"/>
      <c r="O34" s="67"/>
      <c r="P34" s="42"/>
      <c r="Q34" s="42"/>
      <c r="R34" s="134"/>
      <c r="S34" s="69"/>
      <c r="T34" s="42"/>
      <c r="U34" s="41"/>
      <c r="V34" s="133"/>
      <c r="W34" s="69"/>
      <c r="X34" s="42"/>
      <c r="Y34" s="41"/>
      <c r="Z34" s="134"/>
      <c r="AA34" s="69"/>
      <c r="AB34" s="41"/>
      <c r="AC34" s="42"/>
      <c r="AD34" s="134"/>
      <c r="AE34" s="67"/>
      <c r="AF34" s="41"/>
      <c r="AG34" s="41"/>
      <c r="AH34" s="133"/>
      <c r="AI34" s="67"/>
      <c r="AJ34" s="42"/>
      <c r="AK34" s="41"/>
      <c r="AL34" s="134"/>
      <c r="AM34" s="67"/>
      <c r="AN34" s="42"/>
      <c r="AO34" s="42"/>
      <c r="AP34" s="133"/>
      <c r="AQ34" s="67"/>
      <c r="AR34" s="42"/>
      <c r="AS34" s="42"/>
    </row>
    <row r="35" spans="1:45" x14ac:dyDescent="0.2">
      <c r="A35" s="42"/>
      <c r="B35" s="133"/>
      <c r="C35" s="67"/>
      <c r="D35" s="42"/>
      <c r="E35" s="42"/>
      <c r="F35" s="134"/>
      <c r="G35" s="69"/>
      <c r="H35" s="42"/>
      <c r="I35" s="41"/>
      <c r="J35" s="133"/>
      <c r="K35" s="69"/>
      <c r="L35" s="41"/>
      <c r="M35" s="42"/>
      <c r="N35" s="133"/>
      <c r="O35" s="67"/>
      <c r="P35" s="42"/>
      <c r="Q35" s="42"/>
      <c r="R35" s="134"/>
      <c r="S35" s="69"/>
      <c r="T35" s="42"/>
      <c r="U35" s="41"/>
      <c r="V35" s="133"/>
      <c r="W35" s="69"/>
      <c r="X35" s="42"/>
      <c r="Y35" s="41"/>
      <c r="Z35" s="134"/>
      <c r="AA35" s="69"/>
      <c r="AB35" s="41"/>
      <c r="AC35" s="42"/>
      <c r="AD35" s="134"/>
      <c r="AE35" s="67"/>
      <c r="AF35" s="41"/>
      <c r="AG35" s="41"/>
      <c r="AH35" s="133"/>
      <c r="AI35" s="67"/>
      <c r="AJ35" s="42"/>
      <c r="AK35" s="41"/>
      <c r="AL35" s="134"/>
      <c r="AM35" s="67"/>
      <c r="AN35" s="42"/>
      <c r="AO35" s="42"/>
      <c r="AP35" s="133"/>
      <c r="AQ35" s="67"/>
      <c r="AR35" s="42"/>
      <c r="AS35" s="42"/>
    </row>
    <row r="36" spans="1:45" x14ac:dyDescent="0.2">
      <c r="A36" s="42"/>
      <c r="B36" s="133"/>
      <c r="C36" s="67"/>
      <c r="D36" s="42"/>
      <c r="E36" s="42"/>
      <c r="F36" s="134"/>
      <c r="G36" s="69"/>
      <c r="H36" s="42"/>
      <c r="I36" s="41"/>
      <c r="J36" s="133"/>
      <c r="K36" s="69"/>
      <c r="L36" s="41"/>
      <c r="M36" s="42"/>
      <c r="N36" s="133"/>
      <c r="O36" s="67"/>
      <c r="P36" s="42"/>
      <c r="Q36" s="42"/>
      <c r="R36" s="134"/>
      <c r="S36" s="69"/>
      <c r="T36" s="42"/>
      <c r="U36" s="41"/>
      <c r="V36" s="133"/>
      <c r="W36" s="69"/>
      <c r="X36" s="42"/>
      <c r="Y36" s="41"/>
      <c r="Z36" s="134"/>
      <c r="AA36" s="69"/>
      <c r="AB36" s="41"/>
      <c r="AC36" s="42"/>
      <c r="AD36" s="134"/>
      <c r="AE36" s="67"/>
      <c r="AF36" s="41"/>
      <c r="AG36" s="41"/>
      <c r="AH36" s="133"/>
      <c r="AI36" s="67"/>
      <c r="AJ36" s="42"/>
      <c r="AK36" s="41"/>
      <c r="AL36" s="134"/>
      <c r="AM36" s="67"/>
      <c r="AN36" s="42"/>
      <c r="AO36" s="42"/>
      <c r="AP36" s="133"/>
      <c r="AQ36" s="67"/>
      <c r="AR36" s="42"/>
      <c r="AS36" s="42"/>
    </row>
    <row r="37" spans="1:45" x14ac:dyDescent="0.2">
      <c r="A37" s="42"/>
      <c r="B37" s="133"/>
      <c r="C37" s="67"/>
      <c r="D37" s="42"/>
      <c r="E37" s="42"/>
      <c r="F37" s="134"/>
      <c r="G37" s="69"/>
      <c r="H37" s="42"/>
      <c r="I37" s="41"/>
      <c r="J37" s="133"/>
      <c r="K37" s="69"/>
      <c r="L37" s="41"/>
      <c r="M37" s="42"/>
      <c r="N37" s="133"/>
      <c r="O37" s="67"/>
      <c r="P37" s="42"/>
      <c r="Q37" s="42"/>
      <c r="R37" s="134"/>
      <c r="S37" s="69"/>
      <c r="T37" s="42"/>
      <c r="U37" s="41"/>
      <c r="V37" s="133"/>
      <c r="W37" s="69"/>
      <c r="X37" s="42"/>
      <c r="Y37" s="41"/>
      <c r="Z37" s="134"/>
      <c r="AA37" s="69"/>
      <c r="AB37" s="41"/>
      <c r="AC37" s="42"/>
      <c r="AD37" s="134"/>
      <c r="AE37" s="67"/>
      <c r="AF37" s="41"/>
      <c r="AG37" s="41"/>
      <c r="AH37" s="133"/>
      <c r="AI37" s="67"/>
      <c r="AJ37" s="42"/>
      <c r="AK37" s="41"/>
      <c r="AL37" s="134"/>
      <c r="AM37" s="67"/>
      <c r="AN37" s="42"/>
      <c r="AO37" s="42"/>
      <c r="AP37" s="133"/>
      <c r="AQ37" s="67"/>
      <c r="AR37" s="42"/>
      <c r="AS37" s="42"/>
    </row>
    <row r="38" spans="1:45" x14ac:dyDescent="0.2">
      <c r="A38" s="42"/>
      <c r="B38" s="133"/>
      <c r="C38" s="67"/>
      <c r="D38" s="42"/>
      <c r="E38" s="42"/>
      <c r="F38" s="134"/>
      <c r="G38" s="69"/>
      <c r="H38" s="42"/>
      <c r="I38" s="41"/>
      <c r="J38" s="133"/>
      <c r="K38" s="69"/>
      <c r="L38" s="41"/>
      <c r="M38" s="42"/>
      <c r="N38" s="133"/>
      <c r="O38" s="67"/>
      <c r="P38" s="42"/>
      <c r="Q38" s="42"/>
      <c r="R38" s="134"/>
      <c r="S38" s="69"/>
      <c r="T38" s="42"/>
      <c r="U38" s="41"/>
      <c r="V38" s="133"/>
      <c r="W38" s="69"/>
      <c r="X38" s="42"/>
      <c r="Y38" s="41"/>
      <c r="Z38" s="134"/>
      <c r="AA38" s="69"/>
      <c r="AB38" s="41"/>
      <c r="AC38" s="42"/>
      <c r="AD38" s="134"/>
      <c r="AE38" s="67"/>
      <c r="AF38" s="41"/>
      <c r="AG38" s="41"/>
      <c r="AH38" s="133"/>
      <c r="AI38" s="67"/>
      <c r="AJ38" s="42"/>
      <c r="AK38" s="41"/>
      <c r="AL38" s="134"/>
      <c r="AM38" s="67"/>
      <c r="AN38" s="42"/>
      <c r="AO38" s="42"/>
      <c r="AP38" s="133"/>
      <c r="AQ38" s="67"/>
      <c r="AR38" s="42"/>
      <c r="AS38" s="42"/>
    </row>
    <row r="39" spans="1:45" x14ac:dyDescent="0.2">
      <c r="A39" s="42"/>
      <c r="B39" s="133"/>
      <c r="C39" s="67"/>
      <c r="D39" s="42"/>
      <c r="E39" s="42"/>
      <c r="F39" s="134"/>
      <c r="G39" s="69"/>
      <c r="H39" s="42"/>
      <c r="I39" s="41"/>
      <c r="J39" s="133"/>
      <c r="K39" s="69"/>
      <c r="L39" s="41"/>
      <c r="M39" s="42"/>
      <c r="N39" s="133"/>
      <c r="O39" s="67"/>
      <c r="P39" s="42"/>
      <c r="Q39" s="42"/>
      <c r="R39" s="134"/>
      <c r="S39" s="69"/>
      <c r="T39" s="42"/>
      <c r="U39" s="41"/>
      <c r="V39" s="133"/>
      <c r="W39" s="69"/>
      <c r="X39" s="42"/>
      <c r="Y39" s="41"/>
      <c r="Z39" s="134"/>
      <c r="AA39" s="69"/>
      <c r="AB39" s="41"/>
      <c r="AC39" s="42"/>
      <c r="AD39" s="134"/>
      <c r="AE39" s="67"/>
      <c r="AF39" s="41"/>
      <c r="AG39" s="41"/>
      <c r="AH39" s="133"/>
      <c r="AI39" s="67"/>
      <c r="AJ39" s="42"/>
      <c r="AK39" s="41"/>
      <c r="AL39" s="134"/>
      <c r="AM39" s="67"/>
      <c r="AN39" s="42"/>
      <c r="AO39" s="42"/>
      <c r="AP39" s="133"/>
      <c r="AQ39" s="67"/>
      <c r="AR39" s="42"/>
      <c r="AS39" s="42"/>
    </row>
    <row r="40" spans="1:45" x14ac:dyDescent="0.2">
      <c r="A40" s="42"/>
      <c r="B40" s="133"/>
      <c r="C40" s="67"/>
      <c r="D40" s="42"/>
      <c r="E40" s="42"/>
      <c r="F40" s="134"/>
      <c r="G40" s="69"/>
      <c r="H40" s="42"/>
      <c r="I40" s="41"/>
      <c r="J40" s="133"/>
      <c r="K40" s="69"/>
      <c r="L40" s="41"/>
      <c r="M40" s="42"/>
      <c r="N40" s="133"/>
      <c r="O40" s="67"/>
      <c r="P40" s="42"/>
      <c r="Q40" s="42"/>
      <c r="R40" s="134"/>
      <c r="S40" s="69"/>
      <c r="T40" s="42"/>
      <c r="U40" s="41"/>
      <c r="V40" s="133"/>
      <c r="W40" s="69"/>
      <c r="X40" s="42"/>
      <c r="Y40" s="41"/>
      <c r="Z40" s="134"/>
      <c r="AA40" s="69"/>
      <c r="AB40" s="41"/>
      <c r="AC40" s="42"/>
      <c r="AD40" s="134"/>
      <c r="AE40" s="67"/>
      <c r="AF40" s="41"/>
      <c r="AG40" s="41"/>
      <c r="AH40" s="133"/>
      <c r="AI40" s="67"/>
      <c r="AJ40" s="42"/>
      <c r="AK40" s="41"/>
      <c r="AL40" s="134"/>
      <c r="AM40" s="67"/>
      <c r="AN40" s="42"/>
      <c r="AO40" s="42"/>
      <c r="AP40" s="133"/>
      <c r="AQ40" s="67"/>
      <c r="AR40" s="42"/>
      <c r="AS40" s="42"/>
    </row>
    <row r="41" spans="1:45" x14ac:dyDescent="0.2">
      <c r="A41" s="42"/>
      <c r="B41" s="133"/>
      <c r="C41" s="67"/>
      <c r="D41" s="42"/>
      <c r="E41" s="42"/>
      <c r="F41" s="134"/>
      <c r="G41" s="69"/>
      <c r="H41" s="42"/>
      <c r="I41" s="41"/>
      <c r="J41" s="133"/>
      <c r="K41" s="69"/>
      <c r="L41" s="41"/>
      <c r="M41" s="42"/>
      <c r="N41" s="133"/>
      <c r="O41" s="67"/>
      <c r="P41" s="42"/>
      <c r="Q41" s="42"/>
      <c r="R41" s="134"/>
      <c r="S41" s="69"/>
      <c r="T41" s="42"/>
      <c r="U41" s="41"/>
      <c r="V41" s="133"/>
      <c r="W41" s="69"/>
      <c r="X41" s="42"/>
      <c r="Y41" s="41"/>
      <c r="Z41" s="134"/>
      <c r="AA41" s="69"/>
      <c r="AB41" s="41"/>
      <c r="AC41" s="42"/>
      <c r="AD41" s="134"/>
      <c r="AE41" s="67"/>
      <c r="AF41" s="41"/>
      <c r="AG41" s="41"/>
      <c r="AH41" s="133"/>
      <c r="AI41" s="67"/>
      <c r="AJ41" s="42"/>
      <c r="AK41" s="41"/>
      <c r="AL41" s="134"/>
      <c r="AM41" s="67"/>
      <c r="AN41" s="42"/>
      <c r="AO41" s="42"/>
      <c r="AP41" s="133"/>
      <c r="AQ41" s="67"/>
      <c r="AR41" s="42"/>
      <c r="AS41" s="42"/>
    </row>
    <row r="42" spans="1:45" x14ac:dyDescent="0.2">
      <c r="A42" s="42"/>
      <c r="B42" s="133"/>
      <c r="C42" s="67"/>
      <c r="D42" s="42"/>
      <c r="E42" s="42"/>
      <c r="F42" s="134"/>
      <c r="G42" s="69"/>
      <c r="H42" s="42"/>
      <c r="I42" s="41"/>
      <c r="J42" s="133"/>
      <c r="K42" s="69"/>
      <c r="L42" s="41"/>
      <c r="M42" s="42"/>
      <c r="N42" s="133"/>
      <c r="O42" s="67"/>
      <c r="P42" s="42"/>
      <c r="Q42" s="42"/>
      <c r="R42" s="134"/>
      <c r="S42" s="69"/>
      <c r="T42" s="42"/>
      <c r="U42" s="41"/>
      <c r="V42" s="133"/>
      <c r="W42" s="69"/>
      <c r="X42" s="42"/>
      <c r="Y42" s="41"/>
      <c r="Z42" s="134"/>
      <c r="AA42" s="69"/>
      <c r="AB42" s="41"/>
      <c r="AC42" s="42"/>
      <c r="AD42" s="134"/>
      <c r="AE42" s="67"/>
      <c r="AF42" s="41"/>
      <c r="AG42" s="41"/>
      <c r="AH42" s="133"/>
      <c r="AI42" s="67"/>
      <c r="AJ42" s="42"/>
      <c r="AK42" s="41"/>
      <c r="AL42" s="134"/>
      <c r="AM42" s="67"/>
      <c r="AN42" s="42"/>
      <c r="AO42" s="42"/>
      <c r="AP42" s="133"/>
      <c r="AQ42" s="67"/>
      <c r="AR42" s="42"/>
      <c r="AS42" s="42"/>
    </row>
    <row r="43" spans="1:45" x14ac:dyDescent="0.2">
      <c r="A43" s="42"/>
      <c r="B43" s="133"/>
      <c r="C43" s="67"/>
      <c r="D43" s="42"/>
      <c r="E43" s="42"/>
      <c r="F43" s="134"/>
      <c r="G43" s="69"/>
      <c r="H43" s="42"/>
      <c r="I43" s="41"/>
      <c r="J43" s="133"/>
      <c r="K43" s="69"/>
      <c r="L43" s="41"/>
      <c r="M43" s="42"/>
      <c r="N43" s="133"/>
      <c r="O43" s="67"/>
      <c r="P43" s="42"/>
      <c r="Q43" s="42"/>
      <c r="R43" s="134"/>
      <c r="S43" s="69"/>
      <c r="T43" s="42"/>
      <c r="U43" s="41"/>
      <c r="V43" s="133"/>
      <c r="W43" s="69"/>
      <c r="X43" s="42"/>
      <c r="Y43" s="41"/>
      <c r="Z43" s="134"/>
      <c r="AA43" s="69"/>
      <c r="AB43" s="41"/>
      <c r="AC43" s="42"/>
      <c r="AD43" s="134"/>
      <c r="AE43" s="67"/>
      <c r="AF43" s="41"/>
      <c r="AG43" s="41"/>
      <c r="AH43" s="133"/>
      <c r="AI43" s="67"/>
      <c r="AJ43" s="42"/>
      <c r="AK43" s="41"/>
      <c r="AL43" s="134"/>
      <c r="AM43" s="67"/>
      <c r="AN43" s="42"/>
      <c r="AO43" s="42"/>
      <c r="AP43" s="133"/>
      <c r="AQ43" s="67"/>
      <c r="AR43" s="42"/>
      <c r="AS43" s="42"/>
    </row>
    <row r="44" spans="1:45" x14ac:dyDescent="0.2">
      <c r="A44" s="42"/>
      <c r="B44" s="133"/>
      <c r="C44" s="67"/>
      <c r="D44" s="42"/>
      <c r="E44" s="42"/>
      <c r="F44" s="134"/>
      <c r="G44" s="69"/>
      <c r="H44" s="42"/>
      <c r="I44" s="41"/>
      <c r="J44" s="133"/>
      <c r="K44" s="69"/>
      <c r="L44" s="41"/>
      <c r="M44" s="42"/>
      <c r="N44" s="133"/>
      <c r="O44" s="67"/>
      <c r="P44" s="42"/>
      <c r="Q44" s="42"/>
      <c r="R44" s="134"/>
      <c r="S44" s="69"/>
      <c r="T44" s="42"/>
      <c r="U44" s="41"/>
      <c r="V44" s="133"/>
      <c r="W44" s="69"/>
      <c r="X44" s="42"/>
      <c r="Y44" s="41"/>
      <c r="Z44" s="134"/>
      <c r="AA44" s="69"/>
      <c r="AB44" s="41"/>
      <c r="AC44" s="42"/>
      <c r="AD44" s="134"/>
      <c r="AE44" s="67"/>
      <c r="AF44" s="41"/>
      <c r="AG44" s="41"/>
      <c r="AH44" s="133"/>
      <c r="AI44" s="67"/>
      <c r="AJ44" s="42"/>
      <c r="AK44" s="41"/>
      <c r="AL44" s="134"/>
      <c r="AM44" s="67"/>
      <c r="AN44" s="42"/>
      <c r="AO44" s="42"/>
      <c r="AP44" s="133"/>
      <c r="AQ44" s="67"/>
      <c r="AR44" s="42"/>
      <c r="AS44" s="42"/>
    </row>
    <row r="45" spans="1:45" x14ac:dyDescent="0.2">
      <c r="A45" s="42"/>
      <c r="B45" s="133"/>
      <c r="C45" s="67"/>
      <c r="D45" s="42"/>
      <c r="E45" s="42"/>
      <c r="F45" s="134"/>
      <c r="G45" s="69"/>
      <c r="H45" s="42"/>
      <c r="I45" s="41"/>
      <c r="J45" s="133"/>
      <c r="K45" s="69"/>
      <c r="L45" s="41"/>
      <c r="M45" s="42"/>
      <c r="N45" s="133"/>
      <c r="O45" s="67"/>
      <c r="P45" s="42"/>
      <c r="Q45" s="42"/>
      <c r="R45" s="134"/>
      <c r="S45" s="69"/>
      <c r="T45" s="42"/>
      <c r="U45" s="41"/>
      <c r="V45" s="133"/>
      <c r="W45" s="69"/>
      <c r="X45" s="42"/>
      <c r="Y45" s="41"/>
      <c r="Z45" s="134"/>
      <c r="AA45" s="69"/>
      <c r="AB45" s="41"/>
      <c r="AC45" s="42"/>
      <c r="AD45" s="134"/>
      <c r="AE45" s="67"/>
      <c r="AF45" s="41"/>
      <c r="AG45" s="41"/>
      <c r="AH45" s="133"/>
      <c r="AI45" s="67"/>
      <c r="AJ45" s="42"/>
      <c r="AK45" s="41"/>
      <c r="AL45" s="134"/>
      <c r="AM45" s="67"/>
      <c r="AN45" s="42"/>
      <c r="AO45" s="42"/>
      <c r="AP45" s="133"/>
      <c r="AQ45" s="67"/>
      <c r="AR45" s="42"/>
      <c r="AS45" s="42"/>
    </row>
    <row r="46" spans="1:45" x14ac:dyDescent="0.2">
      <c r="A46" s="42"/>
      <c r="B46" s="133"/>
      <c r="C46" s="67"/>
      <c r="D46" s="42"/>
      <c r="E46" s="42"/>
      <c r="F46" s="134"/>
      <c r="G46" s="69"/>
      <c r="H46" s="42"/>
      <c r="I46" s="41"/>
      <c r="J46" s="133"/>
      <c r="K46" s="69"/>
      <c r="L46" s="41"/>
      <c r="M46" s="42"/>
      <c r="N46" s="133"/>
      <c r="O46" s="67"/>
      <c r="P46" s="42"/>
      <c r="Q46" s="42"/>
      <c r="R46" s="134"/>
      <c r="S46" s="69"/>
      <c r="T46" s="42"/>
      <c r="U46" s="41"/>
      <c r="V46" s="133"/>
      <c r="W46" s="69"/>
      <c r="X46" s="42"/>
      <c r="Y46" s="41"/>
      <c r="Z46" s="134"/>
      <c r="AA46" s="69"/>
      <c r="AB46" s="41"/>
      <c r="AC46" s="42"/>
      <c r="AD46" s="134"/>
      <c r="AE46" s="67"/>
      <c r="AF46" s="41"/>
      <c r="AG46" s="41"/>
      <c r="AH46" s="133"/>
      <c r="AI46" s="67"/>
      <c r="AJ46" s="42"/>
      <c r="AK46" s="41"/>
      <c r="AL46" s="134"/>
      <c r="AM46" s="67"/>
      <c r="AN46" s="42"/>
      <c r="AO46" s="42"/>
      <c r="AP46" s="133"/>
      <c r="AQ46" s="67"/>
      <c r="AR46" s="42"/>
      <c r="AS46" s="42"/>
    </row>
    <row r="47" spans="1:45" x14ac:dyDescent="0.2">
      <c r="A47" s="42"/>
      <c r="B47" s="133"/>
      <c r="C47" s="67"/>
      <c r="D47" s="42"/>
      <c r="E47" s="42"/>
      <c r="F47" s="134"/>
      <c r="G47" s="69"/>
      <c r="H47" s="42"/>
      <c r="I47" s="41"/>
      <c r="J47" s="133"/>
      <c r="K47" s="69"/>
      <c r="L47" s="41"/>
      <c r="M47" s="42"/>
      <c r="N47" s="133"/>
      <c r="O47" s="67"/>
      <c r="P47" s="42"/>
      <c r="Q47" s="42"/>
      <c r="R47" s="134"/>
      <c r="S47" s="69"/>
      <c r="T47" s="42"/>
      <c r="U47" s="41"/>
      <c r="V47" s="133"/>
      <c r="W47" s="69"/>
      <c r="X47" s="42"/>
      <c r="Y47" s="41"/>
      <c r="Z47" s="134"/>
      <c r="AA47" s="69"/>
      <c r="AB47" s="41"/>
      <c r="AC47" s="42"/>
      <c r="AD47" s="134"/>
      <c r="AE47" s="67"/>
      <c r="AF47" s="41"/>
      <c r="AG47" s="41"/>
      <c r="AH47" s="133"/>
      <c r="AI47" s="67"/>
      <c r="AJ47" s="42"/>
      <c r="AK47" s="41"/>
      <c r="AL47" s="134"/>
      <c r="AM47" s="67"/>
      <c r="AN47" s="42"/>
      <c r="AO47" s="42"/>
      <c r="AP47" s="133"/>
      <c r="AQ47" s="67"/>
      <c r="AR47" s="42"/>
      <c r="AS47" s="42"/>
    </row>
    <row r="48" spans="1:45" x14ac:dyDescent="0.2">
      <c r="A48" s="42"/>
      <c r="B48" s="133"/>
      <c r="C48" s="67"/>
      <c r="D48" s="42"/>
      <c r="E48" s="42"/>
      <c r="F48" s="134"/>
      <c r="G48" s="69"/>
      <c r="H48" s="42"/>
      <c r="I48" s="41"/>
      <c r="J48" s="133"/>
      <c r="K48" s="69"/>
      <c r="L48" s="41"/>
      <c r="M48" s="42"/>
      <c r="N48" s="133"/>
      <c r="O48" s="67"/>
      <c r="P48" s="42"/>
      <c r="Q48" s="42"/>
      <c r="R48" s="134"/>
      <c r="S48" s="69"/>
      <c r="T48" s="42"/>
      <c r="U48" s="41"/>
      <c r="V48" s="133"/>
      <c r="W48" s="69"/>
      <c r="X48" s="42"/>
      <c r="Y48" s="41"/>
      <c r="Z48" s="134"/>
      <c r="AA48" s="69"/>
      <c r="AB48" s="41"/>
      <c r="AC48" s="42"/>
      <c r="AD48" s="134"/>
      <c r="AE48" s="67"/>
      <c r="AF48" s="41"/>
      <c r="AG48" s="41"/>
      <c r="AH48" s="133"/>
      <c r="AI48" s="67"/>
      <c r="AJ48" s="42"/>
      <c r="AK48" s="41"/>
      <c r="AL48" s="134"/>
      <c r="AM48" s="67"/>
      <c r="AN48" s="42"/>
      <c r="AO48" s="42"/>
      <c r="AP48" s="133"/>
      <c r="AQ48" s="67"/>
      <c r="AR48" s="42"/>
      <c r="AS48" s="42"/>
    </row>
    <row r="49" spans="1:45" x14ac:dyDescent="0.2">
      <c r="A49" s="42"/>
      <c r="B49" s="133"/>
      <c r="C49" s="67"/>
      <c r="D49" s="42"/>
      <c r="E49" s="42"/>
      <c r="F49" s="134"/>
      <c r="G49" s="69"/>
      <c r="H49" s="42"/>
      <c r="I49" s="41"/>
      <c r="J49" s="133"/>
      <c r="K49" s="69"/>
      <c r="L49" s="41"/>
      <c r="M49" s="42"/>
      <c r="N49" s="133"/>
      <c r="O49" s="67"/>
      <c r="P49" s="42"/>
      <c r="Q49" s="42"/>
      <c r="R49" s="134"/>
      <c r="S49" s="69"/>
      <c r="T49" s="42"/>
      <c r="U49" s="41"/>
      <c r="V49" s="133"/>
      <c r="W49" s="69"/>
      <c r="X49" s="42"/>
      <c r="Y49" s="41"/>
      <c r="Z49" s="134"/>
      <c r="AA49" s="69"/>
      <c r="AB49" s="41"/>
      <c r="AC49" s="42"/>
      <c r="AD49" s="134"/>
      <c r="AE49" s="67"/>
      <c r="AF49" s="41"/>
      <c r="AG49" s="41"/>
      <c r="AH49" s="133"/>
      <c r="AI49" s="67"/>
      <c r="AJ49" s="42"/>
      <c r="AK49" s="41"/>
      <c r="AL49" s="134"/>
      <c r="AM49" s="67"/>
      <c r="AN49" s="42"/>
      <c r="AO49" s="42"/>
      <c r="AP49" s="133"/>
      <c r="AQ49" s="67"/>
      <c r="AR49" s="42"/>
      <c r="AS49" s="42"/>
    </row>
    <row r="50" spans="1:45" x14ac:dyDescent="0.2">
      <c r="A50" s="42"/>
      <c r="B50" s="133"/>
      <c r="C50" s="67"/>
      <c r="D50" s="42"/>
      <c r="E50" s="42"/>
      <c r="F50" s="134"/>
      <c r="G50" s="69"/>
      <c r="H50" s="42"/>
      <c r="I50" s="41"/>
      <c r="J50" s="133"/>
      <c r="K50" s="69"/>
      <c r="L50" s="41"/>
      <c r="M50" s="42"/>
      <c r="N50" s="133"/>
      <c r="O50" s="67"/>
      <c r="P50" s="42"/>
      <c r="Q50" s="42"/>
      <c r="R50" s="134"/>
      <c r="S50" s="69"/>
      <c r="T50" s="42"/>
      <c r="U50" s="41"/>
      <c r="V50" s="133"/>
      <c r="W50" s="69"/>
      <c r="X50" s="42"/>
      <c r="Y50" s="41"/>
      <c r="Z50" s="134"/>
      <c r="AA50" s="69"/>
      <c r="AB50" s="41"/>
      <c r="AC50" s="42"/>
      <c r="AD50" s="134"/>
      <c r="AE50" s="67"/>
      <c r="AF50" s="41"/>
      <c r="AG50" s="41"/>
      <c r="AH50" s="133"/>
      <c r="AI50" s="67"/>
      <c r="AJ50" s="42"/>
      <c r="AK50" s="41"/>
      <c r="AL50" s="134"/>
      <c r="AM50" s="67"/>
      <c r="AN50" s="42"/>
      <c r="AO50" s="42"/>
      <c r="AP50" s="133"/>
      <c r="AQ50" s="67"/>
      <c r="AR50" s="42"/>
      <c r="AS50" s="42"/>
    </row>
    <row r="51" spans="1:45" x14ac:dyDescent="0.2">
      <c r="A51" s="42"/>
      <c r="B51" s="133"/>
      <c r="C51" s="67"/>
      <c r="D51" s="42"/>
      <c r="E51" s="42"/>
      <c r="F51" s="134"/>
      <c r="G51" s="69"/>
      <c r="H51" s="42"/>
      <c r="I51" s="41"/>
      <c r="J51" s="133"/>
      <c r="K51" s="69"/>
      <c r="L51" s="41"/>
      <c r="M51" s="42"/>
      <c r="N51" s="133"/>
      <c r="O51" s="67"/>
      <c r="P51" s="42"/>
      <c r="Q51" s="42"/>
      <c r="R51" s="134"/>
      <c r="S51" s="69"/>
      <c r="T51" s="42"/>
      <c r="U51" s="41"/>
      <c r="V51" s="133"/>
      <c r="W51" s="69"/>
      <c r="X51" s="42"/>
      <c r="Y51" s="41"/>
      <c r="Z51" s="134"/>
      <c r="AA51" s="69"/>
      <c r="AB51" s="41"/>
      <c r="AC51" s="42"/>
      <c r="AD51" s="134"/>
      <c r="AE51" s="67"/>
      <c r="AF51" s="41"/>
      <c r="AG51" s="41"/>
      <c r="AH51" s="133"/>
      <c r="AI51" s="67"/>
      <c r="AJ51" s="42"/>
      <c r="AK51" s="41"/>
      <c r="AL51" s="134"/>
      <c r="AM51" s="67"/>
      <c r="AN51" s="42"/>
      <c r="AO51" s="42"/>
      <c r="AP51" s="133"/>
      <c r="AQ51" s="67"/>
      <c r="AR51" s="42"/>
      <c r="AS51" s="42"/>
    </row>
    <row r="52" spans="1:45" x14ac:dyDescent="0.2">
      <c r="A52" s="42"/>
      <c r="B52" s="133"/>
      <c r="C52" s="67"/>
      <c r="D52" s="42"/>
      <c r="E52" s="42"/>
      <c r="F52" s="134"/>
      <c r="G52" s="69"/>
      <c r="H52" s="42"/>
      <c r="I52" s="41"/>
      <c r="J52" s="133"/>
      <c r="K52" s="69"/>
      <c r="L52" s="41"/>
      <c r="M52" s="42"/>
      <c r="N52" s="133"/>
      <c r="O52" s="67"/>
      <c r="P52" s="42"/>
      <c r="Q52" s="42"/>
      <c r="R52" s="134"/>
      <c r="S52" s="69"/>
      <c r="T52" s="42"/>
      <c r="U52" s="41"/>
      <c r="V52" s="133"/>
      <c r="W52" s="69"/>
      <c r="X52" s="42"/>
      <c r="Y52" s="41"/>
      <c r="Z52" s="134"/>
      <c r="AA52" s="69"/>
      <c r="AB52" s="41"/>
      <c r="AC52" s="42"/>
      <c r="AD52" s="134"/>
      <c r="AE52" s="67"/>
      <c r="AF52" s="41"/>
      <c r="AG52" s="41"/>
      <c r="AH52" s="133"/>
      <c r="AI52" s="67"/>
      <c r="AJ52" s="42"/>
      <c r="AK52" s="41"/>
      <c r="AL52" s="134"/>
      <c r="AM52" s="67"/>
      <c r="AN52" s="42"/>
      <c r="AO52" s="42"/>
      <c r="AP52" s="133"/>
      <c r="AQ52" s="67"/>
      <c r="AR52" s="42"/>
      <c r="AS52" s="42"/>
    </row>
    <row r="53" spans="1:45" x14ac:dyDescent="0.2">
      <c r="A53" s="42"/>
      <c r="B53" s="133"/>
      <c r="C53" s="67"/>
      <c r="D53" s="42"/>
      <c r="E53" s="42"/>
      <c r="F53" s="134"/>
      <c r="G53" s="69"/>
      <c r="H53" s="42"/>
      <c r="I53" s="41"/>
      <c r="J53" s="133"/>
      <c r="K53" s="69"/>
      <c r="L53" s="41"/>
      <c r="M53" s="42"/>
      <c r="N53" s="133"/>
      <c r="O53" s="67"/>
      <c r="P53" s="42"/>
      <c r="Q53" s="42"/>
      <c r="R53" s="134"/>
      <c r="S53" s="69"/>
      <c r="T53" s="42"/>
      <c r="U53" s="41"/>
      <c r="V53" s="133"/>
      <c r="W53" s="69"/>
      <c r="X53" s="42"/>
      <c r="Y53" s="41"/>
      <c r="Z53" s="134"/>
      <c r="AA53" s="69"/>
      <c r="AB53" s="41"/>
      <c r="AC53" s="42"/>
      <c r="AD53" s="134"/>
      <c r="AE53" s="67"/>
      <c r="AF53" s="41"/>
      <c r="AG53" s="41"/>
      <c r="AH53" s="133"/>
      <c r="AI53" s="67"/>
      <c r="AJ53" s="42"/>
      <c r="AK53" s="41"/>
      <c r="AL53" s="134"/>
      <c r="AM53" s="67"/>
      <c r="AN53" s="42"/>
      <c r="AO53" s="42"/>
      <c r="AP53" s="133"/>
      <c r="AQ53" s="67"/>
      <c r="AR53" s="42"/>
      <c r="AS53" s="42"/>
    </row>
    <row r="54" spans="1:45" x14ac:dyDescent="0.2">
      <c r="A54" s="42"/>
      <c r="B54" s="133"/>
      <c r="C54" s="67"/>
      <c r="D54" s="42"/>
      <c r="E54" s="42"/>
      <c r="F54" s="134"/>
      <c r="G54" s="69"/>
      <c r="H54" s="42"/>
      <c r="I54" s="41"/>
      <c r="J54" s="133"/>
      <c r="K54" s="69"/>
      <c r="L54" s="41"/>
      <c r="M54" s="42"/>
      <c r="N54" s="133"/>
      <c r="O54" s="67"/>
      <c r="P54" s="42"/>
      <c r="Q54" s="42"/>
      <c r="R54" s="134"/>
      <c r="S54" s="69"/>
      <c r="T54" s="42"/>
      <c r="U54" s="41"/>
      <c r="V54" s="133"/>
      <c r="W54" s="69"/>
      <c r="X54" s="42"/>
      <c r="Y54" s="41"/>
      <c r="Z54" s="134"/>
      <c r="AA54" s="69"/>
      <c r="AB54" s="41"/>
      <c r="AC54" s="42"/>
      <c r="AD54" s="134"/>
      <c r="AE54" s="67"/>
      <c r="AF54" s="41"/>
      <c r="AG54" s="41"/>
      <c r="AH54" s="133"/>
      <c r="AI54" s="67"/>
      <c r="AJ54" s="42"/>
      <c r="AK54" s="41"/>
      <c r="AL54" s="134"/>
      <c r="AM54" s="67"/>
      <c r="AN54" s="42"/>
      <c r="AO54" s="42"/>
      <c r="AP54" s="133"/>
      <c r="AQ54" s="67"/>
      <c r="AR54" s="42"/>
      <c r="AS54" s="42"/>
    </row>
    <row r="55" spans="1:45" x14ac:dyDescent="0.2">
      <c r="A55" s="42"/>
      <c r="B55" s="133"/>
      <c r="C55" s="67"/>
      <c r="D55" s="42"/>
      <c r="E55" s="42"/>
      <c r="F55" s="134"/>
      <c r="G55" s="69"/>
      <c r="H55" s="42"/>
      <c r="I55" s="41"/>
      <c r="J55" s="133"/>
      <c r="K55" s="69"/>
      <c r="L55" s="41"/>
      <c r="M55" s="42"/>
      <c r="N55" s="133"/>
      <c r="O55" s="67"/>
      <c r="P55" s="42"/>
      <c r="Q55" s="42"/>
      <c r="R55" s="134"/>
      <c r="S55" s="69"/>
      <c r="T55" s="42"/>
      <c r="U55" s="41"/>
      <c r="V55" s="133"/>
      <c r="W55" s="69"/>
      <c r="X55" s="42"/>
      <c r="Y55" s="41"/>
      <c r="Z55" s="134"/>
      <c r="AA55" s="69"/>
      <c r="AB55" s="41"/>
      <c r="AC55" s="42"/>
      <c r="AD55" s="134"/>
      <c r="AE55" s="67"/>
      <c r="AF55" s="41"/>
      <c r="AG55" s="41"/>
      <c r="AH55" s="133"/>
      <c r="AI55" s="67"/>
      <c r="AJ55" s="42"/>
      <c r="AK55" s="41"/>
      <c r="AL55" s="134"/>
      <c r="AM55" s="67"/>
      <c r="AN55" s="42"/>
      <c r="AO55" s="42"/>
      <c r="AP55" s="133"/>
      <c r="AQ55" s="67"/>
      <c r="AR55" s="42"/>
      <c r="AS55" s="42"/>
    </row>
    <row r="56" spans="1:45" x14ac:dyDescent="0.2">
      <c r="A56" s="42"/>
      <c r="B56" s="133"/>
      <c r="C56" s="67"/>
      <c r="D56" s="42"/>
      <c r="E56" s="42"/>
      <c r="F56" s="134"/>
      <c r="G56" s="69"/>
      <c r="H56" s="42"/>
      <c r="I56" s="41"/>
      <c r="J56" s="133"/>
      <c r="K56" s="69"/>
      <c r="L56" s="41"/>
      <c r="M56" s="42"/>
      <c r="N56" s="133"/>
      <c r="O56" s="67"/>
      <c r="P56" s="42"/>
      <c r="Q56" s="42"/>
      <c r="R56" s="134"/>
      <c r="S56" s="69"/>
      <c r="T56" s="42"/>
      <c r="U56" s="41"/>
      <c r="V56" s="133"/>
      <c r="W56" s="69"/>
      <c r="X56" s="42"/>
      <c r="Y56" s="41"/>
      <c r="Z56" s="134"/>
      <c r="AA56" s="69"/>
      <c r="AB56" s="41"/>
      <c r="AC56" s="42"/>
      <c r="AD56" s="134"/>
      <c r="AE56" s="67"/>
      <c r="AF56" s="41"/>
      <c r="AG56" s="41"/>
      <c r="AH56" s="133"/>
      <c r="AI56" s="67"/>
      <c r="AJ56" s="42"/>
      <c r="AK56" s="41"/>
      <c r="AL56" s="134"/>
      <c r="AM56" s="67"/>
      <c r="AN56" s="42"/>
      <c r="AO56" s="42"/>
      <c r="AP56" s="133"/>
      <c r="AQ56" s="67"/>
      <c r="AR56" s="42"/>
      <c r="AS56" s="42"/>
    </row>
    <row r="57" spans="1:45" x14ac:dyDescent="0.2">
      <c r="A57" s="42"/>
      <c r="B57" s="133"/>
      <c r="C57" s="67"/>
      <c r="D57" s="42"/>
      <c r="E57" s="42"/>
      <c r="F57" s="134"/>
      <c r="G57" s="69"/>
      <c r="H57" s="42"/>
      <c r="I57" s="41"/>
      <c r="J57" s="133"/>
      <c r="K57" s="69"/>
      <c r="L57" s="41"/>
      <c r="M57" s="42"/>
      <c r="N57" s="133"/>
      <c r="O57" s="67"/>
      <c r="P57" s="42"/>
      <c r="Q57" s="42"/>
      <c r="R57" s="134"/>
      <c r="S57" s="69"/>
      <c r="T57" s="42"/>
      <c r="U57" s="41"/>
      <c r="V57" s="133"/>
      <c r="W57" s="69"/>
      <c r="X57" s="42"/>
      <c r="Y57" s="41"/>
      <c r="Z57" s="134"/>
      <c r="AA57" s="69"/>
      <c r="AB57" s="41"/>
      <c r="AC57" s="42"/>
      <c r="AD57" s="134"/>
      <c r="AE57" s="67"/>
      <c r="AF57" s="41"/>
      <c r="AG57" s="41"/>
      <c r="AH57" s="133"/>
      <c r="AI57" s="67"/>
      <c r="AJ57" s="42"/>
      <c r="AK57" s="41"/>
      <c r="AL57" s="134"/>
      <c r="AM57" s="67"/>
      <c r="AN57" s="42"/>
      <c r="AO57" s="42"/>
      <c r="AP57" s="133"/>
      <c r="AQ57" s="67"/>
      <c r="AR57" s="42"/>
      <c r="AS57" s="42"/>
    </row>
    <row r="58" spans="1:45" x14ac:dyDescent="0.2">
      <c r="A58" s="42"/>
      <c r="B58" s="133"/>
      <c r="C58" s="67"/>
      <c r="D58" s="42"/>
      <c r="E58" s="42"/>
      <c r="F58" s="134"/>
      <c r="G58" s="69"/>
      <c r="H58" s="42"/>
      <c r="I58" s="41"/>
      <c r="J58" s="133"/>
      <c r="K58" s="69"/>
      <c r="L58" s="41"/>
      <c r="M58" s="42"/>
      <c r="N58" s="133"/>
      <c r="O58" s="67"/>
      <c r="P58" s="42"/>
      <c r="Q58" s="42"/>
      <c r="R58" s="134"/>
      <c r="S58" s="69"/>
      <c r="T58" s="42"/>
      <c r="U58" s="41"/>
      <c r="V58" s="133"/>
      <c r="W58" s="69"/>
      <c r="X58" s="42"/>
      <c r="Y58" s="41"/>
      <c r="Z58" s="134"/>
      <c r="AA58" s="69"/>
      <c r="AB58" s="41"/>
      <c r="AC58" s="42"/>
      <c r="AD58" s="134"/>
      <c r="AE58" s="67"/>
      <c r="AF58" s="41"/>
      <c r="AG58" s="41"/>
      <c r="AH58" s="133"/>
      <c r="AI58" s="67"/>
      <c r="AJ58" s="42"/>
      <c r="AK58" s="41"/>
      <c r="AL58" s="134"/>
      <c r="AM58" s="67"/>
      <c r="AN58" s="42"/>
      <c r="AO58" s="42"/>
      <c r="AP58" s="133"/>
      <c r="AQ58" s="67"/>
      <c r="AR58" s="42"/>
      <c r="AS58" s="42"/>
    </row>
    <row r="59" spans="1:45" x14ac:dyDescent="0.2">
      <c r="A59" s="42"/>
      <c r="B59" s="133"/>
      <c r="C59" s="67"/>
      <c r="D59" s="42"/>
      <c r="E59" s="42"/>
      <c r="F59" s="134"/>
      <c r="G59" s="69"/>
      <c r="H59" s="42"/>
      <c r="I59" s="41"/>
      <c r="J59" s="133"/>
      <c r="K59" s="69"/>
      <c r="L59" s="41"/>
      <c r="M59" s="42"/>
      <c r="N59" s="133"/>
      <c r="O59" s="67"/>
      <c r="P59" s="42"/>
      <c r="Q59" s="42"/>
      <c r="R59" s="134"/>
      <c r="S59" s="69"/>
      <c r="T59" s="42"/>
      <c r="U59" s="41"/>
      <c r="V59" s="133"/>
      <c r="W59" s="69"/>
      <c r="X59" s="42"/>
      <c r="Y59" s="41"/>
      <c r="Z59" s="134"/>
      <c r="AA59" s="69"/>
      <c r="AB59" s="41"/>
      <c r="AC59" s="42"/>
      <c r="AD59" s="134"/>
      <c r="AE59" s="67"/>
      <c r="AF59" s="41"/>
      <c r="AG59" s="41"/>
      <c r="AH59" s="133"/>
      <c r="AI59" s="67"/>
      <c r="AJ59" s="42"/>
      <c r="AK59" s="41"/>
      <c r="AL59" s="134"/>
      <c r="AM59" s="67"/>
      <c r="AN59" s="42"/>
      <c r="AO59" s="42"/>
      <c r="AP59" s="133"/>
      <c r="AQ59" s="67"/>
      <c r="AR59" s="42"/>
      <c r="AS59" s="42"/>
    </row>
    <row r="60" spans="1:45" x14ac:dyDescent="0.2">
      <c r="A60" s="42"/>
      <c r="B60" s="133"/>
      <c r="C60" s="67"/>
      <c r="D60" s="42"/>
      <c r="E60" s="42"/>
      <c r="F60" s="134"/>
      <c r="G60" s="69"/>
      <c r="H60" s="42"/>
      <c r="I60" s="41"/>
      <c r="J60" s="133"/>
      <c r="K60" s="69"/>
      <c r="L60" s="41"/>
      <c r="M60" s="42"/>
      <c r="N60" s="133"/>
      <c r="O60" s="67"/>
      <c r="P60" s="42"/>
      <c r="Q60" s="42"/>
      <c r="R60" s="134"/>
      <c r="S60" s="69"/>
      <c r="T60" s="42"/>
      <c r="U60" s="41"/>
      <c r="V60" s="133"/>
      <c r="W60" s="69"/>
      <c r="X60" s="42"/>
      <c r="Y60" s="41"/>
      <c r="Z60" s="134"/>
      <c r="AA60" s="69"/>
      <c r="AB60" s="41"/>
      <c r="AC60" s="42"/>
      <c r="AD60" s="134"/>
      <c r="AE60" s="67"/>
      <c r="AF60" s="41"/>
      <c r="AG60" s="41"/>
      <c r="AH60" s="133"/>
      <c r="AI60" s="67"/>
      <c r="AJ60" s="42"/>
      <c r="AK60" s="41"/>
      <c r="AL60" s="134"/>
      <c r="AM60" s="67"/>
      <c r="AN60" s="42"/>
      <c r="AO60" s="42"/>
      <c r="AP60" s="133"/>
      <c r="AQ60" s="67"/>
      <c r="AR60" s="42"/>
      <c r="AS60" s="42"/>
    </row>
    <row r="61" spans="1:45" x14ac:dyDescent="0.2">
      <c r="A61" s="42"/>
      <c r="B61" s="133"/>
      <c r="C61" s="67"/>
      <c r="D61" s="42"/>
      <c r="E61" s="42"/>
      <c r="F61" s="134"/>
      <c r="G61" s="69"/>
      <c r="H61" s="42"/>
      <c r="I61" s="41"/>
      <c r="J61" s="133"/>
      <c r="K61" s="69"/>
      <c r="L61" s="41"/>
      <c r="M61" s="42"/>
      <c r="N61" s="133"/>
      <c r="O61" s="67"/>
      <c r="P61" s="42"/>
      <c r="Q61" s="42"/>
      <c r="R61" s="134"/>
      <c r="S61" s="69"/>
      <c r="T61" s="42"/>
      <c r="U61" s="41"/>
      <c r="V61" s="133"/>
      <c r="W61" s="69"/>
      <c r="X61" s="42"/>
      <c r="Y61" s="41"/>
      <c r="Z61" s="134"/>
      <c r="AA61" s="69"/>
      <c r="AB61" s="41"/>
      <c r="AC61" s="42"/>
      <c r="AD61" s="134"/>
      <c r="AE61" s="67"/>
      <c r="AF61" s="41"/>
      <c r="AG61" s="41"/>
      <c r="AH61" s="133"/>
      <c r="AI61" s="67"/>
      <c r="AJ61" s="42"/>
      <c r="AK61" s="41"/>
      <c r="AL61" s="134"/>
      <c r="AM61" s="67"/>
      <c r="AN61" s="42"/>
      <c r="AO61" s="42"/>
      <c r="AP61" s="133"/>
      <c r="AQ61" s="67"/>
      <c r="AR61" s="42"/>
      <c r="AS61" s="42"/>
    </row>
    <row r="62" spans="1:45" x14ac:dyDescent="0.2">
      <c r="A62" s="42"/>
      <c r="B62" s="133"/>
      <c r="C62" s="67"/>
      <c r="D62" s="42"/>
      <c r="E62" s="42"/>
      <c r="F62" s="134"/>
      <c r="G62" s="69"/>
      <c r="H62" s="42"/>
      <c r="I62" s="41"/>
      <c r="J62" s="133"/>
      <c r="K62" s="69"/>
      <c r="L62" s="41"/>
      <c r="M62" s="42"/>
      <c r="N62" s="133"/>
      <c r="O62" s="67"/>
      <c r="P62" s="42"/>
      <c r="Q62" s="42"/>
      <c r="R62" s="134"/>
      <c r="S62" s="69"/>
      <c r="T62" s="42"/>
      <c r="U62" s="41"/>
      <c r="V62" s="133"/>
      <c r="W62" s="69"/>
      <c r="X62" s="42"/>
      <c r="Y62" s="41"/>
      <c r="Z62" s="134"/>
      <c r="AA62" s="69"/>
      <c r="AB62" s="41"/>
      <c r="AC62" s="42"/>
      <c r="AD62" s="134"/>
      <c r="AE62" s="67"/>
      <c r="AF62" s="41"/>
      <c r="AG62" s="41"/>
      <c r="AH62" s="133"/>
      <c r="AI62" s="67"/>
      <c r="AJ62" s="42"/>
      <c r="AK62" s="41"/>
      <c r="AL62" s="134"/>
      <c r="AM62" s="67"/>
      <c r="AN62" s="42"/>
      <c r="AO62" s="42"/>
      <c r="AP62" s="133"/>
      <c r="AQ62" s="67"/>
      <c r="AR62" s="42"/>
      <c r="AS62" s="42"/>
    </row>
    <row r="63" spans="1:45" x14ac:dyDescent="0.2">
      <c r="A63" s="42"/>
      <c r="B63" s="133"/>
      <c r="C63" s="67"/>
      <c r="D63" s="42"/>
      <c r="E63" s="42"/>
      <c r="F63" s="134"/>
      <c r="G63" s="69"/>
      <c r="H63" s="42"/>
      <c r="I63" s="41"/>
      <c r="J63" s="133"/>
      <c r="K63" s="69"/>
      <c r="L63" s="41"/>
      <c r="M63" s="42"/>
      <c r="N63" s="133"/>
      <c r="O63" s="67"/>
      <c r="P63" s="42"/>
      <c r="Q63" s="42"/>
      <c r="R63" s="134"/>
      <c r="S63" s="69"/>
      <c r="T63" s="42"/>
      <c r="U63" s="41"/>
      <c r="V63" s="133"/>
      <c r="W63" s="69"/>
      <c r="X63" s="42"/>
      <c r="Y63" s="41"/>
      <c r="Z63" s="134"/>
      <c r="AA63" s="69"/>
      <c r="AB63" s="41"/>
      <c r="AC63" s="42"/>
      <c r="AD63" s="134"/>
      <c r="AE63" s="67"/>
      <c r="AF63" s="41"/>
      <c r="AG63" s="41"/>
      <c r="AH63" s="133"/>
      <c r="AI63" s="67"/>
      <c r="AJ63" s="42"/>
      <c r="AK63" s="41"/>
      <c r="AL63" s="134"/>
      <c r="AM63" s="67"/>
      <c r="AN63" s="42"/>
      <c r="AO63" s="42"/>
      <c r="AP63" s="133"/>
      <c r="AQ63" s="67"/>
      <c r="AR63" s="42"/>
      <c r="AS63" s="42"/>
    </row>
    <row r="64" spans="1:45" x14ac:dyDescent="0.2">
      <c r="A64" s="42"/>
      <c r="B64" s="133"/>
      <c r="C64" s="67"/>
      <c r="D64" s="42"/>
      <c r="E64" s="42"/>
      <c r="F64" s="134"/>
      <c r="G64" s="69"/>
      <c r="H64" s="42"/>
      <c r="I64" s="41"/>
      <c r="J64" s="133"/>
      <c r="K64" s="69"/>
      <c r="L64" s="41"/>
      <c r="M64" s="42"/>
      <c r="N64" s="133"/>
      <c r="O64" s="67"/>
      <c r="P64" s="42"/>
      <c r="Q64" s="42"/>
      <c r="R64" s="134"/>
      <c r="S64" s="69"/>
      <c r="T64" s="42"/>
      <c r="U64" s="41"/>
      <c r="V64" s="133"/>
      <c r="W64" s="69"/>
      <c r="X64" s="42"/>
      <c r="Y64" s="41"/>
      <c r="Z64" s="134"/>
      <c r="AA64" s="69"/>
      <c r="AB64" s="41"/>
      <c r="AC64" s="42"/>
      <c r="AD64" s="134"/>
      <c r="AE64" s="67"/>
      <c r="AF64" s="41"/>
      <c r="AG64" s="41"/>
      <c r="AH64" s="133"/>
      <c r="AI64" s="67"/>
      <c r="AJ64" s="42"/>
      <c r="AK64" s="41"/>
      <c r="AL64" s="134"/>
      <c r="AM64" s="67"/>
      <c r="AN64" s="42"/>
      <c r="AO64" s="42"/>
      <c r="AP64" s="133"/>
      <c r="AQ64" s="67"/>
      <c r="AR64" s="42"/>
      <c r="AS64" s="42"/>
    </row>
    <row r="65" spans="1:45" x14ac:dyDescent="0.2">
      <c r="A65" s="42"/>
      <c r="B65" s="133"/>
      <c r="C65" s="67"/>
      <c r="D65" s="42"/>
      <c r="E65" s="42"/>
      <c r="F65" s="134"/>
      <c r="G65" s="69"/>
      <c r="H65" s="42"/>
      <c r="I65" s="41"/>
      <c r="J65" s="133"/>
      <c r="K65" s="69"/>
      <c r="L65" s="41"/>
      <c r="M65" s="42"/>
      <c r="N65" s="133"/>
      <c r="O65" s="67"/>
      <c r="P65" s="42"/>
      <c r="Q65" s="42"/>
      <c r="R65" s="134"/>
      <c r="S65" s="69"/>
      <c r="T65" s="42"/>
      <c r="U65" s="41"/>
      <c r="V65" s="133"/>
      <c r="W65" s="69"/>
      <c r="X65" s="42"/>
      <c r="Y65" s="41"/>
      <c r="Z65" s="134"/>
      <c r="AA65" s="69"/>
      <c r="AB65" s="41"/>
      <c r="AC65" s="42"/>
      <c r="AD65" s="134"/>
      <c r="AE65" s="67"/>
      <c r="AF65" s="41"/>
      <c r="AG65" s="41"/>
      <c r="AH65" s="133"/>
      <c r="AI65" s="67"/>
      <c r="AJ65" s="42"/>
      <c r="AK65" s="41"/>
      <c r="AL65" s="134"/>
      <c r="AM65" s="67"/>
      <c r="AN65" s="42"/>
      <c r="AO65" s="42"/>
      <c r="AP65" s="133"/>
      <c r="AQ65" s="67"/>
      <c r="AR65" s="42"/>
      <c r="AS65" s="42"/>
    </row>
    <row r="66" spans="1:45" x14ac:dyDescent="0.2">
      <c r="A66" s="42"/>
      <c r="B66" s="133"/>
      <c r="C66" s="67"/>
      <c r="D66" s="42"/>
      <c r="E66" s="42"/>
      <c r="F66" s="134"/>
      <c r="G66" s="69"/>
      <c r="H66" s="42"/>
      <c r="I66" s="41"/>
      <c r="J66" s="133"/>
      <c r="K66" s="69"/>
      <c r="L66" s="41"/>
      <c r="M66" s="42"/>
      <c r="N66" s="133"/>
      <c r="O66" s="67"/>
      <c r="P66" s="42"/>
      <c r="Q66" s="42"/>
      <c r="R66" s="134"/>
      <c r="S66" s="69"/>
      <c r="T66" s="42"/>
      <c r="U66" s="41"/>
      <c r="V66" s="133"/>
      <c r="W66" s="69"/>
      <c r="X66" s="42"/>
      <c r="Y66" s="41"/>
      <c r="Z66" s="134"/>
      <c r="AA66" s="69"/>
      <c r="AB66" s="41"/>
      <c r="AC66" s="42"/>
      <c r="AD66" s="134"/>
      <c r="AE66" s="67"/>
      <c r="AF66" s="41"/>
      <c r="AG66" s="41"/>
      <c r="AH66" s="133"/>
      <c r="AI66" s="67"/>
      <c r="AJ66" s="42"/>
      <c r="AK66" s="41"/>
      <c r="AL66" s="134"/>
      <c r="AM66" s="67"/>
      <c r="AN66" s="42"/>
      <c r="AO66" s="42"/>
      <c r="AP66" s="133"/>
      <c r="AQ66" s="67"/>
      <c r="AR66" s="42"/>
      <c r="AS66" s="42"/>
    </row>
    <row r="67" spans="1:45" x14ac:dyDescent="0.2">
      <c r="A67" s="42"/>
      <c r="B67" s="133"/>
      <c r="C67" s="67"/>
      <c r="D67" s="42"/>
      <c r="E67" s="42"/>
      <c r="F67" s="134"/>
      <c r="G67" s="69"/>
      <c r="H67" s="42"/>
      <c r="I67" s="41"/>
      <c r="J67" s="133"/>
      <c r="K67" s="69"/>
      <c r="L67" s="41"/>
      <c r="M67" s="42"/>
      <c r="N67" s="133"/>
      <c r="O67" s="67"/>
      <c r="P67" s="42"/>
      <c r="Q67" s="42"/>
      <c r="R67" s="134"/>
      <c r="S67" s="69"/>
      <c r="T67" s="42"/>
      <c r="U67" s="41"/>
      <c r="V67" s="133"/>
      <c r="W67" s="69"/>
      <c r="X67" s="42"/>
      <c r="Y67" s="41"/>
      <c r="Z67" s="134"/>
      <c r="AA67" s="69"/>
      <c r="AB67" s="41"/>
      <c r="AC67" s="42"/>
      <c r="AD67" s="134"/>
      <c r="AE67" s="67"/>
      <c r="AF67" s="41"/>
      <c r="AG67" s="41"/>
      <c r="AH67" s="133"/>
      <c r="AI67" s="67"/>
      <c r="AJ67" s="42"/>
      <c r="AK67" s="41"/>
      <c r="AL67" s="134"/>
      <c r="AM67" s="67"/>
      <c r="AN67" s="42"/>
      <c r="AO67" s="42"/>
      <c r="AP67" s="133"/>
      <c r="AQ67" s="67"/>
      <c r="AR67" s="42"/>
      <c r="AS67" s="42"/>
    </row>
    <row r="68" spans="1:45" x14ac:dyDescent="0.2">
      <c r="A68" s="42"/>
      <c r="B68" s="133"/>
      <c r="C68" s="67"/>
      <c r="D68" s="42"/>
      <c r="E68" s="42"/>
      <c r="F68" s="134"/>
      <c r="G68" s="69"/>
      <c r="H68" s="42"/>
      <c r="I68" s="41"/>
      <c r="J68" s="133"/>
      <c r="K68" s="69"/>
      <c r="L68" s="41"/>
      <c r="M68" s="42"/>
      <c r="N68" s="133"/>
      <c r="O68" s="67"/>
      <c r="P68" s="42"/>
      <c r="Q68" s="42"/>
      <c r="R68" s="134"/>
      <c r="S68" s="69"/>
      <c r="T68" s="42"/>
      <c r="U68" s="41"/>
      <c r="V68" s="133"/>
      <c r="W68" s="69"/>
      <c r="X68" s="42"/>
      <c r="Y68" s="41"/>
      <c r="Z68" s="134"/>
      <c r="AA68" s="69"/>
      <c r="AB68" s="41"/>
      <c r="AC68" s="42"/>
      <c r="AD68" s="134"/>
      <c r="AE68" s="67"/>
      <c r="AF68" s="41"/>
      <c r="AG68" s="41"/>
      <c r="AH68" s="133"/>
      <c r="AI68" s="67"/>
      <c r="AJ68" s="42"/>
      <c r="AK68" s="41"/>
      <c r="AL68" s="134"/>
      <c r="AM68" s="67"/>
      <c r="AN68" s="42"/>
      <c r="AO68" s="42"/>
      <c r="AP68" s="133"/>
      <c r="AQ68" s="67"/>
      <c r="AR68" s="42"/>
      <c r="AS68" s="42"/>
    </row>
    <row r="69" spans="1:45" x14ac:dyDescent="0.2">
      <c r="A69" s="42"/>
      <c r="B69" s="133"/>
      <c r="C69" s="67"/>
      <c r="D69" s="42"/>
      <c r="E69" s="42"/>
      <c r="F69" s="134"/>
      <c r="G69" s="69"/>
      <c r="H69" s="42"/>
      <c r="I69" s="41"/>
      <c r="J69" s="133"/>
      <c r="K69" s="69"/>
      <c r="L69" s="41"/>
      <c r="M69" s="42"/>
      <c r="N69" s="133"/>
      <c r="O69" s="67"/>
      <c r="P69" s="42"/>
      <c r="Q69" s="42"/>
      <c r="R69" s="134"/>
      <c r="S69" s="69"/>
      <c r="T69" s="42"/>
      <c r="U69" s="41"/>
      <c r="V69" s="133"/>
      <c r="W69" s="69"/>
      <c r="X69" s="42"/>
      <c r="Y69" s="41"/>
      <c r="Z69" s="134"/>
      <c r="AA69" s="69"/>
      <c r="AB69" s="41"/>
      <c r="AC69" s="42"/>
      <c r="AD69" s="134"/>
      <c r="AE69" s="67"/>
      <c r="AF69" s="41"/>
      <c r="AG69" s="41"/>
      <c r="AH69" s="133"/>
      <c r="AI69" s="67"/>
      <c r="AJ69" s="42"/>
      <c r="AK69" s="41"/>
      <c r="AL69" s="134"/>
      <c r="AM69" s="67"/>
      <c r="AN69" s="42"/>
      <c r="AO69" s="42"/>
      <c r="AP69" s="133"/>
      <c r="AQ69" s="67"/>
      <c r="AR69" s="42"/>
      <c r="AS69" s="42"/>
    </row>
    <row r="70" spans="1:45" x14ac:dyDescent="0.2">
      <c r="A70" s="42"/>
      <c r="B70" s="133"/>
      <c r="C70" s="67"/>
      <c r="D70" s="42"/>
      <c r="E70" s="42"/>
      <c r="F70" s="134"/>
      <c r="G70" s="69"/>
      <c r="H70" s="42"/>
      <c r="I70" s="41"/>
      <c r="J70" s="133"/>
      <c r="K70" s="69"/>
      <c r="L70" s="41"/>
      <c r="M70" s="42"/>
      <c r="N70" s="133"/>
      <c r="O70" s="67"/>
      <c r="P70" s="42"/>
      <c r="Q70" s="42"/>
      <c r="R70" s="134"/>
      <c r="S70" s="69"/>
      <c r="T70" s="42"/>
      <c r="U70" s="41"/>
      <c r="V70" s="133"/>
      <c r="W70" s="69"/>
      <c r="X70" s="42"/>
      <c r="Y70" s="41"/>
      <c r="Z70" s="134"/>
      <c r="AA70" s="69"/>
      <c r="AB70" s="41"/>
      <c r="AC70" s="42"/>
      <c r="AD70" s="134"/>
      <c r="AE70" s="67"/>
      <c r="AF70" s="41"/>
      <c r="AG70" s="41"/>
      <c r="AH70" s="133"/>
      <c r="AI70" s="67"/>
      <c r="AJ70" s="42"/>
      <c r="AK70" s="41"/>
      <c r="AL70" s="134"/>
      <c r="AM70" s="67"/>
      <c r="AN70" s="42"/>
      <c r="AO70" s="42"/>
      <c r="AP70" s="133"/>
      <c r="AQ70" s="67"/>
      <c r="AR70" s="42"/>
      <c r="AS70" s="42"/>
    </row>
    <row r="71" spans="1:45" x14ac:dyDescent="0.2">
      <c r="A71" s="42"/>
      <c r="B71" s="133"/>
      <c r="C71" s="67"/>
      <c r="D71" s="42"/>
      <c r="E71" s="42"/>
      <c r="F71" s="134"/>
      <c r="G71" s="69"/>
      <c r="H71" s="42"/>
      <c r="I71" s="41"/>
      <c r="J71" s="133"/>
      <c r="K71" s="69"/>
      <c r="L71" s="41"/>
      <c r="M71" s="42"/>
      <c r="N71" s="133"/>
      <c r="O71" s="67"/>
      <c r="P71" s="42"/>
      <c r="Q71" s="42"/>
      <c r="R71" s="134"/>
      <c r="S71" s="69"/>
      <c r="T71" s="42"/>
      <c r="U71" s="41"/>
      <c r="V71" s="133"/>
      <c r="W71" s="69"/>
      <c r="X71" s="42"/>
      <c r="Y71" s="41"/>
      <c r="Z71" s="134"/>
      <c r="AA71" s="69"/>
      <c r="AB71" s="41"/>
      <c r="AC71" s="42"/>
      <c r="AD71" s="134"/>
      <c r="AE71" s="67"/>
      <c r="AF71" s="41"/>
      <c r="AG71" s="41"/>
      <c r="AH71" s="133"/>
      <c r="AI71" s="67"/>
      <c r="AJ71" s="42"/>
      <c r="AK71" s="41"/>
      <c r="AL71" s="134"/>
      <c r="AM71" s="67"/>
      <c r="AN71" s="42"/>
      <c r="AO71" s="42"/>
      <c r="AP71" s="133"/>
      <c r="AQ71" s="67"/>
      <c r="AR71" s="42"/>
      <c r="AS71" s="42"/>
    </row>
    <row r="72" spans="1:45" x14ac:dyDescent="0.2">
      <c r="A72" s="42"/>
      <c r="B72" s="133"/>
      <c r="C72" s="67"/>
      <c r="D72" s="42"/>
      <c r="E72" s="42"/>
      <c r="F72" s="134"/>
      <c r="G72" s="69"/>
      <c r="H72" s="42"/>
      <c r="I72" s="41"/>
      <c r="J72" s="133"/>
      <c r="K72" s="69"/>
      <c r="L72" s="41"/>
      <c r="M72" s="42"/>
      <c r="N72" s="133"/>
      <c r="O72" s="67"/>
      <c r="P72" s="42"/>
      <c r="Q72" s="42"/>
      <c r="R72" s="134"/>
      <c r="S72" s="69"/>
      <c r="T72" s="42"/>
      <c r="U72" s="41"/>
      <c r="V72" s="133"/>
      <c r="W72" s="69"/>
      <c r="X72" s="42"/>
      <c r="Y72" s="41"/>
      <c r="Z72" s="134"/>
      <c r="AA72" s="69"/>
      <c r="AB72" s="41"/>
      <c r="AC72" s="42"/>
      <c r="AD72" s="134"/>
      <c r="AE72" s="67"/>
      <c r="AF72" s="41"/>
      <c r="AG72" s="41"/>
      <c r="AH72" s="133"/>
      <c r="AI72" s="67"/>
      <c r="AJ72" s="42"/>
      <c r="AK72" s="41"/>
      <c r="AL72" s="134"/>
      <c r="AM72" s="67"/>
      <c r="AN72" s="42"/>
      <c r="AO72" s="42"/>
      <c r="AP72" s="133"/>
      <c r="AQ72" s="67"/>
      <c r="AR72" s="42"/>
      <c r="AS72" s="42"/>
    </row>
    <row r="73" spans="1:45" x14ac:dyDescent="0.2">
      <c r="A73" s="42"/>
      <c r="B73" s="133"/>
      <c r="C73" s="67"/>
      <c r="D73" s="42"/>
      <c r="E73" s="42"/>
      <c r="F73" s="134"/>
      <c r="G73" s="69"/>
      <c r="H73" s="42"/>
      <c r="I73" s="41"/>
      <c r="J73" s="133"/>
      <c r="K73" s="69"/>
      <c r="L73" s="41"/>
      <c r="M73" s="42"/>
      <c r="N73" s="133"/>
      <c r="O73" s="67"/>
      <c r="P73" s="42"/>
      <c r="Q73" s="42"/>
      <c r="R73" s="134"/>
      <c r="S73" s="69"/>
      <c r="T73" s="42"/>
      <c r="U73" s="41"/>
      <c r="V73" s="133"/>
      <c r="W73" s="69"/>
      <c r="X73" s="42"/>
      <c r="Y73" s="41"/>
      <c r="Z73" s="134"/>
      <c r="AA73" s="69"/>
      <c r="AB73" s="41"/>
      <c r="AC73" s="42"/>
      <c r="AD73" s="134"/>
      <c r="AE73" s="67"/>
      <c r="AF73" s="41"/>
      <c r="AG73" s="41"/>
      <c r="AH73" s="133"/>
      <c r="AI73" s="67"/>
      <c r="AJ73" s="42"/>
      <c r="AK73" s="41"/>
      <c r="AL73" s="134"/>
      <c r="AM73" s="67"/>
      <c r="AN73" s="42"/>
      <c r="AO73" s="42"/>
      <c r="AP73" s="133"/>
      <c r="AQ73" s="67"/>
      <c r="AR73" s="42"/>
      <c r="AS73" s="42"/>
    </row>
    <row r="74" spans="1:45" x14ac:dyDescent="0.2">
      <c r="A74" s="42"/>
      <c r="B74" s="133"/>
      <c r="C74" s="67"/>
      <c r="D74" s="42"/>
      <c r="E74" s="42"/>
      <c r="F74" s="134"/>
      <c r="G74" s="69"/>
      <c r="H74" s="42"/>
      <c r="I74" s="41"/>
      <c r="J74" s="133"/>
      <c r="K74" s="69"/>
      <c r="L74" s="41"/>
      <c r="M74" s="42"/>
      <c r="N74" s="133"/>
      <c r="O74" s="67"/>
      <c r="P74" s="42"/>
      <c r="Q74" s="42"/>
      <c r="R74" s="134"/>
      <c r="S74" s="69"/>
      <c r="T74" s="42"/>
      <c r="U74" s="41"/>
      <c r="V74" s="133"/>
      <c r="W74" s="69"/>
      <c r="X74" s="42"/>
      <c r="Y74" s="41"/>
      <c r="Z74" s="134"/>
      <c r="AA74" s="69"/>
      <c r="AB74" s="41"/>
      <c r="AC74" s="42"/>
      <c r="AD74" s="134"/>
      <c r="AE74" s="67"/>
      <c r="AF74" s="41"/>
      <c r="AG74" s="41"/>
      <c r="AH74" s="133"/>
      <c r="AI74" s="67"/>
      <c r="AJ74" s="42"/>
      <c r="AK74" s="41"/>
      <c r="AL74" s="134"/>
      <c r="AM74" s="67"/>
      <c r="AN74" s="42"/>
      <c r="AO74" s="42"/>
      <c r="AP74" s="133"/>
      <c r="AQ74" s="67"/>
      <c r="AR74" s="42"/>
      <c r="AS74" s="42"/>
    </row>
    <row r="75" spans="1:45" x14ac:dyDescent="0.2">
      <c r="A75" s="42"/>
      <c r="B75" s="133"/>
      <c r="C75" s="67"/>
      <c r="D75" s="42"/>
      <c r="E75" s="42"/>
      <c r="F75" s="134"/>
      <c r="G75" s="69"/>
      <c r="H75" s="42"/>
      <c r="I75" s="41"/>
      <c r="J75" s="133"/>
      <c r="K75" s="69"/>
      <c r="L75" s="41"/>
      <c r="M75" s="42"/>
      <c r="N75" s="133"/>
      <c r="O75" s="67"/>
      <c r="P75" s="42"/>
      <c r="Q75" s="42"/>
      <c r="R75" s="134"/>
      <c r="S75" s="69"/>
      <c r="T75" s="42"/>
      <c r="U75" s="41"/>
      <c r="V75" s="133"/>
      <c r="W75" s="69"/>
      <c r="X75" s="42"/>
      <c r="Y75" s="41"/>
      <c r="Z75" s="134"/>
      <c r="AA75" s="69"/>
      <c r="AB75" s="41"/>
      <c r="AC75" s="42"/>
      <c r="AD75" s="134"/>
      <c r="AE75" s="67"/>
      <c r="AF75" s="41"/>
      <c r="AG75" s="41"/>
      <c r="AH75" s="133"/>
      <c r="AI75" s="67"/>
      <c r="AJ75" s="42"/>
      <c r="AK75" s="41"/>
      <c r="AL75" s="134"/>
      <c r="AM75" s="67"/>
      <c r="AN75" s="42"/>
      <c r="AO75" s="42"/>
      <c r="AP75" s="133"/>
      <c r="AQ75" s="67"/>
      <c r="AR75" s="42"/>
      <c r="AS75" s="42"/>
    </row>
    <row r="76" spans="1:45" x14ac:dyDescent="0.2">
      <c r="A76" s="42"/>
      <c r="B76" s="133"/>
      <c r="C76" s="67"/>
      <c r="D76" s="42"/>
      <c r="E76" s="42"/>
      <c r="F76" s="134"/>
      <c r="G76" s="69"/>
      <c r="H76" s="42"/>
      <c r="I76" s="41"/>
      <c r="J76" s="133"/>
      <c r="K76" s="69"/>
      <c r="L76" s="41"/>
      <c r="M76" s="42"/>
      <c r="N76" s="133"/>
      <c r="O76" s="67"/>
      <c r="P76" s="42"/>
      <c r="Q76" s="42"/>
      <c r="R76" s="134"/>
      <c r="S76" s="69"/>
      <c r="T76" s="42"/>
      <c r="U76" s="41"/>
      <c r="V76" s="133"/>
      <c r="W76" s="69"/>
      <c r="X76" s="42"/>
      <c r="Y76" s="41"/>
      <c r="Z76" s="134"/>
      <c r="AA76" s="69"/>
      <c r="AB76" s="41"/>
      <c r="AC76" s="42"/>
      <c r="AD76" s="134"/>
      <c r="AE76" s="67"/>
      <c r="AF76" s="41"/>
      <c r="AG76" s="41"/>
      <c r="AH76" s="133"/>
      <c r="AI76" s="67"/>
      <c r="AJ76" s="42"/>
      <c r="AK76" s="41"/>
      <c r="AL76" s="134"/>
      <c r="AM76" s="67"/>
      <c r="AN76" s="42"/>
      <c r="AO76" s="42"/>
      <c r="AP76" s="133"/>
      <c r="AQ76" s="67"/>
      <c r="AR76" s="42"/>
      <c r="AS76" s="42"/>
    </row>
    <row r="77" spans="1:45" x14ac:dyDescent="0.2">
      <c r="A77" s="42"/>
      <c r="B77" s="133"/>
      <c r="C77" s="67"/>
      <c r="D77" s="42"/>
      <c r="E77" s="42"/>
      <c r="F77" s="134"/>
      <c r="G77" s="69"/>
      <c r="H77" s="42"/>
      <c r="I77" s="41"/>
      <c r="J77" s="133"/>
      <c r="K77" s="69"/>
      <c r="L77" s="41"/>
      <c r="M77" s="42"/>
      <c r="N77" s="133"/>
      <c r="O77" s="67"/>
      <c r="P77" s="42"/>
      <c r="Q77" s="42"/>
      <c r="R77" s="134"/>
      <c r="S77" s="69"/>
      <c r="T77" s="42"/>
      <c r="U77" s="41"/>
      <c r="V77" s="133"/>
      <c r="W77" s="69"/>
      <c r="X77" s="42"/>
      <c r="Y77" s="41"/>
      <c r="Z77" s="134"/>
      <c r="AA77" s="69"/>
      <c r="AB77" s="41"/>
      <c r="AC77" s="42"/>
      <c r="AD77" s="134"/>
      <c r="AE77" s="67"/>
      <c r="AF77" s="41"/>
      <c r="AG77" s="41"/>
      <c r="AH77" s="133"/>
      <c r="AI77" s="67"/>
      <c r="AJ77" s="42"/>
      <c r="AK77" s="41"/>
      <c r="AL77" s="134"/>
      <c r="AM77" s="67"/>
      <c r="AN77" s="42"/>
      <c r="AO77" s="42"/>
      <c r="AP77" s="133"/>
      <c r="AQ77" s="67"/>
      <c r="AR77" s="42"/>
      <c r="AS77" s="42"/>
    </row>
    <row r="78" spans="1:45" x14ac:dyDescent="0.2">
      <c r="A78" s="42"/>
      <c r="B78" s="133"/>
      <c r="C78" s="67"/>
      <c r="D78" s="42"/>
      <c r="E78" s="42"/>
      <c r="F78" s="134"/>
      <c r="G78" s="69"/>
      <c r="H78" s="42"/>
      <c r="I78" s="41"/>
      <c r="J78" s="133"/>
      <c r="K78" s="69"/>
      <c r="L78" s="41"/>
      <c r="M78" s="42"/>
      <c r="N78" s="133"/>
      <c r="O78" s="67"/>
      <c r="P78" s="42"/>
      <c r="Q78" s="42"/>
      <c r="R78" s="134"/>
      <c r="S78" s="69"/>
      <c r="T78" s="42"/>
      <c r="U78" s="41"/>
      <c r="V78" s="133"/>
      <c r="W78" s="69"/>
      <c r="X78" s="42"/>
      <c r="Y78" s="41"/>
      <c r="Z78" s="134"/>
      <c r="AA78" s="69"/>
      <c r="AB78" s="41"/>
      <c r="AC78" s="42"/>
      <c r="AD78" s="134"/>
      <c r="AE78" s="67"/>
      <c r="AF78" s="41"/>
      <c r="AG78" s="41"/>
      <c r="AH78" s="133"/>
      <c r="AI78" s="67"/>
      <c r="AJ78" s="42"/>
      <c r="AK78" s="41"/>
      <c r="AL78" s="134"/>
      <c r="AM78" s="67"/>
      <c r="AN78" s="42"/>
      <c r="AO78" s="42"/>
      <c r="AP78" s="133"/>
      <c r="AQ78" s="67"/>
      <c r="AR78" s="42"/>
      <c r="AS78" s="42"/>
    </row>
    <row r="79" spans="1:45" x14ac:dyDescent="0.2">
      <c r="A79" s="42"/>
      <c r="B79" s="133"/>
      <c r="C79" s="67"/>
      <c r="D79" s="42"/>
      <c r="E79" s="42"/>
      <c r="F79" s="134"/>
      <c r="G79" s="69"/>
      <c r="H79" s="42"/>
      <c r="I79" s="41"/>
      <c r="J79" s="133"/>
      <c r="K79" s="69"/>
      <c r="L79" s="41"/>
      <c r="M79" s="42"/>
      <c r="N79" s="133"/>
      <c r="O79" s="67"/>
      <c r="P79" s="42"/>
      <c r="Q79" s="42"/>
      <c r="R79" s="134"/>
      <c r="S79" s="69"/>
      <c r="T79" s="42"/>
      <c r="U79" s="41"/>
      <c r="V79" s="133"/>
      <c r="W79" s="69"/>
      <c r="X79" s="42"/>
      <c r="Y79" s="41"/>
      <c r="Z79" s="134"/>
      <c r="AA79" s="69"/>
      <c r="AB79" s="41"/>
      <c r="AC79" s="42"/>
      <c r="AD79" s="134"/>
      <c r="AE79" s="67"/>
      <c r="AF79" s="41"/>
      <c r="AG79" s="41"/>
      <c r="AH79" s="133"/>
      <c r="AI79" s="67"/>
      <c r="AJ79" s="42"/>
      <c r="AK79" s="41"/>
      <c r="AL79" s="134"/>
      <c r="AM79" s="67"/>
      <c r="AN79" s="42"/>
      <c r="AO79" s="42"/>
      <c r="AP79" s="133"/>
      <c r="AQ79" s="67"/>
      <c r="AR79" s="42"/>
      <c r="AS79" s="42"/>
    </row>
    <row r="80" spans="1:45" x14ac:dyDescent="0.2">
      <c r="A80" s="42"/>
      <c r="B80" s="133"/>
      <c r="C80" s="67"/>
      <c r="D80" s="42"/>
      <c r="E80" s="42"/>
      <c r="F80" s="134"/>
      <c r="G80" s="69"/>
      <c r="H80" s="42"/>
      <c r="I80" s="41"/>
      <c r="J80" s="133"/>
      <c r="K80" s="69"/>
      <c r="L80" s="41"/>
      <c r="M80" s="42"/>
      <c r="N80" s="133"/>
      <c r="O80" s="67"/>
      <c r="P80" s="42"/>
      <c r="Q80" s="42"/>
      <c r="R80" s="134"/>
      <c r="S80" s="69"/>
      <c r="T80" s="42"/>
      <c r="U80" s="41"/>
      <c r="V80" s="133"/>
      <c r="W80" s="69"/>
      <c r="X80" s="42"/>
      <c r="Y80" s="41"/>
      <c r="Z80" s="134"/>
      <c r="AA80" s="69"/>
      <c r="AB80" s="41"/>
      <c r="AC80" s="42"/>
      <c r="AD80" s="134"/>
      <c r="AE80" s="67"/>
      <c r="AF80" s="41"/>
      <c r="AG80" s="41"/>
      <c r="AH80" s="133"/>
      <c r="AI80" s="67"/>
      <c r="AJ80" s="42"/>
      <c r="AK80" s="41"/>
      <c r="AL80" s="134"/>
      <c r="AM80" s="67"/>
      <c r="AN80" s="42"/>
      <c r="AO80" s="42"/>
      <c r="AP80" s="133"/>
      <c r="AQ80" s="67"/>
      <c r="AR80" s="42"/>
      <c r="AS80" s="42"/>
    </row>
    <row r="81" spans="1:45" x14ac:dyDescent="0.2">
      <c r="A81" s="42"/>
      <c r="B81" s="133"/>
      <c r="C81" s="67"/>
      <c r="D81" s="42"/>
      <c r="E81" s="42"/>
      <c r="F81" s="134"/>
      <c r="G81" s="69"/>
      <c r="H81" s="42"/>
      <c r="I81" s="41"/>
      <c r="J81" s="133"/>
      <c r="K81" s="69"/>
      <c r="L81" s="41"/>
      <c r="M81" s="42"/>
      <c r="N81" s="133"/>
      <c r="O81" s="67"/>
      <c r="P81" s="42"/>
      <c r="Q81" s="42"/>
      <c r="R81" s="134"/>
      <c r="S81" s="69"/>
      <c r="T81" s="42"/>
      <c r="U81" s="41"/>
      <c r="V81" s="133"/>
      <c r="W81" s="69"/>
      <c r="X81" s="42"/>
      <c r="Y81" s="41"/>
      <c r="Z81" s="134"/>
      <c r="AA81" s="69"/>
      <c r="AB81" s="41"/>
      <c r="AC81" s="42"/>
      <c r="AD81" s="134"/>
      <c r="AE81" s="67"/>
      <c r="AF81" s="41"/>
      <c r="AG81" s="41"/>
      <c r="AH81" s="133"/>
      <c r="AI81" s="67"/>
      <c r="AJ81" s="42"/>
      <c r="AK81" s="41"/>
      <c r="AL81" s="134"/>
      <c r="AM81" s="67"/>
      <c r="AN81" s="42"/>
      <c r="AO81" s="42"/>
      <c r="AP81" s="133"/>
      <c r="AQ81" s="67"/>
      <c r="AR81" s="42"/>
      <c r="AS81" s="42"/>
    </row>
    <row r="82" spans="1:45" x14ac:dyDescent="0.2">
      <c r="A82" s="42"/>
      <c r="B82" s="133"/>
      <c r="C82" s="67"/>
      <c r="D82" s="42"/>
      <c r="E82" s="42"/>
      <c r="F82" s="134"/>
      <c r="G82" s="69"/>
      <c r="H82" s="42"/>
      <c r="I82" s="41"/>
      <c r="J82" s="133"/>
      <c r="K82" s="69"/>
      <c r="L82" s="41"/>
      <c r="M82" s="42"/>
      <c r="N82" s="133"/>
      <c r="O82" s="67"/>
      <c r="P82" s="42"/>
      <c r="Q82" s="42"/>
      <c r="R82" s="134"/>
      <c r="S82" s="69"/>
      <c r="T82" s="42"/>
      <c r="U82" s="41"/>
      <c r="V82" s="133"/>
      <c r="W82" s="69"/>
      <c r="X82" s="42"/>
      <c r="Y82" s="41"/>
      <c r="Z82" s="134"/>
      <c r="AA82" s="69"/>
      <c r="AB82" s="41"/>
      <c r="AC82" s="42"/>
      <c r="AD82" s="134"/>
      <c r="AE82" s="67"/>
      <c r="AF82" s="41"/>
      <c r="AG82" s="41"/>
      <c r="AH82" s="133"/>
      <c r="AI82" s="67"/>
      <c r="AJ82" s="42"/>
      <c r="AK82" s="41"/>
      <c r="AL82" s="134"/>
      <c r="AM82" s="67"/>
      <c r="AN82" s="42"/>
      <c r="AO82" s="42"/>
      <c r="AP82" s="133"/>
      <c r="AQ82" s="67"/>
      <c r="AR82" s="42"/>
      <c r="AS82" s="42"/>
    </row>
    <row r="83" spans="1:45" x14ac:dyDescent="0.2">
      <c r="A83" s="42"/>
      <c r="B83" s="133"/>
      <c r="C83" s="67"/>
      <c r="D83" s="42"/>
      <c r="E83" s="42"/>
      <c r="F83" s="134"/>
      <c r="G83" s="69"/>
      <c r="H83" s="42"/>
      <c r="I83" s="41"/>
      <c r="J83" s="133"/>
      <c r="K83" s="69"/>
      <c r="L83" s="41"/>
      <c r="M83" s="42"/>
      <c r="N83" s="133"/>
      <c r="O83" s="67"/>
      <c r="P83" s="42"/>
      <c r="Q83" s="42"/>
      <c r="R83" s="134"/>
      <c r="S83" s="69"/>
      <c r="T83" s="42"/>
      <c r="U83" s="41"/>
      <c r="V83" s="133"/>
      <c r="W83" s="69"/>
      <c r="X83" s="42"/>
      <c r="Y83" s="41"/>
      <c r="Z83" s="134"/>
      <c r="AA83" s="69"/>
      <c r="AB83" s="41"/>
      <c r="AC83" s="42"/>
      <c r="AD83" s="134"/>
      <c r="AE83" s="67"/>
      <c r="AF83" s="41"/>
      <c r="AG83" s="41"/>
      <c r="AH83" s="133"/>
      <c r="AI83" s="67"/>
      <c r="AJ83" s="42"/>
      <c r="AK83" s="41"/>
      <c r="AL83" s="134"/>
      <c r="AM83" s="67"/>
      <c r="AN83" s="42"/>
      <c r="AO83" s="42"/>
      <c r="AP83" s="133"/>
      <c r="AQ83" s="67"/>
      <c r="AR83" s="42"/>
      <c r="AS83" s="42"/>
    </row>
    <row r="84" spans="1:45" x14ac:dyDescent="0.2">
      <c r="A84" s="42"/>
      <c r="B84" s="133"/>
      <c r="C84" s="67"/>
      <c r="D84" s="42"/>
      <c r="E84" s="42"/>
      <c r="F84" s="134"/>
      <c r="G84" s="69"/>
      <c r="H84" s="42"/>
      <c r="I84" s="41"/>
      <c r="J84" s="133"/>
      <c r="K84" s="69"/>
      <c r="L84" s="41"/>
      <c r="M84" s="42"/>
      <c r="N84" s="133"/>
      <c r="O84" s="67"/>
      <c r="P84" s="42"/>
      <c r="Q84" s="42"/>
      <c r="R84" s="134"/>
      <c r="S84" s="69"/>
      <c r="T84" s="42"/>
      <c r="U84" s="41"/>
      <c r="V84" s="133"/>
      <c r="W84" s="69"/>
      <c r="X84" s="42"/>
      <c r="Y84" s="41"/>
      <c r="Z84" s="134"/>
      <c r="AA84" s="69"/>
      <c r="AB84" s="41"/>
      <c r="AC84" s="42"/>
      <c r="AD84" s="134"/>
      <c r="AE84" s="67"/>
      <c r="AF84" s="41"/>
      <c r="AG84" s="41"/>
      <c r="AH84" s="133"/>
      <c r="AI84" s="67"/>
      <c r="AJ84" s="42"/>
      <c r="AK84" s="41"/>
      <c r="AL84" s="134"/>
      <c r="AM84" s="67"/>
      <c r="AN84" s="42"/>
      <c r="AO84" s="42"/>
      <c r="AP84" s="133"/>
      <c r="AQ84" s="67"/>
      <c r="AR84" s="42"/>
      <c r="AS84" s="42"/>
    </row>
    <row r="85" spans="1:45" x14ac:dyDescent="0.2">
      <c r="B85" s="48"/>
      <c r="E85" s="48"/>
      <c r="H85" s="48"/>
      <c r="K85" s="70"/>
      <c r="N85" s="48"/>
      <c r="Q85" s="48"/>
      <c r="T85" s="48"/>
      <c r="W85" s="70"/>
    </row>
    <row r="86" spans="1:45" x14ac:dyDescent="0.2">
      <c r="B86" s="48"/>
      <c r="E86" s="48"/>
      <c r="H86" s="48"/>
      <c r="K86" s="70"/>
      <c r="N86" s="48"/>
      <c r="Q86" s="48"/>
      <c r="T86" s="48"/>
      <c r="W86" s="70"/>
    </row>
    <row r="87" spans="1:45" x14ac:dyDescent="0.2">
      <c r="B87" s="48"/>
      <c r="E87" s="48"/>
      <c r="H87" s="48"/>
      <c r="K87" s="70"/>
      <c r="N87" s="48"/>
      <c r="Q87" s="48"/>
      <c r="T87" s="48"/>
      <c r="W87" s="70"/>
    </row>
    <row r="88" spans="1:45" x14ac:dyDescent="0.2">
      <c r="B88" s="48"/>
      <c r="E88" s="48"/>
      <c r="H88" s="48"/>
      <c r="K88" s="70"/>
      <c r="N88" s="48"/>
      <c r="Q88" s="48"/>
      <c r="T88" s="48"/>
      <c r="W88" s="70"/>
    </row>
    <row r="89" spans="1:45" x14ac:dyDescent="0.2">
      <c r="B89" s="48"/>
      <c r="E89" s="48"/>
      <c r="H89" s="48"/>
      <c r="K89" s="70"/>
      <c r="N89" s="48"/>
      <c r="Q89" s="48"/>
      <c r="T89" s="48"/>
      <c r="W89" s="70"/>
    </row>
    <row r="90" spans="1:45" x14ac:dyDescent="0.2">
      <c r="B90" s="48"/>
      <c r="E90" s="48"/>
      <c r="H90" s="48"/>
      <c r="K90" s="70"/>
      <c r="N90" s="48"/>
      <c r="Q90" s="48"/>
      <c r="T90" s="48"/>
      <c r="W90" s="70"/>
    </row>
    <row r="91" spans="1:45" x14ac:dyDescent="0.2">
      <c r="B91" s="48"/>
      <c r="E91" s="48"/>
      <c r="H91" s="48"/>
      <c r="K91" s="70"/>
      <c r="N91" s="48"/>
      <c r="Q91" s="48"/>
      <c r="T91" s="48"/>
      <c r="W91" s="70"/>
    </row>
    <row r="92" spans="1:45" x14ac:dyDescent="0.2">
      <c r="B92" s="48"/>
      <c r="E92" s="48"/>
      <c r="H92" s="48"/>
      <c r="K92" s="70"/>
      <c r="N92" s="48"/>
      <c r="Q92" s="48"/>
      <c r="T92" s="48"/>
      <c r="W92" s="70"/>
    </row>
    <row r="93" spans="1:45" x14ac:dyDescent="0.2">
      <c r="B93" s="48"/>
      <c r="E93" s="48"/>
      <c r="H93" s="48"/>
      <c r="K93" s="70"/>
      <c r="N93" s="48"/>
      <c r="Q93" s="48"/>
      <c r="T93" s="48"/>
      <c r="W93" s="70"/>
    </row>
    <row r="94" spans="1:45" x14ac:dyDescent="0.2">
      <c r="B94" s="48"/>
      <c r="E94" s="48"/>
      <c r="H94" s="48"/>
      <c r="K94" s="70"/>
      <c r="N94" s="48"/>
      <c r="Q94" s="48"/>
      <c r="T94" s="48"/>
      <c r="W94" s="70"/>
    </row>
    <row r="95" spans="1:45" x14ac:dyDescent="0.2">
      <c r="B95" s="48"/>
      <c r="E95" s="48"/>
      <c r="H95" s="48"/>
      <c r="K95" s="70"/>
      <c r="N95" s="48"/>
      <c r="Q95" s="48"/>
      <c r="T95" s="48"/>
      <c r="W95" s="70"/>
    </row>
    <row r="96" spans="1:45" x14ac:dyDescent="0.2">
      <c r="B96" s="48"/>
      <c r="E96" s="48"/>
      <c r="H96" s="48"/>
      <c r="K96" s="70"/>
      <c r="N96" s="48"/>
      <c r="Q96" s="48"/>
      <c r="T96" s="48"/>
      <c r="W96" s="70"/>
    </row>
    <row r="97" spans="2:23" x14ac:dyDescent="0.2">
      <c r="B97" s="48"/>
      <c r="E97" s="48"/>
      <c r="H97" s="48"/>
      <c r="K97" s="70"/>
      <c r="N97" s="48"/>
      <c r="Q97" s="48"/>
      <c r="T97" s="48"/>
      <c r="W97" s="70"/>
    </row>
    <row r="98" spans="2:23" x14ac:dyDescent="0.2">
      <c r="B98" s="48"/>
      <c r="E98" s="48"/>
      <c r="H98" s="48"/>
      <c r="K98" s="70"/>
      <c r="N98" s="48"/>
      <c r="Q98" s="48"/>
      <c r="T98" s="48"/>
      <c r="W98" s="70"/>
    </row>
    <row r="99" spans="2:23" x14ac:dyDescent="0.2">
      <c r="B99" s="48"/>
      <c r="E99" s="48"/>
      <c r="H99" s="48"/>
      <c r="K99" s="70"/>
      <c r="N99" s="48"/>
      <c r="Q99" s="48"/>
      <c r="T99" s="48"/>
      <c r="W99" s="70"/>
    </row>
    <row r="100" spans="2:23" x14ac:dyDescent="0.2">
      <c r="B100" s="48"/>
      <c r="E100" s="48"/>
      <c r="H100" s="48"/>
      <c r="K100" s="70"/>
      <c r="N100" s="48"/>
      <c r="Q100" s="48"/>
      <c r="T100" s="48"/>
      <c r="W100" s="70"/>
    </row>
    <row r="101" spans="2:23" x14ac:dyDescent="0.2">
      <c r="B101" s="48"/>
      <c r="E101" s="48"/>
      <c r="H101" s="48"/>
      <c r="K101" s="70"/>
      <c r="N101" s="48"/>
      <c r="Q101" s="48"/>
      <c r="T101" s="48"/>
      <c r="W101" s="70"/>
    </row>
    <row r="102" spans="2:23" x14ac:dyDescent="0.2">
      <c r="B102" s="48"/>
      <c r="E102" s="48"/>
      <c r="H102" s="48"/>
      <c r="K102" s="70"/>
      <c r="N102" s="48"/>
      <c r="Q102" s="48"/>
      <c r="T102" s="48"/>
      <c r="W102" s="70"/>
    </row>
    <row r="103" spans="2:23" x14ac:dyDescent="0.2">
      <c r="B103" s="48"/>
      <c r="E103" s="48"/>
      <c r="H103" s="48"/>
      <c r="K103" s="70"/>
      <c r="N103" s="48"/>
      <c r="Q103" s="48"/>
      <c r="T103" s="48"/>
      <c r="W103" s="70"/>
    </row>
    <row r="104" spans="2:23" x14ac:dyDescent="0.2">
      <c r="B104" s="48"/>
      <c r="E104" s="48"/>
      <c r="H104" s="48"/>
      <c r="K104" s="70"/>
      <c r="N104" s="48"/>
      <c r="Q104" s="48"/>
      <c r="T104" s="48"/>
      <c r="W104" s="70"/>
    </row>
    <row r="105" spans="2:23" x14ac:dyDescent="0.2">
      <c r="B105" s="48"/>
      <c r="E105" s="48"/>
      <c r="H105" s="48"/>
      <c r="K105" s="70"/>
      <c r="N105" s="48"/>
      <c r="Q105" s="48"/>
      <c r="T105" s="48"/>
      <c r="W105" s="70"/>
    </row>
    <row r="106" spans="2:23" x14ac:dyDescent="0.2">
      <c r="B106" s="48"/>
      <c r="E106" s="48"/>
      <c r="H106" s="48"/>
      <c r="K106" s="70"/>
      <c r="N106" s="48"/>
      <c r="Q106" s="48"/>
      <c r="T106" s="48"/>
      <c r="W106" s="70"/>
    </row>
    <row r="107" spans="2:23" x14ac:dyDescent="0.2">
      <c r="B107" s="48"/>
      <c r="E107" s="48"/>
      <c r="H107" s="48"/>
      <c r="K107" s="70"/>
      <c r="N107" s="48"/>
      <c r="Q107" s="48"/>
      <c r="T107" s="48"/>
      <c r="W107" s="70"/>
    </row>
    <row r="108" spans="2:23" x14ac:dyDescent="0.2">
      <c r="B108" s="48"/>
      <c r="E108" s="48"/>
      <c r="H108" s="48"/>
      <c r="K108" s="70"/>
      <c r="N108" s="48"/>
      <c r="Q108" s="48"/>
      <c r="T108" s="48"/>
      <c r="W108" s="70"/>
    </row>
    <row r="109" spans="2:23" x14ac:dyDescent="0.2">
      <c r="B109" s="48"/>
      <c r="E109" s="48"/>
      <c r="H109" s="48"/>
      <c r="K109" s="70"/>
      <c r="N109" s="48"/>
      <c r="Q109" s="48"/>
      <c r="T109" s="48"/>
      <c r="W109" s="70"/>
    </row>
    <row r="110" spans="2:23" x14ac:dyDescent="0.2">
      <c r="B110" s="48"/>
      <c r="E110" s="48"/>
      <c r="H110" s="48"/>
      <c r="K110" s="70"/>
      <c r="N110" s="48"/>
      <c r="Q110" s="48"/>
      <c r="T110" s="48"/>
      <c r="W110" s="70"/>
    </row>
    <row r="111" spans="2:23" x14ac:dyDescent="0.2">
      <c r="B111" s="48"/>
      <c r="E111" s="48"/>
      <c r="H111" s="48"/>
      <c r="K111" s="70"/>
      <c r="N111" s="48"/>
      <c r="Q111" s="48"/>
      <c r="T111" s="48"/>
      <c r="W111" s="70"/>
    </row>
    <row r="112" spans="2:23" x14ac:dyDescent="0.2">
      <c r="B112" s="48"/>
      <c r="E112" s="48"/>
      <c r="H112" s="48"/>
      <c r="K112" s="70"/>
      <c r="N112" s="48"/>
      <c r="Q112" s="48"/>
      <c r="T112" s="48"/>
      <c r="W112" s="70"/>
    </row>
    <row r="113" spans="2:23" x14ac:dyDescent="0.2">
      <c r="B113" s="48"/>
      <c r="E113" s="48"/>
      <c r="H113" s="48"/>
      <c r="K113" s="70"/>
      <c r="N113" s="48"/>
      <c r="Q113" s="48"/>
      <c r="T113" s="48"/>
      <c r="W113" s="70"/>
    </row>
    <row r="114" spans="2:23" x14ac:dyDescent="0.2">
      <c r="B114" s="48"/>
      <c r="E114" s="48"/>
      <c r="H114" s="48"/>
      <c r="K114" s="70"/>
      <c r="N114" s="48"/>
      <c r="Q114" s="48"/>
      <c r="T114" s="48"/>
      <c r="W114" s="70"/>
    </row>
    <row r="115" spans="2:23" x14ac:dyDescent="0.2">
      <c r="B115" s="48"/>
      <c r="E115" s="48"/>
      <c r="H115" s="48"/>
      <c r="K115" s="70"/>
      <c r="N115" s="48"/>
      <c r="Q115" s="48"/>
      <c r="T115" s="48"/>
      <c r="W115" s="70"/>
    </row>
    <row r="116" spans="2:23" x14ac:dyDescent="0.2">
      <c r="B116" s="48"/>
      <c r="E116" s="48"/>
      <c r="H116" s="48"/>
      <c r="K116" s="70"/>
      <c r="N116" s="48"/>
      <c r="Q116" s="48"/>
      <c r="T116" s="48"/>
      <c r="W116" s="70"/>
    </row>
    <row r="117" spans="2:23" x14ac:dyDescent="0.2">
      <c r="B117" s="48"/>
      <c r="E117" s="48"/>
      <c r="H117" s="48"/>
      <c r="K117" s="70"/>
      <c r="N117" s="48"/>
      <c r="Q117" s="48"/>
      <c r="T117" s="48"/>
      <c r="W117" s="70"/>
    </row>
    <row r="118" spans="2:23" x14ac:dyDescent="0.2">
      <c r="B118" s="48"/>
      <c r="E118" s="48"/>
      <c r="H118" s="48"/>
      <c r="K118" s="70"/>
      <c r="N118" s="48"/>
      <c r="Q118" s="48"/>
      <c r="T118" s="48"/>
      <c r="W118" s="70"/>
    </row>
    <row r="119" spans="2:23" x14ac:dyDescent="0.2">
      <c r="B119" s="48"/>
      <c r="E119" s="48"/>
      <c r="H119" s="48"/>
      <c r="K119" s="70"/>
      <c r="N119" s="48"/>
      <c r="Q119" s="48"/>
      <c r="T119" s="48"/>
      <c r="W119" s="70"/>
    </row>
    <row r="120" spans="2:23" x14ac:dyDescent="0.2">
      <c r="B120" s="48"/>
      <c r="E120" s="48"/>
      <c r="H120" s="48"/>
      <c r="K120" s="70"/>
      <c r="N120" s="48"/>
      <c r="Q120" s="48"/>
      <c r="T120" s="48"/>
      <c r="W120" s="70"/>
    </row>
    <row r="121" spans="2:23" x14ac:dyDescent="0.2">
      <c r="B121" s="48"/>
      <c r="E121" s="48"/>
      <c r="H121" s="48"/>
      <c r="K121" s="70"/>
      <c r="N121" s="48"/>
      <c r="Q121" s="48"/>
      <c r="T121" s="48"/>
      <c r="W121" s="70"/>
    </row>
    <row r="122" spans="2:23" x14ac:dyDescent="0.2">
      <c r="B122" s="48"/>
      <c r="E122" s="48"/>
      <c r="H122" s="48"/>
      <c r="K122" s="70"/>
      <c r="N122" s="48"/>
      <c r="Q122" s="48"/>
      <c r="T122" s="48"/>
      <c r="W122" s="70"/>
    </row>
    <row r="123" spans="2:23" x14ac:dyDescent="0.2">
      <c r="B123" s="48"/>
      <c r="E123" s="48"/>
      <c r="H123" s="48"/>
      <c r="K123" s="70"/>
      <c r="N123" s="48"/>
      <c r="Q123" s="48"/>
      <c r="T123" s="48"/>
      <c r="W123" s="70"/>
    </row>
    <row r="124" spans="2:23" x14ac:dyDescent="0.2">
      <c r="B124" s="48"/>
      <c r="E124" s="48"/>
      <c r="H124" s="48"/>
      <c r="K124" s="70"/>
      <c r="N124" s="48"/>
      <c r="Q124" s="48"/>
      <c r="T124" s="48"/>
      <c r="W124" s="70"/>
    </row>
    <row r="125" spans="2:23" x14ac:dyDescent="0.2">
      <c r="B125" s="48"/>
      <c r="E125" s="48"/>
      <c r="H125" s="48"/>
      <c r="K125" s="70"/>
      <c r="N125" s="48"/>
      <c r="Q125" s="48"/>
      <c r="T125" s="48"/>
      <c r="W125" s="70"/>
    </row>
    <row r="126" spans="2:23" x14ac:dyDescent="0.2">
      <c r="B126" s="48"/>
      <c r="E126" s="48"/>
      <c r="H126" s="48"/>
      <c r="K126" s="70"/>
      <c r="N126" s="48"/>
      <c r="Q126" s="48"/>
      <c r="T126" s="48"/>
      <c r="W126" s="70"/>
    </row>
    <row r="127" spans="2:23" x14ac:dyDescent="0.2">
      <c r="B127" s="48"/>
      <c r="E127" s="48"/>
      <c r="H127" s="48"/>
      <c r="K127" s="70"/>
      <c r="N127" s="48"/>
      <c r="Q127" s="48"/>
      <c r="T127" s="48"/>
      <c r="W127" s="70"/>
    </row>
    <row r="128" spans="2:23" x14ac:dyDescent="0.2">
      <c r="B128" s="48"/>
      <c r="E128" s="48"/>
      <c r="H128" s="48"/>
      <c r="K128" s="70"/>
      <c r="N128" s="48"/>
      <c r="Q128" s="48"/>
      <c r="T128" s="48"/>
      <c r="W128" s="70"/>
    </row>
    <row r="129" spans="2:23" x14ac:dyDescent="0.2">
      <c r="B129" s="48"/>
      <c r="E129" s="48"/>
      <c r="H129" s="48"/>
      <c r="K129" s="70"/>
      <c r="N129" s="48"/>
      <c r="Q129" s="48"/>
      <c r="T129" s="48"/>
      <c r="W129" s="70"/>
    </row>
    <row r="130" spans="2:23" x14ac:dyDescent="0.2">
      <c r="B130" s="48"/>
      <c r="E130" s="48"/>
      <c r="H130" s="48"/>
      <c r="K130" s="70"/>
      <c r="N130" s="48"/>
      <c r="Q130" s="48"/>
      <c r="T130" s="48"/>
      <c r="W130" s="70"/>
    </row>
    <row r="131" spans="2:23" x14ac:dyDescent="0.2">
      <c r="B131" s="48"/>
      <c r="E131" s="48"/>
      <c r="H131" s="48"/>
      <c r="K131" s="70"/>
      <c r="N131" s="48"/>
      <c r="Q131" s="48"/>
      <c r="T131" s="48"/>
      <c r="W131" s="70"/>
    </row>
    <row r="132" spans="2:23" x14ac:dyDescent="0.2">
      <c r="B132" s="48"/>
      <c r="E132" s="48"/>
      <c r="H132" s="48"/>
      <c r="K132" s="70"/>
      <c r="N132" s="48"/>
      <c r="Q132" s="48"/>
      <c r="T132" s="48"/>
      <c r="W132" s="70"/>
    </row>
    <row r="133" spans="2:23" x14ac:dyDescent="0.2">
      <c r="B133" s="48"/>
      <c r="E133" s="48"/>
      <c r="H133" s="48"/>
      <c r="K133" s="70"/>
      <c r="N133" s="48"/>
      <c r="Q133" s="48"/>
      <c r="T133" s="48"/>
      <c r="W133" s="70"/>
    </row>
    <row r="134" spans="2:23" x14ac:dyDescent="0.2">
      <c r="B134" s="48"/>
      <c r="E134" s="48"/>
      <c r="H134" s="48"/>
      <c r="K134" s="70"/>
      <c r="N134" s="48"/>
      <c r="Q134" s="48"/>
      <c r="T134" s="48"/>
      <c r="W134" s="70"/>
    </row>
    <row r="135" spans="2:23" x14ac:dyDescent="0.2">
      <c r="B135" s="48"/>
      <c r="E135" s="48"/>
      <c r="H135" s="48"/>
      <c r="K135" s="70"/>
      <c r="N135" s="48"/>
      <c r="Q135" s="48"/>
      <c r="T135" s="48"/>
      <c r="W135" s="70"/>
    </row>
    <row r="136" spans="2:23" x14ac:dyDescent="0.2">
      <c r="B136" s="48"/>
      <c r="E136" s="48"/>
      <c r="H136" s="48"/>
      <c r="K136" s="70"/>
      <c r="N136" s="48"/>
      <c r="Q136" s="48"/>
      <c r="T136" s="48"/>
      <c r="W136" s="70"/>
    </row>
    <row r="137" spans="2:23" x14ac:dyDescent="0.2">
      <c r="B137" s="48"/>
      <c r="E137" s="48"/>
      <c r="H137" s="48"/>
      <c r="K137" s="70"/>
      <c r="N137" s="48"/>
      <c r="Q137" s="48"/>
      <c r="T137" s="48"/>
      <c r="W137" s="70"/>
    </row>
    <row r="138" spans="2:23" x14ac:dyDescent="0.2">
      <c r="B138" s="48"/>
      <c r="E138" s="48"/>
      <c r="H138" s="48"/>
      <c r="K138" s="70"/>
      <c r="N138" s="48"/>
      <c r="Q138" s="48"/>
      <c r="T138" s="48"/>
      <c r="W138" s="70"/>
    </row>
    <row r="139" spans="2:23" x14ac:dyDescent="0.2">
      <c r="B139" s="48"/>
      <c r="E139" s="48"/>
      <c r="H139" s="48"/>
      <c r="K139" s="70"/>
      <c r="N139" s="48"/>
      <c r="Q139" s="48"/>
      <c r="T139" s="48"/>
      <c r="W139" s="70"/>
    </row>
    <row r="140" spans="2:23" x14ac:dyDescent="0.2">
      <c r="B140" s="48"/>
      <c r="E140" s="48"/>
      <c r="H140" s="48"/>
      <c r="K140" s="70"/>
      <c r="N140" s="48"/>
      <c r="Q140" s="48"/>
      <c r="T140" s="48"/>
      <c r="W140" s="70"/>
    </row>
    <row r="141" spans="2:23" x14ac:dyDescent="0.2">
      <c r="B141" s="48"/>
      <c r="E141" s="48"/>
      <c r="H141" s="48"/>
      <c r="K141" s="70"/>
      <c r="N141" s="48"/>
      <c r="Q141" s="48"/>
      <c r="T141" s="48"/>
      <c r="W141" s="70"/>
    </row>
    <row r="142" spans="2:23" x14ac:dyDescent="0.2">
      <c r="B142" s="48"/>
      <c r="E142" s="48"/>
      <c r="H142" s="48"/>
      <c r="K142" s="70"/>
      <c r="N142" s="48"/>
      <c r="Q142" s="48"/>
      <c r="T142" s="48"/>
      <c r="W142" s="70"/>
    </row>
    <row r="143" spans="2:23" x14ac:dyDescent="0.2">
      <c r="B143" s="48"/>
      <c r="E143" s="48"/>
      <c r="H143" s="48"/>
      <c r="K143" s="70"/>
      <c r="N143" s="48"/>
      <c r="Q143" s="48"/>
      <c r="T143" s="48"/>
      <c r="W143" s="70"/>
    </row>
    <row r="144" spans="2:23" x14ac:dyDescent="0.2">
      <c r="B144" s="48"/>
      <c r="E144" s="48"/>
      <c r="H144" s="48"/>
      <c r="K144" s="70"/>
      <c r="N144" s="48"/>
      <c r="Q144" s="48"/>
      <c r="T144" s="48"/>
      <c r="W144" s="70"/>
    </row>
    <row r="145" spans="2:23" x14ac:dyDescent="0.2">
      <c r="B145" s="48"/>
      <c r="E145" s="48"/>
      <c r="H145" s="48"/>
      <c r="K145" s="70"/>
      <c r="N145" s="48"/>
      <c r="Q145" s="48"/>
      <c r="T145" s="48"/>
      <c r="W145" s="70"/>
    </row>
    <row r="146" spans="2:23" x14ac:dyDescent="0.2">
      <c r="B146" s="48"/>
      <c r="E146" s="48"/>
      <c r="H146" s="48"/>
      <c r="K146" s="70"/>
      <c r="N146" s="48"/>
      <c r="Q146" s="48"/>
      <c r="T146" s="48"/>
      <c r="W146" s="70"/>
    </row>
    <row r="147" spans="2:23" x14ac:dyDescent="0.2">
      <c r="B147" s="48"/>
      <c r="E147" s="48"/>
      <c r="H147" s="48"/>
      <c r="K147" s="70"/>
      <c r="N147" s="48"/>
      <c r="Q147" s="48"/>
      <c r="T147" s="48"/>
      <c r="W147" s="70"/>
    </row>
    <row r="148" spans="2:23" x14ac:dyDescent="0.2">
      <c r="B148" s="48"/>
      <c r="E148" s="48"/>
      <c r="H148" s="48"/>
      <c r="K148" s="70"/>
      <c r="N148" s="48"/>
      <c r="Q148" s="48"/>
      <c r="T148" s="48"/>
      <c r="W148" s="70"/>
    </row>
    <row r="149" spans="2:23" x14ac:dyDescent="0.2">
      <c r="B149" s="48"/>
      <c r="E149" s="48"/>
      <c r="H149" s="48"/>
      <c r="K149" s="70"/>
      <c r="N149" s="48"/>
      <c r="Q149" s="48"/>
      <c r="T149" s="48"/>
      <c r="W149" s="70"/>
    </row>
    <row r="150" spans="2:23" x14ac:dyDescent="0.2">
      <c r="B150" s="48"/>
      <c r="E150" s="48"/>
      <c r="H150" s="48"/>
      <c r="K150" s="70"/>
      <c r="N150" s="48"/>
      <c r="Q150" s="48"/>
      <c r="T150" s="48"/>
      <c r="W150" s="70"/>
    </row>
    <row r="151" spans="2:23" x14ac:dyDescent="0.2">
      <c r="B151" s="48"/>
      <c r="E151" s="48"/>
      <c r="H151" s="48"/>
      <c r="K151" s="70"/>
      <c r="N151" s="48"/>
      <c r="Q151" s="48"/>
      <c r="T151" s="48"/>
      <c r="W151" s="70"/>
    </row>
    <row r="152" spans="2:23" x14ac:dyDescent="0.2">
      <c r="B152" s="48"/>
      <c r="E152" s="48"/>
      <c r="H152" s="48"/>
      <c r="K152" s="70"/>
      <c r="N152" s="48"/>
      <c r="Q152" s="48"/>
      <c r="T152" s="48"/>
      <c r="W152" s="70"/>
    </row>
    <row r="153" spans="2:23" x14ac:dyDescent="0.2">
      <c r="B153" s="48"/>
      <c r="E153" s="48"/>
      <c r="H153" s="48"/>
      <c r="K153" s="70"/>
      <c r="N153" s="48"/>
      <c r="Q153" s="48"/>
      <c r="T153" s="48"/>
      <c r="W153" s="70"/>
    </row>
    <row r="154" spans="2:23" x14ac:dyDescent="0.2">
      <c r="B154" s="48"/>
      <c r="E154" s="48"/>
      <c r="H154" s="48"/>
      <c r="K154" s="70"/>
      <c r="N154" s="48"/>
      <c r="Q154" s="48"/>
      <c r="T154" s="48"/>
      <c r="W154" s="70"/>
    </row>
    <row r="155" spans="2:23" x14ac:dyDescent="0.2">
      <c r="B155" s="48"/>
      <c r="E155" s="48"/>
      <c r="H155" s="48"/>
      <c r="K155" s="70"/>
      <c r="N155" s="48"/>
      <c r="Q155" s="48"/>
      <c r="T155" s="48"/>
      <c r="W155" s="70"/>
    </row>
    <row r="156" spans="2:23" x14ac:dyDescent="0.2">
      <c r="B156" s="48"/>
      <c r="E156" s="48"/>
      <c r="H156" s="48"/>
      <c r="K156" s="70"/>
      <c r="N156" s="48"/>
      <c r="Q156" s="48"/>
      <c r="T156" s="48"/>
      <c r="W156" s="70"/>
    </row>
    <row r="157" spans="2:23" x14ac:dyDescent="0.2">
      <c r="B157" s="48"/>
      <c r="E157" s="48"/>
      <c r="H157" s="48"/>
      <c r="K157" s="70"/>
      <c r="N157" s="48"/>
      <c r="Q157" s="48"/>
      <c r="T157" s="48"/>
      <c r="W157" s="70"/>
    </row>
    <row r="158" spans="2:23" x14ac:dyDescent="0.2">
      <c r="B158" s="48"/>
      <c r="E158" s="48"/>
      <c r="H158" s="48"/>
      <c r="K158" s="70"/>
      <c r="N158" s="48"/>
      <c r="Q158" s="48"/>
      <c r="T158" s="48"/>
      <c r="W158" s="70"/>
    </row>
    <row r="159" spans="2:23" x14ac:dyDescent="0.2">
      <c r="B159" s="48"/>
      <c r="E159" s="48"/>
      <c r="H159" s="48"/>
      <c r="K159" s="70"/>
      <c r="N159" s="48"/>
      <c r="Q159" s="48"/>
      <c r="T159" s="48"/>
      <c r="W159" s="70"/>
    </row>
    <row r="160" spans="2:23" x14ac:dyDescent="0.2">
      <c r="B160" s="48"/>
      <c r="E160" s="48"/>
      <c r="H160" s="48"/>
      <c r="K160" s="70"/>
      <c r="N160" s="48"/>
      <c r="Q160" s="48"/>
      <c r="T160" s="48"/>
      <c r="W160" s="70"/>
    </row>
    <row r="161" spans="2:23" x14ac:dyDescent="0.2">
      <c r="B161" s="48"/>
      <c r="E161" s="48"/>
      <c r="H161" s="48"/>
      <c r="K161" s="70"/>
      <c r="N161" s="48"/>
      <c r="Q161" s="48"/>
      <c r="T161" s="48"/>
      <c r="W161" s="70"/>
    </row>
    <row r="162" spans="2:23" x14ac:dyDescent="0.2">
      <c r="B162" s="48"/>
      <c r="E162" s="48"/>
      <c r="H162" s="48"/>
      <c r="K162" s="70"/>
      <c r="N162" s="48"/>
      <c r="Q162" s="48"/>
      <c r="T162" s="48"/>
      <c r="W162" s="70"/>
    </row>
    <row r="163" spans="2:23" x14ac:dyDescent="0.2">
      <c r="B163" s="48"/>
      <c r="E163" s="48"/>
      <c r="H163" s="48"/>
      <c r="K163" s="70"/>
      <c r="N163" s="48"/>
      <c r="Q163" s="48"/>
      <c r="T163" s="48"/>
      <c r="W163" s="70"/>
    </row>
    <row r="164" spans="2:23" x14ac:dyDescent="0.2">
      <c r="B164" s="48"/>
      <c r="E164" s="48"/>
      <c r="H164" s="48"/>
      <c r="K164" s="70"/>
      <c r="N164" s="48"/>
      <c r="Q164" s="48"/>
      <c r="T164" s="48"/>
      <c r="W164" s="70"/>
    </row>
    <row r="165" spans="2:23" x14ac:dyDescent="0.2">
      <c r="B165" s="48"/>
      <c r="E165" s="48"/>
      <c r="H165" s="48"/>
      <c r="K165" s="70"/>
      <c r="N165" s="48"/>
      <c r="Q165" s="48"/>
      <c r="T165" s="48"/>
      <c r="W165" s="70"/>
    </row>
    <row r="166" spans="2:23" x14ac:dyDescent="0.2">
      <c r="B166" s="48"/>
      <c r="E166" s="48"/>
      <c r="H166" s="48"/>
      <c r="K166" s="70"/>
      <c r="N166" s="48"/>
      <c r="Q166" s="48"/>
      <c r="T166" s="48"/>
      <c r="W166" s="70"/>
    </row>
    <row r="167" spans="2:23" x14ac:dyDescent="0.2">
      <c r="B167" s="48"/>
      <c r="E167" s="48"/>
      <c r="H167" s="48"/>
      <c r="K167" s="70"/>
      <c r="N167" s="48"/>
      <c r="Q167" s="48"/>
      <c r="T167" s="48"/>
      <c r="W167" s="70"/>
    </row>
    <row r="168" spans="2:23" x14ac:dyDescent="0.2">
      <c r="B168" s="48"/>
      <c r="E168" s="48"/>
      <c r="H168" s="48"/>
      <c r="K168" s="70"/>
      <c r="N168" s="48"/>
      <c r="Q168" s="48"/>
      <c r="T168" s="48"/>
      <c r="W168" s="70"/>
    </row>
    <row r="169" spans="2:23" x14ac:dyDescent="0.2">
      <c r="B169" s="48"/>
      <c r="E169" s="48"/>
      <c r="H169" s="48"/>
      <c r="K169" s="70"/>
      <c r="N169" s="48"/>
      <c r="Q169" s="48"/>
      <c r="T169" s="48"/>
      <c r="W169" s="70"/>
    </row>
    <row r="170" spans="2:23" x14ac:dyDescent="0.2">
      <c r="B170" s="48"/>
      <c r="E170" s="48"/>
      <c r="H170" s="48"/>
      <c r="K170" s="70"/>
      <c r="N170" s="48"/>
      <c r="Q170" s="48"/>
      <c r="T170" s="48"/>
      <c r="W170" s="70"/>
    </row>
    <row r="171" spans="2:23" x14ac:dyDescent="0.2">
      <c r="B171" s="48"/>
      <c r="E171" s="48"/>
      <c r="H171" s="48"/>
      <c r="K171" s="70"/>
      <c r="N171" s="48"/>
      <c r="Q171" s="48"/>
      <c r="T171" s="48"/>
      <c r="W171" s="70"/>
    </row>
    <row r="172" spans="2:23" x14ac:dyDescent="0.2">
      <c r="B172" s="48"/>
      <c r="E172" s="48"/>
      <c r="H172" s="48"/>
      <c r="K172" s="70"/>
      <c r="N172" s="48"/>
      <c r="Q172" s="48"/>
      <c r="T172" s="48"/>
      <c r="W172" s="70"/>
    </row>
    <row r="173" spans="2:23" x14ac:dyDescent="0.2">
      <c r="B173" s="48"/>
      <c r="E173" s="48"/>
      <c r="H173" s="48"/>
      <c r="K173" s="70"/>
      <c r="N173" s="48"/>
      <c r="Q173" s="48"/>
      <c r="T173" s="48"/>
      <c r="W173" s="70"/>
    </row>
    <row r="174" spans="2:23" x14ac:dyDescent="0.2">
      <c r="B174" s="48"/>
      <c r="E174" s="48"/>
      <c r="H174" s="48"/>
      <c r="K174" s="70"/>
      <c r="N174" s="48"/>
      <c r="Q174" s="48"/>
      <c r="T174" s="48"/>
      <c r="W174" s="70"/>
    </row>
    <row r="175" spans="2:23" x14ac:dyDescent="0.2">
      <c r="B175" s="48"/>
      <c r="E175" s="48"/>
      <c r="H175" s="48"/>
      <c r="K175" s="70"/>
      <c r="N175" s="48"/>
      <c r="Q175" s="48"/>
      <c r="T175" s="48"/>
      <c r="W175" s="70"/>
    </row>
    <row r="176" spans="2:23" x14ac:dyDescent="0.2">
      <c r="B176" s="48"/>
      <c r="E176" s="48"/>
      <c r="H176" s="48"/>
      <c r="K176" s="70"/>
      <c r="N176" s="48"/>
      <c r="Q176" s="48"/>
      <c r="T176" s="48"/>
      <c r="W176" s="70"/>
    </row>
    <row r="177" spans="2:23" x14ac:dyDescent="0.2">
      <c r="B177" s="48"/>
      <c r="E177" s="48"/>
      <c r="H177" s="48"/>
      <c r="K177" s="70"/>
      <c r="N177" s="48"/>
      <c r="Q177" s="48"/>
      <c r="T177" s="48"/>
      <c r="W177" s="70"/>
    </row>
    <row r="178" spans="2:23" x14ac:dyDescent="0.2">
      <c r="B178" s="48"/>
      <c r="E178" s="48"/>
      <c r="H178" s="48"/>
      <c r="K178" s="70"/>
      <c r="N178" s="48"/>
      <c r="Q178" s="48"/>
      <c r="T178" s="48"/>
      <c r="W178" s="70"/>
    </row>
    <row r="179" spans="2:23" x14ac:dyDescent="0.2">
      <c r="B179" s="48"/>
      <c r="E179" s="48"/>
      <c r="H179" s="48"/>
      <c r="K179" s="70"/>
      <c r="N179" s="48"/>
      <c r="Q179" s="48"/>
      <c r="T179" s="48"/>
      <c r="W179" s="70"/>
    </row>
    <row r="180" spans="2:23" x14ac:dyDescent="0.2">
      <c r="B180" s="48"/>
      <c r="E180" s="48"/>
      <c r="H180" s="48"/>
      <c r="K180" s="70"/>
      <c r="N180" s="48"/>
      <c r="Q180" s="48"/>
      <c r="T180" s="48"/>
      <c r="W180" s="70"/>
    </row>
    <row r="181" spans="2:23" x14ac:dyDescent="0.2">
      <c r="B181" s="48"/>
      <c r="E181" s="48"/>
      <c r="H181" s="48"/>
      <c r="K181" s="70"/>
      <c r="N181" s="48"/>
      <c r="Q181" s="48"/>
      <c r="T181" s="48"/>
      <c r="W181" s="70"/>
    </row>
    <row r="182" spans="2:23" x14ac:dyDescent="0.2">
      <c r="B182" s="48"/>
      <c r="E182" s="48"/>
      <c r="H182" s="48"/>
      <c r="K182" s="70"/>
      <c r="N182" s="48"/>
      <c r="Q182" s="48"/>
      <c r="T182" s="48"/>
      <c r="W182" s="70"/>
    </row>
    <row r="183" spans="2:23" x14ac:dyDescent="0.2">
      <c r="B183" s="48"/>
      <c r="E183" s="48"/>
      <c r="H183" s="48"/>
      <c r="K183" s="70"/>
      <c r="N183" s="48"/>
      <c r="Q183" s="48"/>
      <c r="T183" s="48"/>
      <c r="W183" s="70"/>
    </row>
    <row r="184" spans="2:23" x14ac:dyDescent="0.2">
      <c r="B184" s="48"/>
      <c r="E184" s="48"/>
      <c r="H184" s="48"/>
      <c r="K184" s="70"/>
      <c r="N184" s="48"/>
      <c r="Q184" s="48"/>
      <c r="T184" s="48"/>
      <c r="W184" s="70"/>
    </row>
    <row r="185" spans="2:23" x14ac:dyDescent="0.2">
      <c r="B185" s="48"/>
      <c r="E185" s="48"/>
      <c r="H185" s="48"/>
      <c r="K185" s="70"/>
      <c r="N185" s="48"/>
      <c r="Q185" s="48"/>
      <c r="T185" s="48"/>
      <c r="W185" s="70"/>
    </row>
    <row r="186" spans="2:23" x14ac:dyDescent="0.2">
      <c r="B186" s="48"/>
      <c r="E186" s="48"/>
      <c r="H186" s="48"/>
      <c r="K186" s="70"/>
      <c r="N186" s="48"/>
      <c r="Q186" s="48"/>
      <c r="T186" s="48"/>
      <c r="W186" s="70"/>
    </row>
    <row r="187" spans="2:23" x14ac:dyDescent="0.2">
      <c r="B187" s="48"/>
      <c r="E187" s="48"/>
      <c r="H187" s="48"/>
      <c r="K187" s="70"/>
      <c r="N187" s="48"/>
      <c r="Q187" s="48"/>
      <c r="T187" s="48"/>
      <c r="W187" s="70"/>
    </row>
    <row r="188" spans="2:23" x14ac:dyDescent="0.2">
      <c r="B188" s="48"/>
      <c r="E188" s="48"/>
      <c r="H188" s="48"/>
      <c r="K188" s="70"/>
      <c r="N188" s="48"/>
      <c r="Q188" s="48"/>
      <c r="T188" s="48"/>
      <c r="W188" s="70"/>
    </row>
    <row r="189" spans="2:23" x14ac:dyDescent="0.2">
      <c r="B189" s="48"/>
      <c r="E189" s="48"/>
      <c r="H189" s="48"/>
      <c r="K189" s="70"/>
      <c r="N189" s="48"/>
      <c r="Q189" s="48"/>
      <c r="T189" s="48"/>
      <c r="W189" s="70"/>
    </row>
    <row r="190" spans="2:23" x14ac:dyDescent="0.2">
      <c r="B190" s="48"/>
      <c r="E190" s="48"/>
      <c r="H190" s="48"/>
      <c r="K190" s="70"/>
      <c r="N190" s="48"/>
      <c r="Q190" s="48"/>
      <c r="T190" s="48"/>
      <c r="W190" s="70"/>
    </row>
    <row r="191" spans="2:23" x14ac:dyDescent="0.2">
      <c r="B191" s="48"/>
      <c r="E191" s="48"/>
      <c r="H191" s="48"/>
      <c r="K191" s="70"/>
      <c r="N191" s="48"/>
      <c r="Q191" s="48"/>
      <c r="T191" s="48"/>
      <c r="W191" s="70"/>
    </row>
    <row r="192" spans="2:23" x14ac:dyDescent="0.2">
      <c r="B192" s="48"/>
      <c r="E192" s="48"/>
      <c r="H192" s="48"/>
      <c r="K192" s="70"/>
      <c r="N192" s="48"/>
      <c r="Q192" s="48"/>
      <c r="T192" s="48"/>
      <c r="W192" s="70"/>
    </row>
    <row r="193" spans="2:23" x14ac:dyDescent="0.2">
      <c r="B193" s="48"/>
      <c r="E193" s="48"/>
      <c r="H193" s="48"/>
      <c r="K193" s="70"/>
      <c r="N193" s="48"/>
      <c r="Q193" s="48"/>
      <c r="T193" s="48"/>
      <c r="W193" s="70"/>
    </row>
    <row r="194" spans="2:23" x14ac:dyDescent="0.2">
      <c r="B194" s="48"/>
      <c r="E194" s="48"/>
      <c r="H194" s="48"/>
      <c r="K194" s="70"/>
      <c r="N194" s="48"/>
      <c r="Q194" s="48"/>
      <c r="T194" s="48"/>
      <c r="W194" s="70"/>
    </row>
    <row r="195" spans="2:23" x14ac:dyDescent="0.2">
      <c r="B195" s="48"/>
      <c r="E195" s="48"/>
      <c r="H195" s="48"/>
      <c r="K195" s="70"/>
      <c r="N195" s="48"/>
      <c r="Q195" s="48"/>
      <c r="T195" s="48"/>
      <c r="W195" s="70"/>
    </row>
    <row r="196" spans="2:23" x14ac:dyDescent="0.2">
      <c r="B196" s="48"/>
      <c r="E196" s="48"/>
      <c r="H196" s="48"/>
      <c r="K196" s="70"/>
      <c r="N196" s="48"/>
      <c r="Q196" s="48"/>
      <c r="T196" s="48"/>
      <c r="W196" s="70"/>
    </row>
    <row r="197" spans="2:23" x14ac:dyDescent="0.2">
      <c r="B197" s="48"/>
      <c r="E197" s="48"/>
      <c r="H197" s="48"/>
      <c r="K197" s="70"/>
      <c r="N197" s="48"/>
      <c r="Q197" s="48"/>
      <c r="T197" s="48"/>
      <c r="W197" s="70"/>
    </row>
    <row r="198" spans="2:23" x14ac:dyDescent="0.2">
      <c r="B198" s="48"/>
      <c r="E198" s="48"/>
      <c r="H198" s="48"/>
      <c r="K198" s="70"/>
      <c r="N198" s="48"/>
      <c r="Q198" s="48"/>
      <c r="T198" s="48"/>
      <c r="W198" s="70"/>
    </row>
    <row r="199" spans="2:23" x14ac:dyDescent="0.2">
      <c r="B199" s="48"/>
      <c r="E199" s="48"/>
      <c r="H199" s="48"/>
      <c r="K199" s="70"/>
      <c r="N199" s="48"/>
      <c r="Q199" s="48"/>
      <c r="T199" s="48"/>
      <c r="W199" s="70"/>
    </row>
    <row r="200" spans="2:23" x14ac:dyDescent="0.2">
      <c r="B200" s="48"/>
      <c r="E200" s="48"/>
      <c r="H200" s="48"/>
      <c r="K200" s="70"/>
      <c r="N200" s="48"/>
      <c r="Q200" s="48"/>
      <c r="T200" s="48"/>
      <c r="W200" s="70"/>
    </row>
    <row r="201" spans="2:23" x14ac:dyDescent="0.2">
      <c r="B201" s="48"/>
      <c r="E201" s="48"/>
      <c r="H201" s="48"/>
      <c r="K201" s="70"/>
      <c r="N201" s="48"/>
      <c r="Q201" s="48"/>
      <c r="T201" s="48"/>
      <c r="W201" s="70"/>
    </row>
    <row r="202" spans="2:23" x14ac:dyDescent="0.2">
      <c r="B202" s="48"/>
      <c r="E202" s="48"/>
      <c r="H202" s="48"/>
      <c r="K202" s="70"/>
      <c r="N202" s="48"/>
      <c r="Q202" s="48"/>
      <c r="T202" s="48"/>
      <c r="W202" s="70"/>
    </row>
    <row r="203" spans="2:23" x14ac:dyDescent="0.2">
      <c r="B203" s="48"/>
      <c r="E203" s="48"/>
      <c r="H203" s="48"/>
      <c r="K203" s="70"/>
      <c r="N203" s="48"/>
      <c r="Q203" s="48"/>
      <c r="T203" s="48"/>
      <c r="W203" s="70"/>
    </row>
    <row r="204" spans="2:23" x14ac:dyDescent="0.2">
      <c r="B204" s="48"/>
      <c r="E204" s="48"/>
      <c r="H204" s="48"/>
      <c r="K204" s="70"/>
      <c r="N204" s="48"/>
      <c r="Q204" s="48"/>
      <c r="T204" s="48"/>
      <c r="W204" s="70"/>
    </row>
    <row r="205" spans="2:23" x14ac:dyDescent="0.2">
      <c r="B205" s="48"/>
      <c r="E205" s="48"/>
      <c r="H205" s="48"/>
      <c r="K205" s="70"/>
      <c r="N205" s="48"/>
      <c r="Q205" s="48"/>
      <c r="T205" s="48"/>
      <c r="W205" s="70"/>
    </row>
    <row r="206" spans="2:23" x14ac:dyDescent="0.2">
      <c r="B206" s="48"/>
      <c r="E206" s="48"/>
      <c r="H206" s="48"/>
      <c r="K206" s="70"/>
      <c r="N206" s="48"/>
      <c r="Q206" s="48"/>
      <c r="T206" s="48"/>
      <c r="W206" s="70"/>
    </row>
    <row r="207" spans="2:23" x14ac:dyDescent="0.2">
      <c r="B207" s="48"/>
      <c r="E207" s="48"/>
      <c r="H207" s="48"/>
      <c r="K207" s="70"/>
      <c r="N207" s="48"/>
      <c r="Q207" s="48"/>
      <c r="T207" s="48"/>
      <c r="W207" s="70"/>
    </row>
    <row r="208" spans="2:23" x14ac:dyDescent="0.2">
      <c r="B208" s="48"/>
      <c r="E208" s="48"/>
      <c r="H208" s="48"/>
      <c r="K208" s="70"/>
      <c r="N208" s="48"/>
      <c r="Q208" s="48"/>
      <c r="T208" s="48"/>
      <c r="W208" s="70"/>
    </row>
    <row r="209" spans="2:23" x14ac:dyDescent="0.2">
      <c r="B209" s="48"/>
      <c r="E209" s="48"/>
      <c r="H209" s="48"/>
      <c r="K209" s="70"/>
      <c r="N209" s="48"/>
      <c r="Q209" s="48"/>
      <c r="T209" s="48"/>
      <c r="W209" s="70"/>
    </row>
    <row r="210" spans="2:23" x14ac:dyDescent="0.2">
      <c r="B210" s="48"/>
      <c r="E210" s="48"/>
      <c r="H210" s="48"/>
      <c r="K210" s="70"/>
      <c r="N210" s="48"/>
      <c r="Q210" s="48"/>
      <c r="T210" s="48"/>
      <c r="W210" s="70"/>
    </row>
    <row r="211" spans="2:23" x14ac:dyDescent="0.2">
      <c r="B211" s="48"/>
      <c r="E211" s="48"/>
      <c r="H211" s="48"/>
      <c r="K211" s="70"/>
      <c r="N211" s="48"/>
      <c r="Q211" s="48"/>
      <c r="T211" s="48"/>
      <c r="W211" s="70"/>
    </row>
    <row r="212" spans="2:23" x14ac:dyDescent="0.2">
      <c r="B212" s="48"/>
      <c r="E212" s="48"/>
      <c r="H212" s="48"/>
      <c r="K212" s="70"/>
      <c r="N212" s="48"/>
      <c r="Q212" s="48"/>
      <c r="T212" s="48"/>
      <c r="W212" s="70"/>
    </row>
    <row r="213" spans="2:23" x14ac:dyDescent="0.2">
      <c r="B213" s="48"/>
      <c r="E213" s="48"/>
      <c r="H213" s="48"/>
      <c r="K213" s="70"/>
      <c r="N213" s="48"/>
      <c r="Q213" s="48"/>
      <c r="T213" s="48"/>
      <c r="W213" s="70"/>
    </row>
    <row r="214" spans="2:23" x14ac:dyDescent="0.2">
      <c r="B214" s="48"/>
      <c r="E214" s="48"/>
      <c r="H214" s="48"/>
      <c r="K214" s="70"/>
      <c r="N214" s="48"/>
      <c r="Q214" s="48"/>
      <c r="T214" s="48"/>
      <c r="W214" s="70"/>
    </row>
    <row r="215" spans="2:23" x14ac:dyDescent="0.2">
      <c r="B215" s="48"/>
      <c r="E215" s="48"/>
      <c r="H215" s="48"/>
      <c r="K215" s="70"/>
      <c r="N215" s="48"/>
      <c r="Q215" s="48"/>
      <c r="T215" s="48"/>
      <c r="W215" s="70"/>
    </row>
    <row r="216" spans="2:23" x14ac:dyDescent="0.2">
      <c r="B216" s="48"/>
      <c r="E216" s="48"/>
      <c r="H216" s="48"/>
      <c r="K216" s="70"/>
      <c r="N216" s="48"/>
      <c r="Q216" s="48"/>
      <c r="T216" s="48"/>
      <c r="W216" s="70"/>
    </row>
    <row r="217" spans="2:23" x14ac:dyDescent="0.2">
      <c r="B217" s="48"/>
      <c r="E217" s="48"/>
      <c r="H217" s="48"/>
      <c r="K217" s="70"/>
      <c r="N217" s="48"/>
      <c r="Q217" s="48"/>
      <c r="T217" s="48"/>
      <c r="W217" s="70"/>
    </row>
    <row r="218" spans="2:23" x14ac:dyDescent="0.2">
      <c r="B218" s="48"/>
      <c r="E218" s="48"/>
      <c r="H218" s="48"/>
      <c r="K218" s="70"/>
      <c r="N218" s="48"/>
      <c r="Q218" s="48"/>
      <c r="T218" s="48"/>
      <c r="W218" s="70"/>
    </row>
    <row r="219" spans="2:23" x14ac:dyDescent="0.2">
      <c r="B219" s="48"/>
      <c r="E219" s="48"/>
      <c r="H219" s="48"/>
      <c r="K219" s="70"/>
      <c r="N219" s="48"/>
      <c r="Q219" s="48"/>
      <c r="T219" s="48"/>
      <c r="W219" s="70"/>
    </row>
    <row r="220" spans="2:23" x14ac:dyDescent="0.2">
      <c r="B220" s="48"/>
      <c r="E220" s="48"/>
      <c r="H220" s="48"/>
      <c r="K220" s="70"/>
      <c r="N220" s="48"/>
      <c r="Q220" s="48"/>
      <c r="T220" s="48"/>
      <c r="W220" s="70"/>
    </row>
    <row r="221" spans="2:23" x14ac:dyDescent="0.2">
      <c r="B221" s="48"/>
      <c r="E221" s="48"/>
      <c r="H221" s="48"/>
      <c r="K221" s="70"/>
      <c r="N221" s="48"/>
      <c r="Q221" s="48"/>
      <c r="T221" s="48"/>
      <c r="W221" s="70"/>
    </row>
    <row r="222" spans="2:23" x14ac:dyDescent="0.2">
      <c r="B222" s="48"/>
      <c r="E222" s="48"/>
      <c r="H222" s="48"/>
      <c r="K222" s="70"/>
      <c r="N222" s="48"/>
      <c r="Q222" s="48"/>
      <c r="T222" s="48"/>
      <c r="W222" s="70"/>
    </row>
    <row r="223" spans="2:23" x14ac:dyDescent="0.2">
      <c r="B223" s="48"/>
      <c r="E223" s="48"/>
      <c r="H223" s="48"/>
      <c r="K223" s="70"/>
      <c r="N223" s="48"/>
      <c r="Q223" s="48"/>
      <c r="T223" s="48"/>
      <c r="W223" s="70"/>
    </row>
    <row r="224" spans="2:23" x14ac:dyDescent="0.2">
      <c r="B224" s="48"/>
      <c r="E224" s="48"/>
      <c r="H224" s="48"/>
      <c r="K224" s="70"/>
      <c r="N224" s="48"/>
      <c r="Q224" s="48"/>
      <c r="T224" s="48"/>
      <c r="W224" s="70"/>
    </row>
    <row r="225" spans="2:23" x14ac:dyDescent="0.2">
      <c r="B225" s="48"/>
      <c r="E225" s="48"/>
      <c r="H225" s="48"/>
      <c r="K225" s="70"/>
      <c r="N225" s="48"/>
      <c r="Q225" s="48"/>
      <c r="T225" s="48"/>
      <c r="W225" s="70"/>
    </row>
    <row r="226" spans="2:23" x14ac:dyDescent="0.2">
      <c r="B226" s="48"/>
      <c r="E226" s="48"/>
      <c r="H226" s="48"/>
      <c r="K226" s="70"/>
      <c r="N226" s="48"/>
      <c r="Q226" s="48"/>
      <c r="T226" s="48"/>
      <c r="W226" s="70"/>
    </row>
    <row r="227" spans="2:23" x14ac:dyDescent="0.2">
      <c r="B227" s="48"/>
      <c r="E227" s="48"/>
      <c r="H227" s="48"/>
      <c r="K227" s="70"/>
      <c r="N227" s="48"/>
      <c r="Q227" s="48"/>
      <c r="T227" s="48"/>
      <c r="W227" s="70"/>
    </row>
    <row r="228" spans="2:23" x14ac:dyDescent="0.2">
      <c r="B228" s="48"/>
      <c r="E228" s="48"/>
      <c r="H228" s="48"/>
      <c r="K228" s="70"/>
      <c r="N228" s="48"/>
      <c r="Q228" s="48"/>
      <c r="T228" s="48"/>
      <c r="W228" s="70"/>
    </row>
    <row r="229" spans="2:23" x14ac:dyDescent="0.2">
      <c r="B229" s="48"/>
      <c r="E229" s="48"/>
      <c r="H229" s="48"/>
      <c r="K229" s="70"/>
      <c r="N229" s="48"/>
      <c r="Q229" s="48"/>
      <c r="T229" s="48"/>
      <c r="W229" s="70"/>
    </row>
    <row r="230" spans="2:23" x14ac:dyDescent="0.2">
      <c r="B230" s="48"/>
      <c r="E230" s="48"/>
      <c r="H230" s="48"/>
      <c r="K230" s="70"/>
      <c r="N230" s="48"/>
      <c r="Q230" s="48"/>
      <c r="T230" s="48"/>
      <c r="W230" s="70"/>
    </row>
    <row r="231" spans="2:23" x14ac:dyDescent="0.2">
      <c r="B231" s="48"/>
      <c r="E231" s="48"/>
      <c r="H231" s="48"/>
      <c r="K231" s="70"/>
      <c r="N231" s="48"/>
      <c r="Q231" s="48"/>
      <c r="T231" s="48"/>
      <c r="W231" s="70"/>
    </row>
    <row r="232" spans="2:23" x14ac:dyDescent="0.2">
      <c r="B232" s="48"/>
      <c r="E232" s="48"/>
      <c r="H232" s="48"/>
      <c r="K232" s="70"/>
      <c r="N232" s="48"/>
      <c r="Q232" s="48"/>
      <c r="T232" s="48"/>
      <c r="W232" s="70"/>
    </row>
    <row r="233" spans="2:23" x14ac:dyDescent="0.2">
      <c r="B233" s="48"/>
      <c r="E233" s="48"/>
      <c r="H233" s="48"/>
      <c r="K233" s="70"/>
      <c r="N233" s="48"/>
      <c r="Q233" s="48"/>
      <c r="T233" s="48"/>
      <c r="W233" s="70"/>
    </row>
    <row r="234" spans="2:23" x14ac:dyDescent="0.2">
      <c r="B234" s="48"/>
      <c r="E234" s="48"/>
      <c r="H234" s="48"/>
      <c r="K234" s="70"/>
      <c r="N234" s="48"/>
      <c r="Q234" s="48"/>
      <c r="T234" s="48"/>
      <c r="W234" s="70"/>
    </row>
    <row r="235" spans="2:23" x14ac:dyDescent="0.2">
      <c r="B235" s="48"/>
      <c r="E235" s="48"/>
      <c r="H235" s="48"/>
      <c r="K235" s="70"/>
      <c r="N235" s="48"/>
      <c r="Q235" s="48"/>
      <c r="T235" s="48"/>
      <c r="W235" s="70"/>
    </row>
    <row r="236" spans="2:23" x14ac:dyDescent="0.2">
      <c r="B236" s="48"/>
      <c r="E236" s="48"/>
      <c r="H236" s="48"/>
      <c r="K236" s="70"/>
      <c r="N236" s="48"/>
      <c r="Q236" s="48"/>
      <c r="T236" s="48"/>
      <c r="W236" s="70"/>
    </row>
    <row r="237" spans="2:23" x14ac:dyDescent="0.2">
      <c r="B237" s="48"/>
      <c r="E237" s="48"/>
      <c r="H237" s="48"/>
      <c r="K237" s="70"/>
      <c r="N237" s="48"/>
      <c r="Q237" s="48"/>
      <c r="T237" s="48"/>
      <c r="W237" s="70"/>
    </row>
    <row r="238" spans="2:23" x14ac:dyDescent="0.2">
      <c r="B238" s="48"/>
      <c r="E238" s="48"/>
      <c r="H238" s="48"/>
      <c r="K238" s="70"/>
      <c r="N238" s="48"/>
      <c r="Q238" s="48"/>
      <c r="T238" s="48"/>
      <c r="W238" s="70"/>
    </row>
    <row r="239" spans="2:23" x14ac:dyDescent="0.2">
      <c r="B239" s="48"/>
      <c r="E239" s="48"/>
      <c r="H239" s="48"/>
      <c r="K239" s="70"/>
      <c r="N239" s="48"/>
      <c r="Q239" s="48"/>
      <c r="T239" s="48"/>
      <c r="W239" s="70"/>
    </row>
    <row r="240" spans="2:23" x14ac:dyDescent="0.2">
      <c r="B240" s="48"/>
      <c r="E240" s="48"/>
      <c r="H240" s="48"/>
      <c r="K240" s="70"/>
      <c r="N240" s="48"/>
      <c r="Q240" s="48"/>
      <c r="T240" s="48"/>
      <c r="W240" s="70"/>
    </row>
    <row r="241" spans="2:23" x14ac:dyDescent="0.2">
      <c r="B241" s="48"/>
      <c r="E241" s="48"/>
      <c r="H241" s="48"/>
      <c r="K241" s="70"/>
      <c r="N241" s="48"/>
      <c r="Q241" s="48"/>
      <c r="T241" s="48"/>
      <c r="W241" s="70"/>
    </row>
    <row r="242" spans="2:23" x14ac:dyDescent="0.2">
      <c r="B242" s="48"/>
      <c r="E242" s="48"/>
      <c r="H242" s="48"/>
      <c r="K242" s="70"/>
      <c r="N242" s="48"/>
      <c r="Q242" s="48"/>
      <c r="T242" s="48"/>
      <c r="W242" s="70"/>
    </row>
    <row r="243" spans="2:23" x14ac:dyDescent="0.2">
      <c r="B243" s="48"/>
      <c r="E243" s="48"/>
      <c r="H243" s="48"/>
      <c r="K243" s="70"/>
      <c r="N243" s="48"/>
      <c r="Q243" s="48"/>
      <c r="T243" s="48"/>
      <c r="W243" s="70"/>
    </row>
    <row r="244" spans="2:23" x14ac:dyDescent="0.2">
      <c r="B244" s="48"/>
      <c r="E244" s="48"/>
      <c r="H244" s="48"/>
      <c r="K244" s="70"/>
      <c r="N244" s="48"/>
      <c r="Q244" s="48"/>
      <c r="T244" s="48"/>
      <c r="W244" s="70"/>
    </row>
    <row r="245" spans="2:23" x14ac:dyDescent="0.2">
      <c r="B245" s="48"/>
      <c r="E245" s="48"/>
      <c r="H245" s="48"/>
      <c r="K245" s="70"/>
      <c r="N245" s="48"/>
      <c r="Q245" s="48"/>
      <c r="T245" s="48"/>
      <c r="W245" s="70"/>
    </row>
    <row r="246" spans="2:23" x14ac:dyDescent="0.2">
      <c r="B246" s="48"/>
      <c r="E246" s="48"/>
      <c r="H246" s="48"/>
      <c r="K246" s="70"/>
      <c r="N246" s="48"/>
      <c r="Q246" s="48"/>
      <c r="T246" s="48"/>
      <c r="W246" s="70"/>
    </row>
    <row r="247" spans="2:23" x14ac:dyDescent="0.2">
      <c r="B247" s="48"/>
      <c r="E247" s="48"/>
      <c r="H247" s="48"/>
      <c r="K247" s="70"/>
      <c r="N247" s="48"/>
      <c r="Q247" s="48"/>
      <c r="T247" s="48"/>
      <c r="W247" s="70"/>
    </row>
    <row r="248" spans="2:23" x14ac:dyDescent="0.2">
      <c r="B248" s="48"/>
      <c r="E248" s="48"/>
      <c r="H248" s="48"/>
      <c r="K248" s="70"/>
      <c r="N248" s="48"/>
      <c r="Q248" s="48"/>
      <c r="T248" s="48"/>
      <c r="W248" s="70"/>
    </row>
    <row r="249" spans="2:23" x14ac:dyDescent="0.2">
      <c r="B249" s="48"/>
      <c r="E249" s="48"/>
      <c r="H249" s="48"/>
      <c r="K249" s="70"/>
      <c r="N249" s="48"/>
      <c r="Q249" s="48"/>
      <c r="T249" s="48"/>
      <c r="W249" s="70"/>
    </row>
    <row r="250" spans="2:23" x14ac:dyDescent="0.2">
      <c r="B250" s="48"/>
      <c r="E250" s="48"/>
      <c r="H250" s="48"/>
      <c r="K250" s="70"/>
      <c r="N250" s="48"/>
      <c r="Q250" s="48"/>
      <c r="T250" s="48"/>
      <c r="W250" s="70"/>
    </row>
    <row r="251" spans="2:23" x14ac:dyDescent="0.2">
      <c r="B251" s="48"/>
      <c r="E251" s="48"/>
      <c r="H251" s="48"/>
      <c r="K251" s="70"/>
      <c r="N251" s="48"/>
      <c r="Q251" s="48"/>
      <c r="T251" s="48"/>
      <c r="W251" s="70"/>
    </row>
    <row r="252" spans="2:23" x14ac:dyDescent="0.2">
      <c r="B252" s="48"/>
      <c r="E252" s="48"/>
      <c r="H252" s="48"/>
      <c r="K252" s="70"/>
      <c r="N252" s="48"/>
      <c r="Q252" s="48"/>
      <c r="T252" s="48"/>
      <c r="W252" s="70"/>
    </row>
    <row r="253" spans="2:23" x14ac:dyDescent="0.2">
      <c r="B253" s="48"/>
      <c r="E253" s="48"/>
      <c r="H253" s="48"/>
      <c r="K253" s="70"/>
      <c r="N253" s="48"/>
      <c r="Q253" s="48"/>
      <c r="T253" s="48"/>
      <c r="W253" s="70"/>
    </row>
    <row r="254" spans="2:23" x14ac:dyDescent="0.2">
      <c r="B254" s="48"/>
      <c r="E254" s="48"/>
      <c r="H254" s="48"/>
      <c r="K254" s="70"/>
      <c r="N254" s="48"/>
      <c r="Q254" s="48"/>
      <c r="T254" s="48"/>
      <c r="W254" s="70"/>
    </row>
    <row r="255" spans="2:23" x14ac:dyDescent="0.2">
      <c r="B255" s="48"/>
      <c r="E255" s="48"/>
      <c r="H255" s="48"/>
      <c r="K255" s="70"/>
      <c r="N255" s="48"/>
      <c r="Q255" s="48"/>
      <c r="T255" s="48"/>
      <c r="W255" s="70"/>
    </row>
    <row r="256" spans="2:23" x14ac:dyDescent="0.2">
      <c r="B256" s="48"/>
      <c r="E256" s="48"/>
      <c r="H256" s="48"/>
      <c r="K256" s="70"/>
      <c r="N256" s="48"/>
      <c r="Q256" s="48"/>
      <c r="T256" s="48"/>
      <c r="W256" s="70"/>
    </row>
    <row r="257" spans="2:23" x14ac:dyDescent="0.2">
      <c r="B257" s="48"/>
      <c r="E257" s="48"/>
      <c r="H257" s="48"/>
      <c r="K257" s="70"/>
      <c r="N257" s="48"/>
      <c r="Q257" s="48"/>
      <c r="T257" s="48"/>
      <c r="W257" s="70"/>
    </row>
    <row r="258" spans="2:23" x14ac:dyDescent="0.2">
      <c r="B258" s="48"/>
      <c r="E258" s="48"/>
      <c r="H258" s="48"/>
      <c r="K258" s="70"/>
      <c r="N258" s="48"/>
      <c r="Q258" s="48"/>
      <c r="T258" s="48"/>
      <c r="W258" s="70"/>
    </row>
    <row r="259" spans="2:23" x14ac:dyDescent="0.2">
      <c r="B259" s="48"/>
      <c r="E259" s="48"/>
      <c r="H259" s="48"/>
      <c r="K259" s="70"/>
      <c r="N259" s="48"/>
      <c r="Q259" s="48"/>
      <c r="T259" s="48"/>
      <c r="W259" s="70"/>
    </row>
    <row r="260" spans="2:23" x14ac:dyDescent="0.2">
      <c r="B260" s="48"/>
      <c r="E260" s="48"/>
      <c r="H260" s="48"/>
      <c r="K260" s="70"/>
      <c r="N260" s="48"/>
      <c r="Q260" s="48"/>
      <c r="T260" s="48"/>
      <c r="W260" s="70"/>
    </row>
    <row r="261" spans="2:23" x14ac:dyDescent="0.2">
      <c r="B261" s="48"/>
      <c r="E261" s="48"/>
      <c r="H261" s="48"/>
      <c r="K261" s="70"/>
      <c r="N261" s="48"/>
      <c r="Q261" s="48"/>
      <c r="T261" s="48"/>
      <c r="W261" s="70"/>
    </row>
    <row r="262" spans="2:23" x14ac:dyDescent="0.2">
      <c r="B262" s="48"/>
      <c r="E262" s="48"/>
      <c r="H262" s="48"/>
      <c r="K262" s="70"/>
      <c r="N262" s="48"/>
      <c r="Q262" s="48"/>
      <c r="T262" s="48"/>
      <c r="W262" s="70"/>
    </row>
    <row r="263" spans="2:23" x14ac:dyDescent="0.2">
      <c r="B263" s="48"/>
      <c r="E263" s="48"/>
      <c r="H263" s="48"/>
      <c r="K263" s="70"/>
      <c r="N263" s="48"/>
      <c r="Q263" s="48"/>
      <c r="T263" s="48"/>
      <c r="W263" s="70"/>
    </row>
    <row r="264" spans="2:23" x14ac:dyDescent="0.2">
      <c r="B264" s="48"/>
      <c r="E264" s="48"/>
      <c r="H264" s="48"/>
      <c r="K264" s="70"/>
      <c r="N264" s="48"/>
      <c r="Q264" s="48"/>
      <c r="T264" s="48"/>
      <c r="W264" s="70"/>
    </row>
    <row r="265" spans="2:23" x14ac:dyDescent="0.2">
      <c r="B265" s="48"/>
      <c r="E265" s="48"/>
      <c r="H265" s="48"/>
      <c r="K265" s="70"/>
      <c r="N265" s="48"/>
      <c r="Q265" s="48"/>
      <c r="T265" s="48"/>
      <c r="W265" s="70"/>
    </row>
    <row r="266" spans="2:23" x14ac:dyDescent="0.2">
      <c r="B266" s="48"/>
      <c r="E266" s="48"/>
      <c r="H266" s="48"/>
      <c r="K266" s="70"/>
      <c r="N266" s="48"/>
      <c r="Q266" s="48"/>
      <c r="T266" s="48"/>
      <c r="W266" s="70"/>
    </row>
    <row r="267" spans="2:23" x14ac:dyDescent="0.2">
      <c r="B267" s="48"/>
      <c r="E267" s="48"/>
      <c r="H267" s="48"/>
      <c r="K267" s="70"/>
      <c r="N267" s="48"/>
      <c r="Q267" s="48"/>
      <c r="T267" s="48"/>
      <c r="W267" s="70"/>
    </row>
    <row r="268" spans="2:23" x14ac:dyDescent="0.2">
      <c r="B268" s="48"/>
      <c r="E268" s="48"/>
      <c r="H268" s="48"/>
      <c r="K268" s="70"/>
      <c r="N268" s="48"/>
      <c r="Q268" s="48"/>
      <c r="T268" s="48"/>
      <c r="W268" s="70"/>
    </row>
    <row r="269" spans="2:23" x14ac:dyDescent="0.2">
      <c r="B269" s="48"/>
      <c r="E269" s="48"/>
      <c r="H269" s="48"/>
      <c r="K269" s="70"/>
      <c r="N269" s="48"/>
      <c r="Q269" s="48"/>
      <c r="T269" s="48"/>
      <c r="W269" s="70"/>
    </row>
    <row r="270" spans="2:23" x14ac:dyDescent="0.2">
      <c r="B270" s="48"/>
      <c r="E270" s="48"/>
      <c r="H270" s="48"/>
      <c r="K270" s="70"/>
      <c r="N270" s="48"/>
      <c r="Q270" s="48"/>
      <c r="T270" s="48"/>
      <c r="W270" s="70"/>
    </row>
    <row r="271" spans="2:23" x14ac:dyDescent="0.2">
      <c r="B271" s="48"/>
      <c r="E271" s="48"/>
      <c r="H271" s="48"/>
      <c r="K271" s="70"/>
      <c r="N271" s="48"/>
      <c r="Q271" s="48"/>
      <c r="T271" s="48"/>
      <c r="W271" s="70"/>
    </row>
    <row r="272" spans="2:23" x14ac:dyDescent="0.2">
      <c r="B272" s="48"/>
      <c r="E272" s="48"/>
      <c r="H272" s="48"/>
      <c r="K272" s="70"/>
      <c r="N272" s="48"/>
      <c r="Q272" s="48"/>
      <c r="T272" s="48"/>
      <c r="W272" s="70"/>
    </row>
    <row r="273" spans="2:23" x14ac:dyDescent="0.2">
      <c r="B273" s="48"/>
      <c r="E273" s="48"/>
      <c r="H273" s="48"/>
      <c r="K273" s="70"/>
      <c r="N273" s="48"/>
      <c r="Q273" s="48"/>
      <c r="T273" s="48"/>
      <c r="W273" s="70"/>
    </row>
    <row r="274" spans="2:23" x14ac:dyDescent="0.2">
      <c r="B274" s="48"/>
      <c r="E274" s="48"/>
      <c r="H274" s="48"/>
      <c r="K274" s="70"/>
      <c r="N274" s="48"/>
      <c r="Q274" s="48"/>
      <c r="T274" s="48"/>
      <c r="W274" s="70"/>
    </row>
    <row r="275" spans="2:23" x14ac:dyDescent="0.2">
      <c r="B275" s="48"/>
      <c r="E275" s="48"/>
      <c r="H275" s="48"/>
      <c r="K275" s="70"/>
      <c r="N275" s="48"/>
      <c r="Q275" s="48"/>
      <c r="T275" s="48"/>
      <c r="W275" s="70"/>
    </row>
    <row r="276" spans="2:23" x14ac:dyDescent="0.2">
      <c r="B276" s="48"/>
      <c r="E276" s="48"/>
      <c r="H276" s="48"/>
      <c r="K276" s="70"/>
      <c r="N276" s="48"/>
      <c r="Q276" s="48"/>
      <c r="T276" s="48"/>
      <c r="W276" s="70"/>
    </row>
    <row r="277" spans="2:23" x14ac:dyDescent="0.2">
      <c r="B277" s="48"/>
      <c r="E277" s="48"/>
      <c r="H277" s="48"/>
      <c r="K277" s="70"/>
      <c r="N277" s="48"/>
      <c r="Q277" s="48"/>
      <c r="T277" s="48"/>
      <c r="W277" s="70"/>
    </row>
    <row r="278" spans="2:23" x14ac:dyDescent="0.2">
      <c r="B278" s="48"/>
      <c r="E278" s="48"/>
      <c r="H278" s="48"/>
      <c r="K278" s="70"/>
      <c r="N278" s="48"/>
      <c r="Q278" s="48"/>
      <c r="T278" s="48"/>
      <c r="W278" s="70"/>
    </row>
    <row r="279" spans="2:23" x14ac:dyDescent="0.2">
      <c r="B279" s="48"/>
      <c r="E279" s="48"/>
      <c r="H279" s="48"/>
      <c r="K279" s="70"/>
      <c r="N279" s="48"/>
      <c r="Q279" s="48"/>
      <c r="T279" s="48"/>
      <c r="W279" s="70"/>
    </row>
    <row r="280" spans="2:23" x14ac:dyDescent="0.2">
      <c r="B280" s="48"/>
      <c r="E280" s="48"/>
      <c r="H280" s="48"/>
      <c r="K280" s="70"/>
      <c r="N280" s="48"/>
      <c r="Q280" s="48"/>
      <c r="T280" s="48"/>
      <c r="W280" s="70"/>
    </row>
    <row r="281" spans="2:23" x14ac:dyDescent="0.2">
      <c r="B281" s="48"/>
      <c r="E281" s="48"/>
      <c r="H281" s="48"/>
      <c r="K281" s="70"/>
      <c r="N281" s="48"/>
      <c r="Q281" s="48"/>
      <c r="T281" s="48"/>
      <c r="W281" s="70"/>
    </row>
    <row r="282" spans="2:23" x14ac:dyDescent="0.2">
      <c r="B282" s="48"/>
      <c r="E282" s="48"/>
      <c r="H282" s="48"/>
      <c r="K282" s="70"/>
      <c r="N282" s="48"/>
      <c r="Q282" s="48"/>
      <c r="T282" s="48"/>
      <c r="W282" s="70"/>
    </row>
    <row r="283" spans="2:23" x14ac:dyDescent="0.2">
      <c r="B283" s="48"/>
      <c r="E283" s="48"/>
      <c r="H283" s="48"/>
      <c r="K283" s="70"/>
      <c r="N283" s="48"/>
      <c r="Q283" s="48"/>
      <c r="T283" s="48"/>
      <c r="W283" s="70"/>
    </row>
    <row r="284" spans="2:23" x14ac:dyDescent="0.2">
      <c r="B284" s="48"/>
      <c r="E284" s="48"/>
      <c r="H284" s="48"/>
      <c r="K284" s="70"/>
      <c r="N284" s="48"/>
      <c r="Q284" s="48"/>
      <c r="T284" s="48"/>
      <c r="W284" s="70"/>
    </row>
    <row r="285" spans="2:23" x14ac:dyDescent="0.2">
      <c r="B285" s="48"/>
      <c r="E285" s="48"/>
      <c r="H285" s="48"/>
      <c r="K285" s="70"/>
      <c r="N285" s="48"/>
      <c r="Q285" s="48"/>
      <c r="T285" s="48"/>
      <c r="W285" s="70"/>
    </row>
    <row r="286" spans="2:23" x14ac:dyDescent="0.2">
      <c r="B286" s="48"/>
      <c r="E286" s="48"/>
      <c r="H286" s="48"/>
      <c r="K286" s="70"/>
      <c r="N286" s="48"/>
      <c r="Q286" s="48"/>
      <c r="T286" s="48"/>
      <c r="W286" s="70"/>
    </row>
    <row r="287" spans="2:23" x14ac:dyDescent="0.2">
      <c r="B287" s="48"/>
      <c r="E287" s="48"/>
      <c r="H287" s="48"/>
      <c r="K287" s="70"/>
      <c r="N287" s="48"/>
      <c r="Q287" s="48"/>
      <c r="T287" s="48"/>
      <c r="W287" s="70"/>
    </row>
    <row r="288" spans="2:23" x14ac:dyDescent="0.2">
      <c r="B288" s="48"/>
      <c r="E288" s="48"/>
      <c r="H288" s="48"/>
      <c r="K288" s="70"/>
      <c r="N288" s="48"/>
      <c r="Q288" s="48"/>
      <c r="T288" s="48"/>
      <c r="W288" s="70"/>
    </row>
    <row r="289" spans="2:23" x14ac:dyDescent="0.2">
      <c r="B289" s="48"/>
      <c r="E289" s="48"/>
      <c r="H289" s="48"/>
      <c r="K289" s="70"/>
      <c r="N289" s="48"/>
      <c r="Q289" s="48"/>
      <c r="T289" s="48"/>
      <c r="W289" s="70"/>
    </row>
    <row r="290" spans="2:23" x14ac:dyDescent="0.2">
      <c r="B290" s="48"/>
      <c r="E290" s="48"/>
      <c r="H290" s="48"/>
      <c r="K290" s="70"/>
      <c r="N290" s="48"/>
      <c r="Q290" s="48"/>
      <c r="T290" s="48"/>
      <c r="W290" s="70"/>
    </row>
    <row r="291" spans="2:23" x14ac:dyDescent="0.2">
      <c r="B291" s="48"/>
      <c r="E291" s="48"/>
      <c r="H291" s="48"/>
      <c r="K291" s="70"/>
      <c r="N291" s="48"/>
      <c r="Q291" s="48"/>
      <c r="T291" s="48"/>
      <c r="W291" s="70"/>
    </row>
    <row r="292" spans="2:23" x14ac:dyDescent="0.2">
      <c r="B292" s="48"/>
      <c r="E292" s="48"/>
      <c r="H292" s="48"/>
      <c r="K292" s="70"/>
      <c r="N292" s="48"/>
      <c r="Q292" s="48"/>
      <c r="T292" s="48"/>
      <c r="W292" s="70"/>
    </row>
    <row r="293" spans="2:23" x14ac:dyDescent="0.2">
      <c r="B293" s="48"/>
      <c r="E293" s="48"/>
      <c r="H293" s="48"/>
      <c r="K293" s="70"/>
      <c r="N293" s="48"/>
      <c r="Q293" s="48"/>
      <c r="T293" s="48"/>
      <c r="W293" s="70"/>
    </row>
    <row r="294" spans="2:23" x14ac:dyDescent="0.2">
      <c r="B294" s="48"/>
      <c r="E294" s="48"/>
      <c r="H294" s="48"/>
      <c r="K294" s="70"/>
      <c r="N294" s="48"/>
      <c r="Q294" s="48"/>
      <c r="T294" s="48"/>
      <c r="W294" s="70"/>
    </row>
    <row r="295" spans="2:23" x14ac:dyDescent="0.2">
      <c r="B295" s="48"/>
      <c r="E295" s="48"/>
      <c r="H295" s="48"/>
      <c r="K295" s="70"/>
      <c r="N295" s="48"/>
      <c r="Q295" s="48"/>
      <c r="T295" s="48"/>
      <c r="W295" s="70"/>
    </row>
    <row r="296" spans="2:23" x14ac:dyDescent="0.2">
      <c r="B296" s="48"/>
      <c r="E296" s="48"/>
      <c r="H296" s="48"/>
      <c r="K296" s="70"/>
      <c r="N296" s="48"/>
      <c r="Q296" s="48"/>
      <c r="T296" s="48"/>
      <c r="W296" s="70"/>
    </row>
    <row r="297" spans="2:23" x14ac:dyDescent="0.2">
      <c r="B297" s="48"/>
      <c r="E297" s="48"/>
      <c r="H297" s="48"/>
      <c r="K297" s="70"/>
      <c r="N297" s="48"/>
      <c r="Q297" s="48"/>
      <c r="T297" s="48"/>
      <c r="W297" s="70"/>
    </row>
    <row r="298" spans="2:23" x14ac:dyDescent="0.2">
      <c r="B298" s="48"/>
      <c r="E298" s="48"/>
      <c r="H298" s="48"/>
      <c r="K298" s="70"/>
      <c r="N298" s="48"/>
      <c r="Q298" s="48"/>
      <c r="T298" s="48"/>
      <c r="W298" s="70"/>
    </row>
    <row r="299" spans="2:23" x14ac:dyDescent="0.2">
      <c r="B299" s="48"/>
      <c r="E299" s="48"/>
      <c r="H299" s="48"/>
      <c r="K299" s="70"/>
      <c r="N299" s="48"/>
      <c r="Q299" s="48"/>
      <c r="T299" s="48"/>
      <c r="W299" s="70"/>
    </row>
    <row r="300" spans="2:23" x14ac:dyDescent="0.2">
      <c r="B300" s="48"/>
      <c r="E300" s="48"/>
      <c r="H300" s="48"/>
      <c r="K300" s="70"/>
      <c r="N300" s="48"/>
      <c r="Q300" s="48"/>
      <c r="T300" s="48"/>
      <c r="W300" s="70"/>
    </row>
    <row r="301" spans="2:23" x14ac:dyDescent="0.2">
      <c r="B301" s="48"/>
      <c r="E301" s="48"/>
      <c r="H301" s="48"/>
      <c r="K301" s="70"/>
      <c r="N301" s="48"/>
      <c r="Q301" s="48"/>
      <c r="T301" s="48"/>
      <c r="W301" s="70"/>
    </row>
    <row r="302" spans="2:23" x14ac:dyDescent="0.2">
      <c r="B302" s="48"/>
      <c r="E302" s="48"/>
      <c r="H302" s="48"/>
      <c r="K302" s="70"/>
      <c r="N302" s="48"/>
      <c r="Q302" s="48"/>
      <c r="T302" s="48"/>
      <c r="W302" s="70"/>
    </row>
    <row r="303" spans="2:23" x14ac:dyDescent="0.2">
      <c r="B303" s="48"/>
      <c r="E303" s="48"/>
      <c r="H303" s="48"/>
      <c r="K303" s="70"/>
      <c r="N303" s="48"/>
      <c r="Q303" s="48"/>
      <c r="T303" s="48"/>
      <c r="W303" s="70"/>
    </row>
    <row r="304" spans="2:23" x14ac:dyDescent="0.2">
      <c r="B304" s="48"/>
      <c r="E304" s="48"/>
      <c r="H304" s="48"/>
      <c r="K304" s="70"/>
      <c r="N304" s="48"/>
      <c r="Q304" s="48"/>
      <c r="T304" s="48"/>
      <c r="W304" s="70"/>
    </row>
    <row r="305" spans="2:23" x14ac:dyDescent="0.2">
      <c r="B305" s="48"/>
      <c r="E305" s="48"/>
      <c r="H305" s="48"/>
      <c r="K305" s="70"/>
      <c r="N305" s="48"/>
      <c r="Q305" s="48"/>
      <c r="T305" s="48"/>
      <c r="W305" s="70"/>
    </row>
    <row r="306" spans="2:23" x14ac:dyDescent="0.2">
      <c r="B306" s="48"/>
      <c r="E306" s="48"/>
      <c r="H306" s="48"/>
      <c r="K306" s="70"/>
      <c r="N306" s="48"/>
      <c r="Q306" s="48"/>
      <c r="T306" s="48"/>
      <c r="W306" s="70"/>
    </row>
    <row r="307" spans="2:23" x14ac:dyDescent="0.2">
      <c r="B307" s="48"/>
      <c r="E307" s="48"/>
      <c r="H307" s="48"/>
      <c r="K307" s="70"/>
      <c r="N307" s="48"/>
      <c r="Q307" s="48"/>
      <c r="T307" s="48"/>
      <c r="W307" s="70"/>
    </row>
    <row r="308" spans="2:23" x14ac:dyDescent="0.2">
      <c r="B308" s="48"/>
      <c r="E308" s="48"/>
      <c r="H308" s="48"/>
      <c r="K308" s="70"/>
      <c r="N308" s="48"/>
      <c r="Q308" s="48"/>
      <c r="T308" s="48"/>
      <c r="W308" s="70"/>
    </row>
    <row r="309" spans="2:23" x14ac:dyDescent="0.2">
      <c r="B309" s="48"/>
      <c r="E309" s="48"/>
      <c r="H309" s="48"/>
      <c r="K309" s="70"/>
      <c r="N309" s="48"/>
      <c r="Q309" s="48"/>
      <c r="T309" s="48"/>
      <c r="W309" s="70"/>
    </row>
    <row r="310" spans="2:23" x14ac:dyDescent="0.2">
      <c r="B310" s="48"/>
      <c r="E310" s="48"/>
      <c r="H310" s="48"/>
      <c r="K310" s="70"/>
      <c r="N310" s="48"/>
      <c r="Q310" s="48"/>
      <c r="T310" s="48"/>
      <c r="W310" s="70"/>
    </row>
    <row r="311" spans="2:23" x14ac:dyDescent="0.2">
      <c r="B311" s="48"/>
      <c r="E311" s="48"/>
      <c r="H311" s="48"/>
      <c r="K311" s="70"/>
      <c r="N311" s="48"/>
      <c r="Q311" s="48"/>
      <c r="T311" s="48"/>
      <c r="W311" s="70"/>
    </row>
    <row r="312" spans="2:23" x14ac:dyDescent="0.2">
      <c r="B312" s="48"/>
      <c r="E312" s="48"/>
      <c r="H312" s="48"/>
      <c r="K312" s="70"/>
      <c r="N312" s="48"/>
      <c r="Q312" s="48"/>
      <c r="T312" s="48"/>
      <c r="W312" s="70"/>
    </row>
    <row r="313" spans="2:23" x14ac:dyDescent="0.2">
      <c r="B313" s="48"/>
      <c r="E313" s="48"/>
      <c r="H313" s="48"/>
      <c r="K313" s="70"/>
      <c r="N313" s="48"/>
      <c r="Q313" s="48"/>
      <c r="T313" s="48"/>
      <c r="W313" s="70"/>
    </row>
    <row r="314" spans="2:23" x14ac:dyDescent="0.2">
      <c r="B314" s="48"/>
      <c r="E314" s="48"/>
      <c r="H314" s="48"/>
      <c r="K314" s="70"/>
      <c r="N314" s="48"/>
      <c r="Q314" s="48"/>
      <c r="T314" s="48"/>
      <c r="W314" s="70"/>
    </row>
    <row r="315" spans="2:23" x14ac:dyDescent="0.2">
      <c r="B315" s="48"/>
      <c r="E315" s="48"/>
      <c r="H315" s="48"/>
      <c r="K315" s="70"/>
      <c r="N315" s="48"/>
      <c r="Q315" s="48"/>
      <c r="T315" s="48"/>
      <c r="W315" s="70"/>
    </row>
    <row r="316" spans="2:23" x14ac:dyDescent="0.2">
      <c r="B316" s="48"/>
      <c r="E316" s="48"/>
      <c r="H316" s="48"/>
      <c r="K316" s="70"/>
      <c r="N316" s="48"/>
      <c r="Q316" s="48"/>
      <c r="T316" s="48"/>
      <c r="W316" s="70"/>
    </row>
    <row r="317" spans="2:23" x14ac:dyDescent="0.2">
      <c r="B317" s="48"/>
      <c r="E317" s="48"/>
      <c r="H317" s="48"/>
      <c r="K317" s="70"/>
      <c r="N317" s="48"/>
      <c r="Q317" s="48"/>
      <c r="T317" s="48"/>
      <c r="W317" s="70"/>
    </row>
    <row r="318" spans="2:23" x14ac:dyDescent="0.2">
      <c r="B318" s="48"/>
      <c r="E318" s="48"/>
      <c r="H318" s="48"/>
      <c r="K318" s="70"/>
      <c r="N318" s="48"/>
      <c r="Q318" s="48"/>
      <c r="T318" s="48"/>
      <c r="W318" s="70"/>
    </row>
    <row r="319" spans="2:23" x14ac:dyDescent="0.2">
      <c r="B319" s="48"/>
      <c r="E319" s="48"/>
      <c r="H319" s="48"/>
      <c r="K319" s="70"/>
      <c r="N319" s="48"/>
      <c r="Q319" s="48"/>
      <c r="T319" s="48"/>
      <c r="W319" s="70"/>
    </row>
    <row r="320" spans="2:23" x14ac:dyDescent="0.2">
      <c r="B320" s="48"/>
      <c r="E320" s="48"/>
      <c r="H320" s="48"/>
      <c r="K320" s="70"/>
      <c r="N320" s="48"/>
      <c r="Q320" s="48"/>
      <c r="T320" s="48"/>
      <c r="W320" s="70"/>
    </row>
    <row r="321" spans="2:23" x14ac:dyDescent="0.2">
      <c r="B321" s="48"/>
      <c r="E321" s="48"/>
      <c r="H321" s="48"/>
      <c r="K321" s="70"/>
      <c r="N321" s="48"/>
      <c r="Q321" s="48"/>
      <c r="T321" s="48"/>
      <c r="W321" s="70"/>
    </row>
    <row r="322" spans="2:23" x14ac:dyDescent="0.2">
      <c r="B322" s="48"/>
      <c r="E322" s="48"/>
      <c r="H322" s="48"/>
      <c r="K322" s="70"/>
      <c r="N322" s="48"/>
      <c r="Q322" s="48"/>
      <c r="T322" s="48"/>
      <c r="W322" s="70"/>
    </row>
    <row r="323" spans="2:23" x14ac:dyDescent="0.2">
      <c r="B323" s="48"/>
      <c r="E323" s="48"/>
      <c r="H323" s="48"/>
      <c r="K323" s="70"/>
      <c r="N323" s="48"/>
      <c r="Q323" s="48"/>
      <c r="T323" s="48"/>
      <c r="W323" s="70"/>
    </row>
    <row r="324" spans="2:23" x14ac:dyDescent="0.2">
      <c r="B324" s="48"/>
      <c r="E324" s="48"/>
      <c r="H324" s="48"/>
      <c r="K324" s="70"/>
      <c r="N324" s="48"/>
      <c r="Q324" s="48"/>
      <c r="T324" s="48"/>
      <c r="W324" s="70"/>
    </row>
    <row r="325" spans="2:23" x14ac:dyDescent="0.2">
      <c r="B325" s="48"/>
      <c r="E325" s="48"/>
      <c r="H325" s="48"/>
      <c r="K325" s="70"/>
      <c r="N325" s="48"/>
      <c r="Q325" s="48"/>
      <c r="T325" s="48"/>
      <c r="W325" s="70"/>
    </row>
    <row r="326" spans="2:23" x14ac:dyDescent="0.2">
      <c r="B326" s="48"/>
      <c r="E326" s="48"/>
      <c r="H326" s="48"/>
      <c r="K326" s="70"/>
      <c r="N326" s="48"/>
      <c r="Q326" s="48"/>
      <c r="T326" s="48"/>
      <c r="W326" s="70"/>
    </row>
    <row r="327" spans="2:23" x14ac:dyDescent="0.2">
      <c r="B327" s="48"/>
      <c r="E327" s="48"/>
      <c r="H327" s="48"/>
      <c r="K327" s="70"/>
      <c r="N327" s="48"/>
      <c r="Q327" s="48"/>
      <c r="T327" s="48"/>
      <c r="W327" s="70"/>
    </row>
    <row r="328" spans="2:23" x14ac:dyDescent="0.2">
      <c r="B328" s="48"/>
      <c r="E328" s="48"/>
      <c r="H328" s="48"/>
      <c r="K328" s="70"/>
      <c r="N328" s="48"/>
      <c r="Q328" s="48"/>
      <c r="T328" s="48"/>
      <c r="W328" s="70"/>
    </row>
    <row r="329" spans="2:23" x14ac:dyDescent="0.2">
      <c r="B329" s="48"/>
      <c r="E329" s="48"/>
      <c r="H329" s="48"/>
      <c r="K329" s="70"/>
      <c r="N329" s="48"/>
      <c r="Q329" s="48"/>
      <c r="T329" s="48"/>
      <c r="W329" s="70"/>
    </row>
    <row r="330" spans="2:23" x14ac:dyDescent="0.2">
      <c r="B330" s="48"/>
      <c r="E330" s="48"/>
      <c r="H330" s="48"/>
      <c r="K330" s="70"/>
      <c r="N330" s="48"/>
      <c r="Q330" s="48"/>
      <c r="T330" s="48"/>
      <c r="W330" s="70"/>
    </row>
    <row r="331" spans="2:23" x14ac:dyDescent="0.2">
      <c r="B331" s="48"/>
      <c r="E331" s="48"/>
      <c r="H331" s="48"/>
      <c r="K331" s="70"/>
      <c r="N331" s="48"/>
      <c r="Q331" s="48"/>
      <c r="T331" s="48"/>
      <c r="W331" s="70"/>
    </row>
    <row r="332" spans="2:23" x14ac:dyDescent="0.2">
      <c r="B332" s="48"/>
      <c r="E332" s="48"/>
      <c r="H332" s="48"/>
      <c r="K332" s="70"/>
      <c r="N332" s="48"/>
      <c r="Q332" s="48"/>
      <c r="T332" s="48"/>
      <c r="W332" s="70"/>
    </row>
    <row r="333" spans="2:23" x14ac:dyDescent="0.2">
      <c r="B333" s="48"/>
      <c r="E333" s="48"/>
      <c r="H333" s="48"/>
      <c r="K333" s="70"/>
      <c r="N333" s="48"/>
      <c r="Q333" s="48"/>
      <c r="T333" s="48"/>
      <c r="W333" s="70"/>
    </row>
    <row r="334" spans="2:23" x14ac:dyDescent="0.2">
      <c r="B334" s="48"/>
      <c r="E334" s="48"/>
      <c r="H334" s="48"/>
      <c r="K334" s="70"/>
      <c r="N334" s="48"/>
      <c r="Q334" s="48"/>
      <c r="T334" s="48"/>
      <c r="W334" s="70"/>
    </row>
    <row r="335" spans="2:23" x14ac:dyDescent="0.2">
      <c r="B335" s="48"/>
      <c r="E335" s="48"/>
      <c r="H335" s="48"/>
      <c r="K335" s="70"/>
      <c r="N335" s="48"/>
      <c r="Q335" s="48"/>
      <c r="T335" s="48"/>
      <c r="W335" s="70"/>
    </row>
    <row r="336" spans="2:23" x14ac:dyDescent="0.2">
      <c r="B336" s="48"/>
      <c r="E336" s="48"/>
      <c r="H336" s="48"/>
      <c r="K336" s="70"/>
      <c r="N336" s="48"/>
      <c r="Q336" s="48"/>
      <c r="T336" s="48"/>
      <c r="W336" s="70"/>
    </row>
    <row r="337" spans="2:23" x14ac:dyDescent="0.2">
      <c r="B337" s="48"/>
      <c r="E337" s="48"/>
      <c r="H337" s="48"/>
      <c r="K337" s="70"/>
      <c r="N337" s="48"/>
      <c r="Q337" s="48"/>
      <c r="T337" s="48"/>
      <c r="W337" s="70"/>
    </row>
    <row r="338" spans="2:23" x14ac:dyDescent="0.2">
      <c r="B338" s="48"/>
      <c r="E338" s="48"/>
      <c r="H338" s="48"/>
      <c r="K338" s="70"/>
      <c r="N338" s="48"/>
      <c r="Q338" s="48"/>
      <c r="T338" s="48"/>
      <c r="W338" s="70"/>
    </row>
    <row r="339" spans="2:23" x14ac:dyDescent="0.2">
      <c r="B339" s="48"/>
      <c r="E339" s="48"/>
      <c r="H339" s="48"/>
      <c r="K339" s="70"/>
      <c r="N339" s="48"/>
      <c r="Q339" s="48"/>
      <c r="T339" s="48"/>
      <c r="W339" s="70"/>
    </row>
    <row r="340" spans="2:23" x14ac:dyDescent="0.2">
      <c r="B340" s="48"/>
      <c r="E340" s="48"/>
      <c r="H340" s="48"/>
      <c r="K340" s="70"/>
      <c r="N340" s="48"/>
      <c r="Q340" s="48"/>
      <c r="T340" s="48"/>
      <c r="W340" s="70"/>
    </row>
    <row r="341" spans="2:23" x14ac:dyDescent="0.2">
      <c r="B341" s="48"/>
      <c r="E341" s="48"/>
      <c r="H341" s="48"/>
      <c r="K341" s="70"/>
      <c r="N341" s="48"/>
      <c r="Q341" s="48"/>
      <c r="T341" s="48"/>
      <c r="W341" s="70"/>
    </row>
    <row r="342" spans="2:23" x14ac:dyDescent="0.2">
      <c r="B342" s="48"/>
      <c r="E342" s="48"/>
      <c r="H342" s="48"/>
      <c r="K342" s="70"/>
      <c r="N342" s="48"/>
      <c r="Q342" s="48"/>
      <c r="T342" s="48"/>
      <c r="W342" s="70"/>
    </row>
    <row r="343" spans="2:23" x14ac:dyDescent="0.2">
      <c r="B343" s="48"/>
      <c r="E343" s="48"/>
      <c r="H343" s="48"/>
      <c r="K343" s="70"/>
      <c r="N343" s="48"/>
      <c r="Q343" s="48"/>
      <c r="T343" s="48"/>
      <c r="W343" s="70"/>
    </row>
    <row r="344" spans="2:23" x14ac:dyDescent="0.2">
      <c r="B344" s="48"/>
      <c r="E344" s="48"/>
      <c r="H344" s="48"/>
      <c r="K344" s="70"/>
      <c r="N344" s="48"/>
      <c r="Q344" s="48"/>
      <c r="T344" s="48"/>
      <c r="W344" s="70"/>
    </row>
    <row r="345" spans="2:23" x14ac:dyDescent="0.2">
      <c r="B345" s="48"/>
      <c r="E345" s="48"/>
      <c r="H345" s="48"/>
      <c r="K345" s="70"/>
      <c r="N345" s="48"/>
      <c r="Q345" s="48"/>
      <c r="T345" s="48"/>
      <c r="W345" s="70"/>
    </row>
    <row r="346" spans="2:23" x14ac:dyDescent="0.2">
      <c r="B346" s="48"/>
      <c r="E346" s="48"/>
      <c r="H346" s="48"/>
      <c r="K346" s="70"/>
      <c r="N346" s="48"/>
      <c r="Q346" s="48"/>
      <c r="T346" s="48"/>
      <c r="W346" s="70"/>
    </row>
    <row r="347" spans="2:23" x14ac:dyDescent="0.2">
      <c r="B347" s="48"/>
      <c r="E347" s="48"/>
      <c r="H347" s="48"/>
      <c r="K347" s="70"/>
      <c r="N347" s="48"/>
      <c r="Q347" s="48"/>
      <c r="T347" s="48"/>
      <c r="W347" s="70"/>
    </row>
    <row r="348" spans="2:23" x14ac:dyDescent="0.2">
      <c r="B348" s="48"/>
      <c r="E348" s="48"/>
      <c r="H348" s="48"/>
      <c r="K348" s="70"/>
      <c r="N348" s="48"/>
      <c r="Q348" s="48"/>
      <c r="T348" s="48"/>
      <c r="W348" s="70"/>
    </row>
    <row r="349" spans="2:23" x14ac:dyDescent="0.2">
      <c r="B349" s="48"/>
      <c r="E349" s="48"/>
      <c r="H349" s="48"/>
      <c r="K349" s="70"/>
      <c r="N349" s="48"/>
      <c r="Q349" s="48"/>
      <c r="T349" s="48"/>
      <c r="W349" s="70"/>
    </row>
    <row r="350" spans="2:23" x14ac:dyDescent="0.2">
      <c r="B350" s="48"/>
      <c r="E350" s="48"/>
      <c r="H350" s="48"/>
      <c r="K350" s="70"/>
      <c r="N350" s="48"/>
      <c r="Q350" s="48"/>
      <c r="T350" s="48"/>
      <c r="W350" s="70"/>
    </row>
    <row r="351" spans="2:23" x14ac:dyDescent="0.2">
      <c r="B351" s="48"/>
      <c r="E351" s="48"/>
      <c r="H351" s="48"/>
      <c r="K351" s="70"/>
      <c r="N351" s="48"/>
      <c r="Q351" s="48"/>
      <c r="T351" s="48"/>
      <c r="W351" s="70"/>
    </row>
    <row r="352" spans="2:23" x14ac:dyDescent="0.2">
      <c r="B352" s="48"/>
      <c r="E352" s="48"/>
      <c r="H352" s="48"/>
      <c r="K352" s="70"/>
      <c r="N352" s="48"/>
      <c r="Q352" s="48"/>
      <c r="T352" s="48"/>
      <c r="W352" s="70"/>
    </row>
    <row r="353" spans="2:23" x14ac:dyDescent="0.2">
      <c r="B353" s="48"/>
      <c r="E353" s="48"/>
      <c r="H353" s="48"/>
      <c r="K353" s="70"/>
      <c r="N353" s="48"/>
      <c r="Q353" s="48"/>
      <c r="T353" s="48"/>
      <c r="W353" s="70"/>
    </row>
    <row r="354" spans="2:23" x14ac:dyDescent="0.2">
      <c r="B354" s="48"/>
      <c r="E354" s="48"/>
      <c r="H354" s="48"/>
      <c r="K354" s="70"/>
      <c r="N354" s="48"/>
      <c r="Q354" s="48"/>
      <c r="T354" s="48"/>
      <c r="W354" s="70"/>
    </row>
    <row r="355" spans="2:23" x14ac:dyDescent="0.2">
      <c r="B355" s="48"/>
      <c r="E355" s="48"/>
      <c r="H355" s="48"/>
      <c r="K355" s="70"/>
      <c r="N355" s="48"/>
      <c r="Q355" s="48"/>
      <c r="T355" s="48"/>
      <c r="W355" s="70"/>
    </row>
    <row r="356" spans="2:23" x14ac:dyDescent="0.2">
      <c r="B356" s="48"/>
      <c r="E356" s="48"/>
      <c r="H356" s="48"/>
      <c r="K356" s="70"/>
      <c r="N356" s="48"/>
      <c r="Q356" s="48"/>
      <c r="T356" s="48"/>
      <c r="W356" s="70"/>
    </row>
    <row r="357" spans="2:23" x14ac:dyDescent="0.2">
      <c r="B357" s="48"/>
      <c r="E357" s="48"/>
      <c r="H357" s="48"/>
      <c r="K357" s="70"/>
      <c r="N357" s="48"/>
      <c r="Q357" s="48"/>
      <c r="T357" s="48"/>
      <c r="W357" s="70"/>
    </row>
    <row r="358" spans="2:23" x14ac:dyDescent="0.2">
      <c r="B358" s="48"/>
      <c r="E358" s="48"/>
      <c r="H358" s="48"/>
      <c r="K358" s="70"/>
      <c r="N358" s="48"/>
      <c r="Q358" s="48"/>
      <c r="T358" s="48"/>
      <c r="W358" s="70"/>
    </row>
    <row r="359" spans="2:23" x14ac:dyDescent="0.2">
      <c r="B359" s="48"/>
      <c r="E359" s="48"/>
      <c r="H359" s="48"/>
      <c r="K359" s="70"/>
      <c r="N359" s="48"/>
      <c r="Q359" s="48"/>
      <c r="T359" s="48"/>
      <c r="W359" s="70"/>
    </row>
    <row r="360" spans="2:23" x14ac:dyDescent="0.2">
      <c r="B360" s="48"/>
      <c r="E360" s="48"/>
      <c r="H360" s="48"/>
      <c r="K360" s="70"/>
      <c r="N360" s="48"/>
      <c r="Q360" s="48"/>
      <c r="T360" s="48"/>
      <c r="W360" s="70"/>
    </row>
    <row r="361" spans="2:23" x14ac:dyDescent="0.2">
      <c r="B361" s="48"/>
      <c r="E361" s="48"/>
      <c r="H361" s="48"/>
      <c r="K361" s="70"/>
      <c r="N361" s="48"/>
      <c r="Q361" s="48"/>
      <c r="T361" s="48"/>
      <c r="W361" s="70"/>
    </row>
    <row r="362" spans="2:23" x14ac:dyDescent="0.2">
      <c r="B362" s="48"/>
      <c r="E362" s="48"/>
      <c r="H362" s="48"/>
      <c r="K362" s="70"/>
      <c r="N362" s="48"/>
      <c r="Q362" s="48"/>
      <c r="T362" s="48"/>
      <c r="W362" s="70"/>
    </row>
    <row r="363" spans="2:23" x14ac:dyDescent="0.2">
      <c r="B363" s="48"/>
      <c r="E363" s="48"/>
      <c r="H363" s="48"/>
      <c r="K363" s="70"/>
      <c r="N363" s="48"/>
      <c r="Q363" s="48"/>
      <c r="T363" s="48"/>
      <c r="W363" s="70"/>
    </row>
    <row r="364" spans="2:23" x14ac:dyDescent="0.2">
      <c r="B364" s="48"/>
      <c r="E364" s="48"/>
      <c r="H364" s="48"/>
      <c r="K364" s="70"/>
      <c r="N364" s="48"/>
      <c r="Q364" s="48"/>
      <c r="T364" s="48"/>
      <c r="W364" s="70"/>
    </row>
    <row r="365" spans="2:23" x14ac:dyDescent="0.2">
      <c r="B365" s="48"/>
      <c r="E365" s="48"/>
      <c r="H365" s="48"/>
      <c r="K365" s="70"/>
      <c r="N365" s="48"/>
      <c r="Q365" s="48"/>
      <c r="T365" s="48"/>
      <c r="W365" s="70"/>
    </row>
    <row r="366" spans="2:23" x14ac:dyDescent="0.2">
      <c r="B366" s="48"/>
      <c r="E366" s="48"/>
      <c r="H366" s="48"/>
      <c r="K366" s="70"/>
      <c r="N366" s="48"/>
      <c r="Q366" s="48"/>
      <c r="T366" s="48"/>
      <c r="W366" s="70"/>
    </row>
    <row r="367" spans="2:23" x14ac:dyDescent="0.2">
      <c r="B367" s="48"/>
      <c r="E367" s="48"/>
      <c r="H367" s="48"/>
      <c r="K367" s="70"/>
      <c r="N367" s="48"/>
      <c r="Q367" s="48"/>
      <c r="T367" s="48"/>
      <c r="W367" s="70"/>
    </row>
    <row r="368" spans="2:23" x14ac:dyDescent="0.2">
      <c r="B368" s="48"/>
      <c r="E368" s="48"/>
      <c r="H368" s="48"/>
      <c r="K368" s="70"/>
      <c r="N368" s="48"/>
      <c r="Q368" s="48"/>
      <c r="T368" s="48"/>
      <c r="W368" s="70"/>
    </row>
    <row r="369" spans="2:23" x14ac:dyDescent="0.2">
      <c r="B369" s="48"/>
      <c r="E369" s="48"/>
      <c r="H369" s="48"/>
      <c r="K369" s="70"/>
      <c r="N369" s="48"/>
      <c r="Q369" s="48"/>
      <c r="T369" s="48"/>
      <c r="W369" s="70"/>
    </row>
    <row r="370" spans="2:23" x14ac:dyDescent="0.2">
      <c r="B370" s="48"/>
      <c r="E370" s="48"/>
      <c r="H370" s="48"/>
      <c r="K370" s="70"/>
      <c r="N370" s="48"/>
      <c r="Q370" s="48"/>
      <c r="T370" s="48"/>
      <c r="W370" s="70"/>
    </row>
    <row r="371" spans="2:23" x14ac:dyDescent="0.2">
      <c r="B371" s="48"/>
      <c r="E371" s="48"/>
      <c r="H371" s="48"/>
      <c r="K371" s="70"/>
      <c r="N371" s="48"/>
      <c r="Q371" s="48"/>
      <c r="T371" s="48"/>
      <c r="W371" s="70"/>
    </row>
    <row r="372" spans="2:23" x14ac:dyDescent="0.2">
      <c r="B372" s="48"/>
      <c r="E372" s="48"/>
      <c r="H372" s="48"/>
      <c r="K372" s="70"/>
      <c r="N372" s="48"/>
      <c r="Q372" s="48"/>
      <c r="T372" s="48"/>
      <c r="W372" s="70"/>
    </row>
    <row r="373" spans="2:23" x14ac:dyDescent="0.2">
      <c r="B373" s="48"/>
      <c r="E373" s="48"/>
      <c r="H373" s="48"/>
      <c r="K373" s="70"/>
      <c r="N373" s="48"/>
      <c r="Q373" s="48"/>
      <c r="T373" s="48"/>
      <c r="W373" s="70"/>
    </row>
    <row r="374" spans="2:23" x14ac:dyDescent="0.2">
      <c r="B374" s="48"/>
      <c r="E374" s="48"/>
      <c r="H374" s="48"/>
      <c r="K374" s="70"/>
      <c r="N374" s="48"/>
      <c r="Q374" s="48"/>
      <c r="T374" s="48"/>
      <c r="W374" s="70"/>
    </row>
    <row r="375" spans="2:23" x14ac:dyDescent="0.2">
      <c r="B375" s="48"/>
      <c r="E375" s="48"/>
      <c r="H375" s="48"/>
      <c r="K375" s="70"/>
      <c r="N375" s="48"/>
      <c r="Q375" s="48"/>
      <c r="T375" s="48"/>
      <c r="W375" s="70"/>
    </row>
    <row r="376" spans="2:23" x14ac:dyDescent="0.2">
      <c r="B376" s="48"/>
      <c r="E376" s="48"/>
      <c r="H376" s="48"/>
      <c r="K376" s="70"/>
      <c r="N376" s="48"/>
      <c r="Q376" s="48"/>
      <c r="T376" s="48"/>
      <c r="W376" s="70"/>
    </row>
    <row r="377" spans="2:23" x14ac:dyDescent="0.2">
      <c r="B377" s="48"/>
      <c r="E377" s="48"/>
      <c r="H377" s="48"/>
      <c r="K377" s="70"/>
      <c r="N377" s="48"/>
      <c r="Q377" s="48"/>
      <c r="T377" s="48"/>
      <c r="W377" s="70"/>
    </row>
    <row r="378" spans="2:23" x14ac:dyDescent="0.2">
      <c r="B378" s="48"/>
      <c r="E378" s="48"/>
      <c r="H378" s="48"/>
      <c r="K378" s="70"/>
      <c r="N378" s="48"/>
      <c r="Q378" s="48"/>
      <c r="T378" s="48"/>
      <c r="W378" s="70"/>
    </row>
    <row r="379" spans="2:23" x14ac:dyDescent="0.2">
      <c r="B379" s="48"/>
      <c r="E379" s="48"/>
      <c r="H379" s="48"/>
      <c r="K379" s="70"/>
      <c r="N379" s="48"/>
      <c r="Q379" s="48"/>
      <c r="T379" s="48"/>
      <c r="W379" s="70"/>
    </row>
    <row r="380" spans="2:23" x14ac:dyDescent="0.2">
      <c r="B380" s="48"/>
      <c r="E380" s="48"/>
      <c r="H380" s="48"/>
      <c r="K380" s="70"/>
      <c r="N380" s="48"/>
      <c r="Q380" s="48"/>
      <c r="T380" s="48"/>
      <c r="W380" s="70"/>
    </row>
    <row r="381" spans="2:23" x14ac:dyDescent="0.2">
      <c r="B381" s="48"/>
      <c r="E381" s="48"/>
      <c r="H381" s="48"/>
      <c r="K381" s="70"/>
      <c r="N381" s="48"/>
      <c r="Q381" s="48"/>
      <c r="T381" s="48"/>
      <c r="W381" s="70"/>
    </row>
    <row r="382" spans="2:23" x14ac:dyDescent="0.2">
      <c r="B382" s="48"/>
      <c r="E382" s="48"/>
      <c r="H382" s="48"/>
      <c r="K382" s="70"/>
      <c r="N382" s="48"/>
      <c r="Q382" s="48"/>
      <c r="T382" s="48"/>
      <c r="W382" s="70"/>
    </row>
    <row r="383" spans="2:23" x14ac:dyDescent="0.2">
      <c r="B383" s="48"/>
      <c r="E383" s="48"/>
      <c r="H383" s="48"/>
      <c r="K383" s="70"/>
      <c r="N383" s="48"/>
      <c r="Q383" s="48"/>
      <c r="T383" s="48"/>
      <c r="W383" s="70"/>
    </row>
    <row r="384" spans="2:23" x14ac:dyDescent="0.2">
      <c r="B384" s="48"/>
      <c r="E384" s="48"/>
      <c r="H384" s="48"/>
      <c r="K384" s="70"/>
      <c r="N384" s="48"/>
      <c r="Q384" s="48"/>
      <c r="T384" s="48"/>
      <c r="W384" s="70"/>
    </row>
    <row r="385" spans="2:23" x14ac:dyDescent="0.2">
      <c r="B385" s="48"/>
      <c r="E385" s="48"/>
      <c r="H385" s="48"/>
      <c r="K385" s="70"/>
      <c r="N385" s="48"/>
      <c r="Q385" s="48"/>
      <c r="T385" s="48"/>
      <c r="W385" s="70"/>
    </row>
    <row r="386" spans="2:23" x14ac:dyDescent="0.2">
      <c r="B386" s="48"/>
      <c r="E386" s="48"/>
      <c r="H386" s="48"/>
      <c r="K386" s="70"/>
      <c r="N386" s="48"/>
      <c r="Q386" s="48"/>
      <c r="T386" s="48"/>
      <c r="W386" s="70"/>
    </row>
    <row r="387" spans="2:23" x14ac:dyDescent="0.2">
      <c r="B387" s="48"/>
      <c r="E387" s="48"/>
      <c r="H387" s="48"/>
      <c r="K387" s="70"/>
      <c r="N387" s="48"/>
      <c r="Q387" s="48"/>
      <c r="T387" s="48"/>
      <c r="W387" s="70"/>
    </row>
    <row r="388" spans="2:23" x14ac:dyDescent="0.2">
      <c r="B388" s="48"/>
      <c r="E388" s="48"/>
      <c r="H388" s="48"/>
      <c r="K388" s="70"/>
      <c r="N388" s="48"/>
      <c r="Q388" s="48"/>
      <c r="T388" s="48"/>
      <c r="W388" s="70"/>
    </row>
    <row r="389" spans="2:23" x14ac:dyDescent="0.2">
      <c r="B389" s="48"/>
      <c r="E389" s="48"/>
      <c r="H389" s="48"/>
      <c r="K389" s="70"/>
      <c r="N389" s="48"/>
      <c r="Q389" s="48"/>
      <c r="T389" s="48"/>
      <c r="W389" s="70"/>
    </row>
    <row r="390" spans="2:23" x14ac:dyDescent="0.2">
      <c r="B390" s="48"/>
      <c r="E390" s="48"/>
      <c r="H390" s="48"/>
      <c r="K390" s="70"/>
      <c r="N390" s="48"/>
      <c r="Q390" s="48"/>
      <c r="T390" s="48"/>
      <c r="W390" s="70"/>
    </row>
    <row r="391" spans="2:23" x14ac:dyDescent="0.2">
      <c r="B391" s="48"/>
      <c r="E391" s="48"/>
      <c r="H391" s="48"/>
      <c r="K391" s="70"/>
      <c r="N391" s="48"/>
      <c r="Q391" s="48"/>
      <c r="T391" s="48"/>
      <c r="W391" s="70"/>
    </row>
    <row r="392" spans="2:23" x14ac:dyDescent="0.2">
      <c r="B392" s="48"/>
      <c r="E392" s="48"/>
      <c r="H392" s="48"/>
      <c r="K392" s="70"/>
      <c r="N392" s="48"/>
      <c r="Q392" s="48"/>
      <c r="T392" s="48"/>
      <c r="W392" s="70"/>
    </row>
    <row r="393" spans="2:23" x14ac:dyDescent="0.2">
      <c r="B393" s="48"/>
      <c r="E393" s="48"/>
      <c r="H393" s="48"/>
      <c r="K393" s="70"/>
      <c r="N393" s="48"/>
      <c r="Q393" s="48"/>
      <c r="T393" s="48"/>
      <c r="W393" s="70"/>
    </row>
    <row r="394" spans="2:23" x14ac:dyDescent="0.2">
      <c r="B394" s="48"/>
      <c r="E394" s="48"/>
      <c r="H394" s="48"/>
      <c r="K394" s="70"/>
      <c r="N394" s="48"/>
      <c r="Q394" s="48"/>
      <c r="T394" s="48"/>
      <c r="W394" s="70"/>
    </row>
    <row r="395" spans="2:23" x14ac:dyDescent="0.2">
      <c r="B395" s="48"/>
      <c r="E395" s="48"/>
      <c r="H395" s="48"/>
      <c r="K395" s="70"/>
      <c r="N395" s="48"/>
      <c r="Q395" s="48"/>
      <c r="T395" s="48"/>
      <c r="W395" s="70"/>
    </row>
    <row r="396" spans="2:23" x14ac:dyDescent="0.2">
      <c r="B396" s="48"/>
      <c r="E396" s="48"/>
      <c r="H396" s="48"/>
      <c r="K396" s="70"/>
      <c r="N396" s="48"/>
      <c r="Q396" s="48"/>
      <c r="T396" s="48"/>
      <c r="W396" s="70"/>
    </row>
    <row r="397" spans="2:23" x14ac:dyDescent="0.2">
      <c r="B397" s="48"/>
      <c r="E397" s="48"/>
      <c r="H397" s="48"/>
      <c r="K397" s="70"/>
      <c r="N397" s="48"/>
      <c r="Q397" s="48"/>
      <c r="T397" s="48"/>
      <c r="W397" s="70"/>
    </row>
    <row r="398" spans="2:23" x14ac:dyDescent="0.2">
      <c r="B398" s="48"/>
      <c r="E398" s="48"/>
      <c r="H398" s="48"/>
      <c r="K398" s="70"/>
      <c r="N398" s="48"/>
      <c r="Q398" s="48"/>
      <c r="T398" s="48"/>
      <c r="W398" s="70"/>
    </row>
    <row r="399" spans="2:23" x14ac:dyDescent="0.2">
      <c r="B399" s="48"/>
      <c r="E399" s="48"/>
      <c r="H399" s="48"/>
      <c r="K399" s="70"/>
      <c r="N399" s="48"/>
      <c r="Q399" s="48"/>
      <c r="T399" s="48"/>
      <c r="W399" s="70"/>
    </row>
    <row r="400" spans="2:23" x14ac:dyDescent="0.2">
      <c r="B400" s="48"/>
      <c r="E400" s="48"/>
      <c r="H400" s="48"/>
      <c r="K400" s="70"/>
      <c r="N400" s="48"/>
      <c r="Q400" s="48"/>
      <c r="T400" s="48"/>
      <c r="W400" s="70"/>
    </row>
    <row r="401" spans="2:23" x14ac:dyDescent="0.2">
      <c r="B401" s="48"/>
      <c r="E401" s="48"/>
      <c r="H401" s="48"/>
      <c r="K401" s="70"/>
      <c r="N401" s="48"/>
      <c r="Q401" s="48"/>
      <c r="T401" s="48"/>
      <c r="W401" s="70"/>
    </row>
    <row r="402" spans="2:23" x14ac:dyDescent="0.2">
      <c r="B402" s="48"/>
      <c r="E402" s="48"/>
      <c r="H402" s="48"/>
      <c r="K402" s="70"/>
      <c r="N402" s="48"/>
      <c r="Q402" s="48"/>
      <c r="T402" s="48"/>
      <c r="W402" s="70"/>
    </row>
    <row r="403" spans="2:23" x14ac:dyDescent="0.2">
      <c r="B403" s="48"/>
      <c r="E403" s="48"/>
      <c r="H403" s="48"/>
      <c r="K403" s="70"/>
      <c r="N403" s="48"/>
      <c r="Q403" s="48"/>
      <c r="T403" s="48"/>
      <c r="W403" s="70"/>
    </row>
    <row r="404" spans="2:23" x14ac:dyDescent="0.2">
      <c r="B404" s="48"/>
      <c r="E404" s="48"/>
      <c r="H404" s="48"/>
      <c r="K404" s="70"/>
      <c r="N404" s="48"/>
      <c r="Q404" s="48"/>
      <c r="T404" s="48"/>
      <c r="W404" s="70"/>
    </row>
    <row r="405" spans="2:23" x14ac:dyDescent="0.2">
      <c r="B405" s="48"/>
      <c r="E405" s="48"/>
      <c r="H405" s="48"/>
      <c r="K405" s="70"/>
      <c r="N405" s="48"/>
      <c r="Q405" s="48"/>
      <c r="T405" s="48"/>
      <c r="W405" s="70"/>
    </row>
    <row r="406" spans="2:23" x14ac:dyDescent="0.2">
      <c r="B406" s="48"/>
      <c r="E406" s="48"/>
      <c r="H406" s="48"/>
      <c r="K406" s="70"/>
      <c r="N406" s="48"/>
      <c r="Q406" s="48"/>
      <c r="T406" s="48"/>
      <c r="W406" s="70"/>
    </row>
    <row r="407" spans="2:23" x14ac:dyDescent="0.2">
      <c r="B407" s="48"/>
      <c r="E407" s="48"/>
      <c r="H407" s="48"/>
      <c r="K407" s="70"/>
      <c r="N407" s="48"/>
      <c r="Q407" s="48"/>
      <c r="T407" s="48"/>
      <c r="W407" s="70"/>
    </row>
    <row r="408" spans="2:23" x14ac:dyDescent="0.2">
      <c r="B408" s="48"/>
      <c r="E408" s="48"/>
      <c r="H408" s="48"/>
      <c r="K408" s="70"/>
      <c r="N408" s="48"/>
      <c r="Q408" s="48"/>
      <c r="T408" s="48"/>
      <c r="W408" s="70"/>
    </row>
    <row r="409" spans="2:23" x14ac:dyDescent="0.2">
      <c r="B409" s="48"/>
      <c r="E409" s="48"/>
      <c r="H409" s="48"/>
      <c r="K409" s="70"/>
      <c r="N409" s="48"/>
      <c r="Q409" s="48"/>
      <c r="T409" s="48"/>
      <c r="W409" s="70"/>
    </row>
    <row r="410" spans="2:23" x14ac:dyDescent="0.2">
      <c r="B410" s="48"/>
      <c r="E410" s="48"/>
      <c r="H410" s="48"/>
      <c r="K410" s="70"/>
      <c r="N410" s="48"/>
      <c r="Q410" s="48"/>
      <c r="T410" s="48"/>
      <c r="W410" s="70"/>
    </row>
    <row r="411" spans="2:23" x14ac:dyDescent="0.2">
      <c r="B411" s="48"/>
      <c r="E411" s="48"/>
      <c r="H411" s="48"/>
      <c r="K411" s="70"/>
      <c r="N411" s="48"/>
      <c r="Q411" s="48"/>
      <c r="T411" s="48"/>
      <c r="W411" s="70"/>
    </row>
    <row r="412" spans="2:23" x14ac:dyDescent="0.2">
      <c r="B412" s="48"/>
      <c r="E412" s="48"/>
      <c r="H412" s="48"/>
      <c r="K412" s="70"/>
      <c r="N412" s="48"/>
      <c r="Q412" s="48"/>
      <c r="T412" s="48"/>
      <c r="W412" s="70"/>
    </row>
    <row r="413" spans="2:23" x14ac:dyDescent="0.2">
      <c r="B413" s="48"/>
      <c r="E413" s="48"/>
      <c r="H413" s="48"/>
      <c r="K413" s="70"/>
      <c r="N413" s="48"/>
      <c r="Q413" s="48"/>
      <c r="T413" s="48"/>
      <c r="W413" s="70"/>
    </row>
    <row r="414" spans="2:23" x14ac:dyDescent="0.2">
      <c r="B414" s="48"/>
      <c r="E414" s="48"/>
      <c r="H414" s="48"/>
      <c r="K414" s="70"/>
      <c r="N414" s="48"/>
      <c r="Q414" s="48"/>
      <c r="T414" s="48"/>
      <c r="W414" s="70"/>
    </row>
    <row r="415" spans="2:23" x14ac:dyDescent="0.2">
      <c r="B415" s="48"/>
      <c r="E415" s="48"/>
      <c r="H415" s="48"/>
      <c r="K415" s="70"/>
      <c r="N415" s="48"/>
      <c r="Q415" s="48"/>
      <c r="T415" s="48"/>
      <c r="W415" s="70"/>
    </row>
    <row r="416" spans="2:23" x14ac:dyDescent="0.2">
      <c r="B416" s="48"/>
      <c r="E416" s="48"/>
      <c r="H416" s="48"/>
      <c r="K416" s="70"/>
      <c r="N416" s="48"/>
      <c r="Q416" s="48"/>
      <c r="T416" s="48"/>
      <c r="W416" s="70"/>
    </row>
    <row r="417" spans="2:23" x14ac:dyDescent="0.2">
      <c r="B417" s="48"/>
      <c r="E417" s="48"/>
      <c r="H417" s="48"/>
      <c r="K417" s="70"/>
      <c r="N417" s="48"/>
      <c r="Q417" s="48"/>
      <c r="T417" s="48"/>
      <c r="W417" s="70"/>
    </row>
    <row r="418" spans="2:23" x14ac:dyDescent="0.2">
      <c r="B418" s="48"/>
      <c r="E418" s="48"/>
      <c r="H418" s="48"/>
      <c r="K418" s="70"/>
      <c r="N418" s="48"/>
      <c r="Q418" s="48"/>
      <c r="T418" s="48"/>
      <c r="W418" s="70"/>
    </row>
    <row r="419" spans="2:23" x14ac:dyDescent="0.2">
      <c r="B419" s="48"/>
      <c r="E419" s="48"/>
      <c r="H419" s="48"/>
      <c r="K419" s="70"/>
      <c r="N419" s="48"/>
      <c r="Q419" s="48"/>
      <c r="T419" s="48"/>
      <c r="W419" s="70"/>
    </row>
    <row r="420" spans="2:23" x14ac:dyDescent="0.2">
      <c r="B420" s="48"/>
      <c r="E420" s="48"/>
      <c r="H420" s="48"/>
      <c r="K420" s="70"/>
      <c r="N420" s="48"/>
      <c r="Q420" s="48"/>
      <c r="T420" s="48"/>
      <c r="W420" s="70"/>
    </row>
    <row r="421" spans="2:23" x14ac:dyDescent="0.2">
      <c r="B421" s="48"/>
      <c r="E421" s="48"/>
      <c r="H421" s="48"/>
      <c r="K421" s="70"/>
      <c r="N421" s="48"/>
      <c r="Q421" s="48"/>
      <c r="T421" s="48"/>
      <c r="W421" s="70"/>
    </row>
    <row r="422" spans="2:23" x14ac:dyDescent="0.2">
      <c r="B422" s="48"/>
      <c r="E422" s="48"/>
      <c r="H422" s="48"/>
      <c r="K422" s="70"/>
      <c r="N422" s="48"/>
      <c r="Q422" s="48"/>
      <c r="T422" s="48"/>
      <c r="W422" s="70"/>
    </row>
    <row r="423" spans="2:23" x14ac:dyDescent="0.2">
      <c r="B423" s="48"/>
      <c r="E423" s="48"/>
      <c r="H423" s="48"/>
      <c r="K423" s="70"/>
      <c r="N423" s="48"/>
      <c r="Q423" s="48"/>
      <c r="T423" s="48"/>
      <c r="W423" s="70"/>
    </row>
    <row r="424" spans="2:23" x14ac:dyDescent="0.2">
      <c r="B424" s="48"/>
      <c r="E424" s="48"/>
      <c r="H424" s="48"/>
      <c r="K424" s="70"/>
      <c r="N424" s="48"/>
      <c r="Q424" s="48"/>
      <c r="T424" s="48"/>
      <c r="W424" s="70"/>
    </row>
    <row r="425" spans="2:23" x14ac:dyDescent="0.2">
      <c r="B425" s="48"/>
      <c r="E425" s="48"/>
      <c r="H425" s="48"/>
      <c r="K425" s="70"/>
      <c r="N425" s="48"/>
      <c r="Q425" s="48"/>
      <c r="T425" s="48"/>
      <c r="W425" s="70"/>
    </row>
    <row r="426" spans="2:23" x14ac:dyDescent="0.2">
      <c r="B426" s="48"/>
      <c r="E426" s="48"/>
      <c r="H426" s="48"/>
      <c r="K426" s="70"/>
      <c r="N426" s="48"/>
      <c r="Q426" s="48"/>
      <c r="T426" s="48"/>
      <c r="W426" s="70"/>
    </row>
    <row r="427" spans="2:23" x14ac:dyDescent="0.2">
      <c r="B427" s="48"/>
      <c r="E427" s="48"/>
      <c r="H427" s="48"/>
      <c r="K427" s="70"/>
      <c r="N427" s="48"/>
      <c r="Q427" s="48"/>
      <c r="T427" s="48"/>
      <c r="W427" s="70"/>
    </row>
    <row r="428" spans="2:23" x14ac:dyDescent="0.2">
      <c r="B428" s="48"/>
      <c r="E428" s="48"/>
      <c r="H428" s="48"/>
      <c r="K428" s="70"/>
      <c r="N428" s="48"/>
      <c r="Q428" s="48"/>
      <c r="T428" s="48"/>
      <c r="W428" s="70"/>
    </row>
    <row r="429" spans="2:23" x14ac:dyDescent="0.2">
      <c r="B429" s="48"/>
      <c r="E429" s="48"/>
      <c r="H429" s="48"/>
      <c r="K429" s="70"/>
      <c r="N429" s="48"/>
      <c r="Q429" s="48"/>
      <c r="T429" s="48"/>
      <c r="W429" s="70"/>
    </row>
    <row r="430" spans="2:23" x14ac:dyDescent="0.2">
      <c r="B430" s="48"/>
      <c r="E430" s="48"/>
      <c r="H430" s="48"/>
      <c r="K430" s="70"/>
      <c r="N430" s="48"/>
      <c r="Q430" s="48"/>
      <c r="T430" s="48"/>
      <c r="W430" s="70"/>
    </row>
    <row r="431" spans="2:23" x14ac:dyDescent="0.2">
      <c r="B431" s="48"/>
      <c r="E431" s="48"/>
      <c r="H431" s="48"/>
      <c r="K431" s="70"/>
      <c r="N431" s="48"/>
      <c r="Q431" s="48"/>
      <c r="T431" s="48"/>
      <c r="W431" s="70"/>
    </row>
    <row r="432" spans="2:23" x14ac:dyDescent="0.2">
      <c r="B432" s="48"/>
      <c r="E432" s="48"/>
      <c r="H432" s="48"/>
      <c r="K432" s="70"/>
      <c r="N432" s="48"/>
      <c r="Q432" s="48"/>
      <c r="T432" s="48"/>
      <c r="W432" s="70"/>
    </row>
    <row r="433" spans="2:23" x14ac:dyDescent="0.2">
      <c r="B433" s="48"/>
      <c r="E433" s="48"/>
      <c r="H433" s="48"/>
      <c r="K433" s="70"/>
      <c r="N433" s="48"/>
      <c r="Q433" s="48"/>
      <c r="T433" s="48"/>
      <c r="W433" s="70"/>
    </row>
    <row r="434" spans="2:23" x14ac:dyDescent="0.2">
      <c r="B434" s="48"/>
      <c r="E434" s="48"/>
      <c r="H434" s="48"/>
      <c r="K434" s="70"/>
      <c r="N434" s="48"/>
      <c r="Q434" s="48"/>
      <c r="T434" s="48"/>
      <c r="W434" s="70"/>
    </row>
    <row r="435" spans="2:23" x14ac:dyDescent="0.2">
      <c r="B435" s="48"/>
      <c r="E435" s="48"/>
      <c r="H435" s="48"/>
      <c r="K435" s="70"/>
      <c r="N435" s="48"/>
      <c r="Q435" s="48"/>
      <c r="T435" s="48"/>
      <c r="W435" s="70"/>
    </row>
    <row r="436" spans="2:23" x14ac:dyDescent="0.2">
      <c r="B436" s="48"/>
      <c r="E436" s="48"/>
      <c r="H436" s="48"/>
      <c r="K436" s="70"/>
      <c r="N436" s="48"/>
      <c r="Q436" s="48"/>
      <c r="T436" s="48"/>
      <c r="W436" s="70"/>
    </row>
    <row r="437" spans="2:23" x14ac:dyDescent="0.2">
      <c r="B437" s="48"/>
      <c r="E437" s="48"/>
      <c r="H437" s="48"/>
      <c r="K437" s="70"/>
      <c r="N437" s="48"/>
      <c r="Q437" s="48"/>
      <c r="T437" s="48"/>
      <c r="W437" s="70"/>
    </row>
    <row r="438" spans="2:23" x14ac:dyDescent="0.2">
      <c r="B438" s="48"/>
      <c r="E438" s="48"/>
      <c r="H438" s="48"/>
      <c r="K438" s="70"/>
      <c r="N438" s="48"/>
      <c r="Q438" s="48"/>
      <c r="T438" s="48"/>
      <c r="W438" s="70"/>
    </row>
    <row r="439" spans="2:23" x14ac:dyDescent="0.2">
      <c r="B439" s="48"/>
      <c r="E439" s="48"/>
      <c r="H439" s="48"/>
      <c r="K439" s="70"/>
      <c r="N439" s="48"/>
      <c r="Q439" s="48"/>
      <c r="T439" s="48"/>
      <c r="W439" s="70"/>
    </row>
    <row r="440" spans="2:23" x14ac:dyDescent="0.2">
      <c r="B440" s="48"/>
      <c r="E440" s="48"/>
      <c r="H440" s="48"/>
      <c r="K440" s="70"/>
      <c r="N440" s="48"/>
      <c r="Q440" s="48"/>
      <c r="T440" s="48"/>
      <c r="W440" s="70"/>
    </row>
    <row r="441" spans="2:23" x14ac:dyDescent="0.2">
      <c r="B441" s="48"/>
      <c r="E441" s="48"/>
      <c r="H441" s="48"/>
      <c r="K441" s="70"/>
      <c r="N441" s="48"/>
      <c r="Q441" s="48"/>
      <c r="T441" s="48"/>
      <c r="W441" s="70"/>
    </row>
    <row r="442" spans="2:23" x14ac:dyDescent="0.2">
      <c r="B442" s="48"/>
      <c r="E442" s="48"/>
      <c r="H442" s="48"/>
      <c r="K442" s="70"/>
      <c r="N442" s="48"/>
      <c r="Q442" s="48"/>
      <c r="T442" s="48"/>
      <c r="W442" s="70"/>
    </row>
    <row r="443" spans="2:23" x14ac:dyDescent="0.2">
      <c r="B443" s="48"/>
      <c r="E443" s="48"/>
      <c r="H443" s="48"/>
      <c r="K443" s="70"/>
      <c r="N443" s="48"/>
      <c r="Q443" s="48"/>
      <c r="T443" s="48"/>
      <c r="W443" s="70"/>
    </row>
    <row r="444" spans="2:23" x14ac:dyDescent="0.2">
      <c r="B444" s="48"/>
      <c r="E444" s="48"/>
      <c r="H444" s="48"/>
      <c r="K444" s="70"/>
      <c r="N444" s="48"/>
      <c r="Q444" s="48"/>
      <c r="T444" s="48"/>
      <c r="W444" s="70"/>
    </row>
    <row r="445" spans="2:23" x14ac:dyDescent="0.2">
      <c r="B445" s="48"/>
      <c r="E445" s="48"/>
      <c r="H445" s="48"/>
      <c r="K445" s="70"/>
      <c r="N445" s="48"/>
      <c r="Q445" s="48"/>
      <c r="T445" s="48"/>
      <c r="W445" s="70"/>
    </row>
    <row r="446" spans="2:23" x14ac:dyDescent="0.2">
      <c r="B446" s="48"/>
      <c r="E446" s="48"/>
      <c r="H446" s="48"/>
      <c r="K446" s="70"/>
      <c r="N446" s="48"/>
      <c r="Q446" s="48"/>
      <c r="T446" s="48"/>
      <c r="W446" s="70"/>
    </row>
    <row r="447" spans="2:23" x14ac:dyDescent="0.2">
      <c r="B447" s="48"/>
      <c r="E447" s="48"/>
      <c r="H447" s="48"/>
      <c r="K447" s="70"/>
      <c r="N447" s="48"/>
      <c r="Q447" s="48"/>
      <c r="T447" s="48"/>
      <c r="W447" s="70"/>
    </row>
    <row r="448" spans="2:23" x14ac:dyDescent="0.2">
      <c r="B448" s="48"/>
      <c r="E448" s="48"/>
      <c r="H448" s="48"/>
      <c r="K448" s="70"/>
      <c r="N448" s="48"/>
      <c r="Q448" s="48"/>
      <c r="T448" s="48"/>
      <c r="W448" s="70"/>
    </row>
    <row r="449" spans="2:23" x14ac:dyDescent="0.2">
      <c r="B449" s="48"/>
      <c r="E449" s="48"/>
      <c r="H449" s="48"/>
      <c r="K449" s="70"/>
      <c r="N449" s="48"/>
      <c r="Q449" s="48"/>
      <c r="T449" s="48"/>
      <c r="W449" s="70"/>
    </row>
    <row r="450" spans="2:23" x14ac:dyDescent="0.2">
      <c r="B450" s="48"/>
      <c r="E450" s="48"/>
      <c r="H450" s="48"/>
      <c r="K450" s="70"/>
      <c r="N450" s="48"/>
      <c r="Q450" s="48"/>
      <c r="T450" s="48"/>
      <c r="W450" s="70"/>
    </row>
    <row r="451" spans="2:23" x14ac:dyDescent="0.2">
      <c r="B451" s="48"/>
      <c r="E451" s="48"/>
      <c r="H451" s="48"/>
      <c r="K451" s="70"/>
      <c r="N451" s="48"/>
      <c r="Q451" s="48"/>
      <c r="T451" s="48"/>
      <c r="W451" s="70"/>
    </row>
    <row r="452" spans="2:23" x14ac:dyDescent="0.2">
      <c r="B452" s="48"/>
      <c r="E452" s="48"/>
      <c r="H452" s="48"/>
      <c r="K452" s="70"/>
      <c r="N452" s="48"/>
      <c r="Q452" s="48"/>
      <c r="T452" s="48"/>
      <c r="W452" s="70"/>
    </row>
    <row r="453" spans="2:23" x14ac:dyDescent="0.2">
      <c r="B453" s="48"/>
      <c r="E453" s="48"/>
      <c r="H453" s="48"/>
      <c r="K453" s="70"/>
      <c r="N453" s="48"/>
      <c r="Q453" s="48"/>
      <c r="T453" s="48"/>
      <c r="W453" s="70"/>
    </row>
    <row r="454" spans="2:23" x14ac:dyDescent="0.2">
      <c r="B454" s="48"/>
      <c r="E454" s="48"/>
      <c r="H454" s="48"/>
      <c r="K454" s="70"/>
      <c r="N454" s="48"/>
      <c r="Q454" s="48"/>
      <c r="T454" s="48"/>
      <c r="W454" s="70"/>
    </row>
    <row r="455" spans="2:23" x14ac:dyDescent="0.2">
      <c r="B455" s="48"/>
      <c r="E455" s="48"/>
      <c r="H455" s="48"/>
      <c r="K455" s="70"/>
      <c r="N455" s="48"/>
      <c r="Q455" s="48"/>
      <c r="T455" s="48"/>
      <c r="W455" s="70"/>
    </row>
    <row r="456" spans="2:23" x14ac:dyDescent="0.2">
      <c r="B456" s="48"/>
      <c r="E456" s="48"/>
      <c r="H456" s="48"/>
      <c r="K456" s="70"/>
      <c r="N456" s="48"/>
      <c r="Q456" s="48"/>
      <c r="T456" s="48"/>
      <c r="W456" s="70"/>
    </row>
    <row r="457" spans="2:23" x14ac:dyDescent="0.2">
      <c r="B457" s="48"/>
      <c r="E457" s="48"/>
      <c r="H457" s="48"/>
      <c r="K457" s="70"/>
      <c r="N457" s="48"/>
      <c r="Q457" s="48"/>
      <c r="T457" s="48"/>
      <c r="W457" s="70"/>
    </row>
    <row r="458" spans="2:23" x14ac:dyDescent="0.2">
      <c r="B458" s="48"/>
      <c r="E458" s="48"/>
      <c r="H458" s="48"/>
      <c r="K458" s="70"/>
      <c r="N458" s="48"/>
      <c r="Q458" s="48"/>
      <c r="T458" s="48"/>
      <c r="W458" s="70"/>
    </row>
    <row r="459" spans="2:23" x14ac:dyDescent="0.2">
      <c r="B459" s="48"/>
      <c r="E459" s="48"/>
      <c r="H459" s="48"/>
      <c r="K459" s="70"/>
      <c r="N459" s="48"/>
      <c r="Q459" s="48"/>
      <c r="T459" s="48"/>
      <c r="W459" s="70"/>
    </row>
    <row r="460" spans="2:23" x14ac:dyDescent="0.2">
      <c r="B460" s="48"/>
      <c r="E460" s="48"/>
      <c r="H460" s="48"/>
      <c r="K460" s="70"/>
      <c r="N460" s="48"/>
      <c r="Q460" s="48"/>
      <c r="T460" s="48"/>
      <c r="W460" s="70"/>
    </row>
    <row r="461" spans="2:23" x14ac:dyDescent="0.2">
      <c r="B461" s="48"/>
      <c r="E461" s="48"/>
      <c r="H461" s="48"/>
      <c r="K461" s="70"/>
      <c r="N461" s="48"/>
      <c r="Q461" s="48"/>
      <c r="T461" s="48"/>
      <c r="W461" s="70"/>
    </row>
    <row r="462" spans="2:23" x14ac:dyDescent="0.2">
      <c r="B462" s="48"/>
      <c r="E462" s="48"/>
      <c r="H462" s="48"/>
      <c r="K462" s="70"/>
      <c r="N462" s="48"/>
      <c r="Q462" s="48"/>
      <c r="T462" s="48"/>
      <c r="W462" s="70"/>
    </row>
    <row r="463" spans="2:23" x14ac:dyDescent="0.2">
      <c r="B463" s="48"/>
      <c r="E463" s="48"/>
      <c r="H463" s="48"/>
      <c r="K463" s="70"/>
      <c r="N463" s="48"/>
      <c r="Q463" s="48"/>
      <c r="T463" s="48"/>
      <c r="W463" s="70"/>
    </row>
    <row r="464" spans="2:23" x14ac:dyDescent="0.2">
      <c r="B464" s="48"/>
      <c r="E464" s="48"/>
      <c r="H464" s="48"/>
      <c r="K464" s="70"/>
      <c r="N464" s="48"/>
      <c r="Q464" s="48"/>
      <c r="T464" s="48"/>
      <c r="W464" s="70"/>
    </row>
    <row r="465" spans="2:23" x14ac:dyDescent="0.2">
      <c r="B465" s="48"/>
      <c r="E465" s="48"/>
      <c r="H465" s="48"/>
      <c r="K465" s="70"/>
      <c r="N465" s="48"/>
      <c r="Q465" s="48"/>
      <c r="T465" s="48"/>
      <c r="W465" s="70"/>
    </row>
    <row r="466" spans="2:23" x14ac:dyDescent="0.2">
      <c r="B466" s="48"/>
      <c r="E466" s="48"/>
      <c r="H466" s="48"/>
      <c r="K466" s="70"/>
      <c r="N466" s="48"/>
      <c r="Q466" s="48"/>
      <c r="T466" s="48"/>
      <c r="W466" s="70"/>
    </row>
    <row r="467" spans="2:23" x14ac:dyDescent="0.2">
      <c r="B467" s="48"/>
      <c r="E467" s="48"/>
      <c r="H467" s="48"/>
      <c r="K467" s="70"/>
      <c r="N467" s="48"/>
      <c r="Q467" s="48"/>
      <c r="T467" s="48"/>
      <c r="W467" s="70"/>
    </row>
    <row r="468" spans="2:23" x14ac:dyDescent="0.2">
      <c r="B468" s="48"/>
      <c r="E468" s="48"/>
      <c r="H468" s="48"/>
      <c r="K468" s="70"/>
      <c r="N468" s="48"/>
      <c r="Q468" s="48"/>
      <c r="T468" s="48"/>
      <c r="W468" s="70"/>
    </row>
    <row r="469" spans="2:23" x14ac:dyDescent="0.2">
      <c r="B469" s="48"/>
      <c r="E469" s="48"/>
      <c r="H469" s="48"/>
      <c r="K469" s="70"/>
      <c r="N469" s="48"/>
      <c r="Q469" s="48"/>
      <c r="T469" s="48"/>
      <c r="W469" s="70"/>
    </row>
    <row r="470" spans="2:23" x14ac:dyDescent="0.2">
      <c r="B470" s="48"/>
      <c r="E470" s="48"/>
      <c r="H470" s="48"/>
      <c r="K470" s="70"/>
      <c r="N470" s="48"/>
      <c r="Q470" s="48"/>
      <c r="T470" s="48"/>
      <c r="W470" s="70"/>
    </row>
    <row r="471" spans="2:23" x14ac:dyDescent="0.2">
      <c r="B471" s="48"/>
      <c r="E471" s="48"/>
      <c r="H471" s="48"/>
      <c r="K471" s="70"/>
      <c r="N471" s="48"/>
      <c r="Q471" s="48"/>
      <c r="T471" s="48"/>
      <c r="W471" s="70"/>
    </row>
    <row r="472" spans="2:23" x14ac:dyDescent="0.2">
      <c r="B472" s="48"/>
      <c r="E472" s="48"/>
      <c r="H472" s="48"/>
      <c r="K472" s="70"/>
      <c r="N472" s="48"/>
      <c r="Q472" s="48"/>
      <c r="T472" s="48"/>
      <c r="W472" s="70"/>
    </row>
    <row r="473" spans="2:23" x14ac:dyDescent="0.2">
      <c r="B473" s="48"/>
      <c r="E473" s="48"/>
      <c r="H473" s="48"/>
      <c r="K473" s="70"/>
      <c r="N473" s="48"/>
      <c r="Q473" s="48"/>
      <c r="T473" s="48"/>
      <c r="W473" s="70"/>
    </row>
    <row r="474" spans="2:23" x14ac:dyDescent="0.2">
      <c r="B474" s="48"/>
      <c r="E474" s="48"/>
      <c r="H474" s="48"/>
      <c r="K474" s="70"/>
      <c r="N474" s="48"/>
      <c r="Q474" s="48"/>
      <c r="T474" s="48"/>
      <c r="W474" s="70"/>
    </row>
    <row r="475" spans="2:23" x14ac:dyDescent="0.2">
      <c r="B475" s="48"/>
      <c r="E475" s="48"/>
      <c r="H475" s="48"/>
      <c r="K475" s="70"/>
      <c r="N475" s="48"/>
      <c r="Q475" s="48"/>
      <c r="T475" s="48"/>
      <c r="W475" s="70"/>
    </row>
    <row r="476" spans="2:23" x14ac:dyDescent="0.2">
      <c r="B476" s="48"/>
      <c r="E476" s="48"/>
      <c r="H476" s="48"/>
      <c r="K476" s="70"/>
      <c r="N476" s="48"/>
      <c r="Q476" s="48"/>
      <c r="T476" s="48"/>
      <c r="W476" s="70"/>
    </row>
    <row r="477" spans="2:23" x14ac:dyDescent="0.2">
      <c r="B477" s="48"/>
      <c r="E477" s="48"/>
      <c r="H477" s="48"/>
      <c r="K477" s="70"/>
      <c r="N477" s="48"/>
      <c r="Q477" s="48"/>
      <c r="T477" s="48"/>
      <c r="W477" s="70"/>
    </row>
    <row r="478" spans="2:23" x14ac:dyDescent="0.2">
      <c r="B478" s="48"/>
      <c r="E478" s="48"/>
      <c r="H478" s="48"/>
      <c r="K478" s="70"/>
      <c r="N478" s="48"/>
      <c r="Q478" s="48"/>
      <c r="T478" s="48"/>
      <c r="W478" s="70"/>
    </row>
    <row r="479" spans="2:23" x14ac:dyDescent="0.2">
      <c r="B479" s="48"/>
      <c r="E479" s="48"/>
      <c r="H479" s="48"/>
      <c r="K479" s="70"/>
      <c r="N479" s="48"/>
      <c r="Q479" s="48"/>
      <c r="T479" s="48"/>
      <c r="W479" s="70"/>
    </row>
    <row r="480" spans="2:23" x14ac:dyDescent="0.2">
      <c r="B480" s="48"/>
      <c r="E480" s="48"/>
      <c r="H480" s="48"/>
      <c r="K480" s="70"/>
      <c r="N480" s="48"/>
      <c r="Q480" s="48"/>
      <c r="T480" s="48"/>
      <c r="W480" s="70"/>
    </row>
    <row r="481" spans="2:23" x14ac:dyDescent="0.2">
      <c r="B481" s="48"/>
      <c r="E481" s="48"/>
      <c r="H481" s="48"/>
      <c r="K481" s="70"/>
      <c r="N481" s="48"/>
      <c r="Q481" s="48"/>
      <c r="T481" s="48"/>
      <c r="W481" s="70"/>
    </row>
    <row r="482" spans="2:23" x14ac:dyDescent="0.2">
      <c r="B482" s="48"/>
      <c r="E482" s="48"/>
      <c r="H482" s="48"/>
      <c r="K482" s="70"/>
      <c r="N482" s="48"/>
      <c r="Q482" s="48"/>
      <c r="T482" s="48"/>
      <c r="W482" s="70"/>
    </row>
    <row r="483" spans="2:23" x14ac:dyDescent="0.2">
      <c r="B483" s="48"/>
      <c r="E483" s="48"/>
      <c r="H483" s="48"/>
      <c r="K483" s="70"/>
      <c r="N483" s="48"/>
      <c r="Q483" s="48"/>
      <c r="T483" s="48"/>
      <c r="W483" s="70"/>
    </row>
    <row r="484" spans="2:23" x14ac:dyDescent="0.2">
      <c r="B484" s="48"/>
      <c r="E484" s="48"/>
      <c r="H484" s="48"/>
      <c r="K484" s="70"/>
      <c r="N484" s="48"/>
      <c r="Q484" s="48"/>
      <c r="T484" s="48"/>
      <c r="W484" s="70"/>
    </row>
    <row r="485" spans="2:23" x14ac:dyDescent="0.2">
      <c r="B485" s="48"/>
      <c r="E485" s="48"/>
      <c r="H485" s="48"/>
      <c r="K485" s="70"/>
      <c r="N485" s="48"/>
      <c r="Q485" s="48"/>
      <c r="T485" s="48"/>
      <c r="W485" s="70"/>
    </row>
    <row r="486" spans="2:23" x14ac:dyDescent="0.2">
      <c r="B486" s="48"/>
      <c r="E486" s="48"/>
      <c r="H486" s="48"/>
      <c r="K486" s="70"/>
      <c r="N486" s="48"/>
      <c r="Q486" s="48"/>
      <c r="T486" s="48"/>
      <c r="W486" s="70"/>
    </row>
    <row r="487" spans="2:23" x14ac:dyDescent="0.2">
      <c r="B487" s="48"/>
      <c r="E487" s="48"/>
      <c r="H487" s="48"/>
      <c r="K487" s="70"/>
      <c r="N487" s="48"/>
      <c r="Q487" s="48"/>
      <c r="T487" s="48"/>
      <c r="W487" s="70"/>
    </row>
    <row r="488" spans="2:23" x14ac:dyDescent="0.2">
      <c r="B488" s="48"/>
      <c r="E488" s="48"/>
      <c r="H488" s="48"/>
      <c r="K488" s="70"/>
      <c r="N488" s="48"/>
      <c r="Q488" s="48"/>
      <c r="T488" s="48"/>
      <c r="W488" s="70"/>
    </row>
    <row r="489" spans="2:23" x14ac:dyDescent="0.2">
      <c r="B489" s="48"/>
      <c r="E489" s="48"/>
      <c r="H489" s="48"/>
      <c r="K489" s="70"/>
      <c r="N489" s="48"/>
      <c r="Q489" s="48"/>
      <c r="T489" s="48"/>
      <c r="W489" s="70"/>
    </row>
    <row r="490" spans="2:23" x14ac:dyDescent="0.2">
      <c r="B490" s="48"/>
      <c r="E490" s="48"/>
      <c r="H490" s="48"/>
      <c r="K490" s="70"/>
      <c r="N490" s="48"/>
      <c r="Q490" s="48"/>
      <c r="T490" s="48"/>
      <c r="W490" s="70"/>
    </row>
    <row r="491" spans="2:23" x14ac:dyDescent="0.2">
      <c r="B491" s="48"/>
      <c r="E491" s="48"/>
      <c r="H491" s="48"/>
      <c r="K491" s="70"/>
      <c r="N491" s="48"/>
      <c r="Q491" s="48"/>
      <c r="T491" s="48"/>
      <c r="W491" s="70"/>
    </row>
    <row r="492" spans="2:23" x14ac:dyDescent="0.2">
      <c r="B492" s="48"/>
      <c r="E492" s="48"/>
      <c r="H492" s="48"/>
      <c r="K492" s="70"/>
      <c r="N492" s="48"/>
      <c r="Q492" s="48"/>
      <c r="T492" s="48"/>
      <c r="W492" s="70"/>
    </row>
    <row r="493" spans="2:23" x14ac:dyDescent="0.2">
      <c r="B493" s="48"/>
      <c r="E493" s="48"/>
      <c r="H493" s="48"/>
      <c r="K493" s="70"/>
      <c r="N493" s="48"/>
      <c r="Q493" s="48"/>
      <c r="T493" s="48"/>
      <c r="W493" s="70"/>
    </row>
    <row r="494" spans="2:23" x14ac:dyDescent="0.2">
      <c r="B494" s="48"/>
      <c r="E494" s="48"/>
      <c r="H494" s="48"/>
      <c r="K494" s="70"/>
      <c r="N494" s="48"/>
      <c r="Q494" s="48"/>
      <c r="T494" s="48"/>
      <c r="W494" s="70"/>
    </row>
    <row r="495" spans="2:23" x14ac:dyDescent="0.2">
      <c r="B495" s="48"/>
      <c r="E495" s="48"/>
      <c r="H495" s="48"/>
      <c r="K495" s="70"/>
      <c r="N495" s="48"/>
      <c r="Q495" s="48"/>
      <c r="T495" s="48"/>
      <c r="W495" s="70"/>
    </row>
    <row r="496" spans="2:23" x14ac:dyDescent="0.2">
      <c r="B496" s="48"/>
      <c r="E496" s="48"/>
      <c r="H496" s="48"/>
      <c r="K496" s="70"/>
      <c r="N496" s="48"/>
      <c r="Q496" s="48"/>
      <c r="T496" s="48"/>
      <c r="W496" s="70"/>
    </row>
    <row r="497" spans="2:23" x14ac:dyDescent="0.2">
      <c r="B497" s="48"/>
      <c r="E497" s="48"/>
      <c r="H497" s="48"/>
      <c r="K497" s="70"/>
      <c r="N497" s="48"/>
      <c r="Q497" s="48"/>
      <c r="T497" s="48"/>
      <c r="W497" s="70"/>
    </row>
    <row r="498" spans="2:23" x14ac:dyDescent="0.2">
      <c r="B498" s="48"/>
      <c r="E498" s="48"/>
      <c r="H498" s="48"/>
      <c r="K498" s="70"/>
      <c r="N498" s="48"/>
      <c r="Q498" s="48"/>
      <c r="T498" s="48"/>
      <c r="W498" s="70"/>
    </row>
    <row r="499" spans="2:23" x14ac:dyDescent="0.2">
      <c r="B499" s="48"/>
      <c r="E499" s="48"/>
      <c r="H499" s="48"/>
      <c r="K499" s="70"/>
      <c r="N499" s="48"/>
      <c r="Q499" s="48"/>
      <c r="T499" s="48"/>
      <c r="W499" s="70"/>
    </row>
    <row r="500" spans="2:23" x14ac:dyDescent="0.2">
      <c r="B500" s="48"/>
      <c r="E500" s="48"/>
      <c r="H500" s="48"/>
      <c r="K500" s="70"/>
      <c r="N500" s="48"/>
      <c r="Q500" s="48"/>
      <c r="T500" s="48"/>
      <c r="W500" s="70"/>
    </row>
    <row r="501" spans="2:23" x14ac:dyDescent="0.2">
      <c r="B501" s="48"/>
      <c r="E501" s="48"/>
      <c r="H501" s="48"/>
      <c r="K501" s="70"/>
      <c r="N501" s="48"/>
      <c r="Q501" s="48"/>
      <c r="T501" s="48"/>
      <c r="W501" s="70"/>
    </row>
    <row r="502" spans="2:23" x14ac:dyDescent="0.2">
      <c r="B502" s="48"/>
      <c r="E502" s="48"/>
      <c r="H502" s="48"/>
      <c r="K502" s="70"/>
      <c r="N502" s="48"/>
      <c r="Q502" s="48"/>
      <c r="T502" s="48"/>
      <c r="W502" s="70"/>
    </row>
    <row r="503" spans="2:23" x14ac:dyDescent="0.2">
      <c r="B503" s="48"/>
      <c r="E503" s="48"/>
      <c r="H503" s="48"/>
      <c r="K503" s="70"/>
      <c r="N503" s="48"/>
      <c r="Q503" s="48"/>
      <c r="T503" s="48"/>
      <c r="W503" s="70"/>
    </row>
    <row r="504" spans="2:23" x14ac:dyDescent="0.2">
      <c r="B504" s="48"/>
      <c r="E504" s="48"/>
      <c r="H504" s="48"/>
      <c r="K504" s="70"/>
      <c r="N504" s="48"/>
      <c r="Q504" s="48"/>
      <c r="T504" s="48"/>
      <c r="W504" s="70"/>
    </row>
    <row r="505" spans="2:23" x14ac:dyDescent="0.2">
      <c r="B505" s="48"/>
      <c r="E505" s="48"/>
      <c r="H505" s="48"/>
      <c r="K505" s="70"/>
      <c r="N505" s="48"/>
      <c r="Q505" s="48"/>
      <c r="T505" s="48"/>
      <c r="W505" s="70"/>
    </row>
    <row r="506" spans="2:23" x14ac:dyDescent="0.2">
      <c r="B506" s="48"/>
      <c r="E506" s="48"/>
      <c r="H506" s="48"/>
      <c r="K506" s="70"/>
      <c r="N506" s="48"/>
      <c r="Q506" s="48"/>
      <c r="T506" s="48"/>
      <c r="W506" s="70"/>
    </row>
    <row r="507" spans="2:23" x14ac:dyDescent="0.2">
      <c r="B507" s="48"/>
      <c r="E507" s="48"/>
      <c r="H507" s="48"/>
      <c r="K507" s="70"/>
      <c r="N507" s="48"/>
      <c r="Q507" s="48"/>
      <c r="T507" s="48"/>
      <c r="W507" s="70"/>
    </row>
    <row r="508" spans="2:23" x14ac:dyDescent="0.2">
      <c r="B508" s="48"/>
      <c r="E508" s="48"/>
      <c r="H508" s="48"/>
      <c r="K508" s="70"/>
      <c r="N508" s="48"/>
      <c r="Q508" s="48"/>
      <c r="T508" s="48"/>
      <c r="W508" s="70"/>
    </row>
    <row r="509" spans="2:23" x14ac:dyDescent="0.2">
      <c r="B509" s="48"/>
      <c r="E509" s="48"/>
      <c r="H509" s="48"/>
      <c r="K509" s="70"/>
      <c r="N509" s="48"/>
      <c r="Q509" s="48"/>
      <c r="T509" s="48"/>
      <c r="W509" s="70"/>
    </row>
    <row r="510" spans="2:23" x14ac:dyDescent="0.2">
      <c r="B510" s="48"/>
      <c r="E510" s="48"/>
      <c r="H510" s="48"/>
      <c r="K510" s="70"/>
      <c r="N510" s="48"/>
      <c r="Q510" s="48"/>
      <c r="T510" s="48"/>
      <c r="W510" s="70"/>
    </row>
    <row r="511" spans="2:23" x14ac:dyDescent="0.2">
      <c r="B511" s="48"/>
      <c r="E511" s="48"/>
      <c r="H511" s="48"/>
      <c r="K511" s="70"/>
      <c r="N511" s="48"/>
      <c r="Q511" s="48"/>
      <c r="T511" s="48"/>
      <c r="W511" s="70"/>
    </row>
    <row r="512" spans="2:23" x14ac:dyDescent="0.2">
      <c r="B512" s="48"/>
      <c r="E512" s="48"/>
      <c r="H512" s="48"/>
      <c r="K512" s="70"/>
      <c r="N512" s="48"/>
      <c r="Q512" s="48"/>
      <c r="T512" s="48"/>
      <c r="W512" s="70"/>
    </row>
    <row r="513" spans="2:23" x14ac:dyDescent="0.2">
      <c r="B513" s="48"/>
      <c r="E513" s="48"/>
      <c r="H513" s="48"/>
      <c r="K513" s="70"/>
      <c r="N513" s="48"/>
      <c r="Q513" s="48"/>
      <c r="T513" s="48"/>
      <c r="W513" s="70"/>
    </row>
    <row r="514" spans="2:23" x14ac:dyDescent="0.2">
      <c r="B514" s="48"/>
      <c r="E514" s="48"/>
      <c r="H514" s="48"/>
      <c r="K514" s="70"/>
      <c r="N514" s="48"/>
      <c r="Q514" s="48"/>
      <c r="T514" s="48"/>
      <c r="W514" s="70"/>
    </row>
    <row r="515" spans="2:23" x14ac:dyDescent="0.2">
      <c r="B515" s="48"/>
      <c r="E515" s="48"/>
      <c r="H515" s="48"/>
      <c r="K515" s="70"/>
      <c r="N515" s="48"/>
      <c r="Q515" s="48"/>
      <c r="T515" s="48"/>
      <c r="W515" s="70"/>
    </row>
    <row r="516" spans="2:23" x14ac:dyDescent="0.2">
      <c r="B516" s="48"/>
      <c r="E516" s="48"/>
      <c r="H516" s="48"/>
      <c r="K516" s="70"/>
      <c r="N516" s="48"/>
      <c r="Q516" s="48"/>
      <c r="T516" s="48"/>
      <c r="W516" s="70"/>
    </row>
    <row r="517" spans="2:23" x14ac:dyDescent="0.2">
      <c r="B517" s="48"/>
      <c r="E517" s="48"/>
      <c r="H517" s="48"/>
      <c r="K517" s="70"/>
      <c r="N517" s="48"/>
      <c r="Q517" s="48"/>
      <c r="T517" s="48"/>
      <c r="W517" s="70"/>
    </row>
    <row r="518" spans="2:23" x14ac:dyDescent="0.2">
      <c r="B518" s="48"/>
      <c r="E518" s="48"/>
      <c r="H518" s="48"/>
      <c r="K518" s="70"/>
      <c r="N518" s="48"/>
      <c r="Q518" s="48"/>
      <c r="T518" s="48"/>
      <c r="W518" s="70"/>
    </row>
    <row r="519" spans="2:23" x14ac:dyDescent="0.2">
      <c r="B519" s="48"/>
      <c r="E519" s="48"/>
      <c r="H519" s="48"/>
      <c r="K519" s="70"/>
      <c r="N519" s="48"/>
      <c r="Q519" s="48"/>
      <c r="T519" s="48"/>
      <c r="W519" s="70"/>
    </row>
    <row r="520" spans="2:23" x14ac:dyDescent="0.2">
      <c r="B520" s="48"/>
      <c r="E520" s="48"/>
      <c r="H520" s="48"/>
      <c r="K520" s="70"/>
      <c r="N520" s="48"/>
      <c r="Q520" s="48"/>
      <c r="T520" s="48"/>
      <c r="W520" s="70"/>
    </row>
    <row r="521" spans="2:23" x14ac:dyDescent="0.2">
      <c r="B521" s="48"/>
      <c r="E521" s="48"/>
      <c r="H521" s="48"/>
      <c r="K521" s="70"/>
      <c r="N521" s="48"/>
      <c r="Q521" s="48"/>
      <c r="T521" s="48"/>
      <c r="W521" s="70"/>
    </row>
    <row r="522" spans="2:23" x14ac:dyDescent="0.2">
      <c r="B522" s="48"/>
      <c r="E522" s="48"/>
      <c r="H522" s="48"/>
      <c r="K522" s="70"/>
      <c r="N522" s="48"/>
      <c r="Q522" s="48"/>
      <c r="T522" s="48"/>
      <c r="W522" s="70"/>
    </row>
    <row r="523" spans="2:23" x14ac:dyDescent="0.2">
      <c r="B523" s="48"/>
      <c r="E523" s="48"/>
      <c r="H523" s="48"/>
      <c r="K523" s="70"/>
      <c r="N523" s="48"/>
      <c r="Q523" s="48"/>
      <c r="T523" s="48"/>
      <c r="W523" s="70"/>
    </row>
    <row r="524" spans="2:23" x14ac:dyDescent="0.2">
      <c r="B524" s="48"/>
      <c r="E524" s="48"/>
      <c r="H524" s="48"/>
      <c r="K524" s="70"/>
      <c r="N524" s="48"/>
      <c r="Q524" s="48"/>
      <c r="T524" s="48"/>
      <c r="W524" s="70"/>
    </row>
    <row r="525" spans="2:23" x14ac:dyDescent="0.2">
      <c r="B525" s="48"/>
      <c r="E525" s="48"/>
      <c r="H525" s="48"/>
      <c r="K525" s="70"/>
      <c r="N525" s="48"/>
      <c r="Q525" s="48"/>
      <c r="T525" s="48"/>
      <c r="W525" s="70"/>
    </row>
    <row r="526" spans="2:23" x14ac:dyDescent="0.2">
      <c r="B526" s="48"/>
      <c r="E526" s="48"/>
      <c r="H526" s="48"/>
      <c r="K526" s="70"/>
      <c r="N526" s="48"/>
      <c r="Q526" s="48"/>
      <c r="T526" s="48"/>
      <c r="W526" s="70"/>
    </row>
    <row r="527" spans="2:23" x14ac:dyDescent="0.2">
      <c r="B527" s="48"/>
      <c r="E527" s="48"/>
      <c r="H527" s="48"/>
      <c r="K527" s="70"/>
      <c r="N527" s="48"/>
      <c r="Q527" s="48"/>
      <c r="T527" s="48"/>
      <c r="W527" s="70"/>
    </row>
    <row r="528" spans="2:23" x14ac:dyDescent="0.2">
      <c r="B528" s="48"/>
      <c r="E528" s="48"/>
      <c r="H528" s="48"/>
      <c r="K528" s="70"/>
      <c r="N528" s="48"/>
      <c r="Q528" s="48"/>
      <c r="T528" s="48"/>
      <c r="W528" s="70"/>
    </row>
    <row r="529" spans="2:23" x14ac:dyDescent="0.2">
      <c r="B529" s="48"/>
      <c r="E529" s="48"/>
      <c r="H529" s="48"/>
      <c r="K529" s="70"/>
      <c r="N529" s="48"/>
      <c r="Q529" s="48"/>
      <c r="T529" s="48"/>
      <c r="W529" s="70"/>
    </row>
    <row r="530" spans="2:23" x14ac:dyDescent="0.2">
      <c r="B530" s="48"/>
      <c r="E530" s="48"/>
      <c r="H530" s="48"/>
      <c r="K530" s="70"/>
      <c r="N530" s="48"/>
      <c r="Q530" s="48"/>
      <c r="T530" s="48"/>
      <c r="W530" s="70"/>
    </row>
    <row r="531" spans="2:23" x14ac:dyDescent="0.2">
      <c r="B531" s="48"/>
      <c r="E531" s="48"/>
      <c r="H531" s="48"/>
      <c r="K531" s="70"/>
      <c r="N531" s="48"/>
      <c r="Q531" s="48"/>
      <c r="T531" s="48"/>
      <c r="W531" s="70"/>
    </row>
    <row r="532" spans="2:23" x14ac:dyDescent="0.2">
      <c r="B532" s="48"/>
      <c r="E532" s="48"/>
      <c r="H532" s="48"/>
      <c r="K532" s="70"/>
      <c r="N532" s="48"/>
      <c r="Q532" s="48"/>
      <c r="T532" s="48"/>
      <c r="W532" s="70"/>
    </row>
    <row r="533" spans="2:23" x14ac:dyDescent="0.2">
      <c r="B533" s="48"/>
      <c r="E533" s="48"/>
      <c r="H533" s="48"/>
      <c r="K533" s="70"/>
      <c r="N533" s="48"/>
      <c r="Q533" s="48"/>
      <c r="T533" s="48"/>
      <c r="W533" s="70"/>
    </row>
    <row r="534" spans="2:23" x14ac:dyDescent="0.2">
      <c r="B534" s="48"/>
      <c r="E534" s="48"/>
      <c r="H534" s="48"/>
      <c r="K534" s="70"/>
      <c r="N534" s="48"/>
      <c r="Q534" s="48"/>
      <c r="T534" s="48"/>
      <c r="W534" s="70"/>
    </row>
    <row r="535" spans="2:23" x14ac:dyDescent="0.2">
      <c r="B535" s="48"/>
      <c r="E535" s="48"/>
      <c r="H535" s="48"/>
      <c r="K535" s="70"/>
      <c r="N535" s="48"/>
      <c r="Q535" s="48"/>
      <c r="T535" s="48"/>
      <c r="W535" s="70"/>
    </row>
    <row r="536" spans="2:23" x14ac:dyDescent="0.2">
      <c r="B536" s="48"/>
      <c r="E536" s="48"/>
      <c r="H536" s="48"/>
      <c r="K536" s="70"/>
      <c r="N536" s="48"/>
      <c r="Q536" s="48"/>
      <c r="T536" s="48"/>
      <c r="W536" s="70"/>
    </row>
    <row r="537" spans="2:23" x14ac:dyDescent="0.2">
      <c r="B537" s="48"/>
      <c r="E537" s="48"/>
      <c r="H537" s="48"/>
      <c r="K537" s="70"/>
      <c r="N537" s="48"/>
      <c r="Q537" s="48"/>
      <c r="T537" s="48"/>
      <c r="W537" s="70"/>
    </row>
    <row r="538" spans="2:23" x14ac:dyDescent="0.2">
      <c r="B538" s="48"/>
      <c r="E538" s="48"/>
      <c r="H538" s="48"/>
      <c r="K538" s="70"/>
      <c r="N538" s="48"/>
      <c r="Q538" s="48"/>
      <c r="T538" s="48"/>
      <c r="W538" s="70"/>
    </row>
    <row r="539" spans="2:23" x14ac:dyDescent="0.2">
      <c r="B539" s="48"/>
      <c r="E539" s="48"/>
      <c r="H539" s="48"/>
      <c r="K539" s="70"/>
      <c r="N539" s="48"/>
      <c r="Q539" s="48"/>
      <c r="T539" s="48"/>
      <c r="W539" s="70"/>
    </row>
    <row r="540" spans="2:23" x14ac:dyDescent="0.2">
      <c r="B540" s="48"/>
      <c r="E540" s="48"/>
      <c r="H540" s="48"/>
      <c r="K540" s="70"/>
      <c r="N540" s="48"/>
      <c r="Q540" s="48"/>
      <c r="T540" s="48"/>
      <c r="W540" s="70"/>
    </row>
    <row r="541" spans="2:23" x14ac:dyDescent="0.2">
      <c r="B541" s="48"/>
      <c r="E541" s="48"/>
      <c r="H541" s="48"/>
      <c r="K541" s="70"/>
      <c r="N541" s="48"/>
      <c r="Q541" s="48"/>
      <c r="T541" s="48"/>
      <c r="W541" s="70"/>
    </row>
    <row r="542" spans="2:23" x14ac:dyDescent="0.2">
      <c r="B542" s="48"/>
      <c r="E542" s="48"/>
      <c r="H542" s="48"/>
      <c r="K542" s="70"/>
      <c r="N542" s="48"/>
      <c r="Q542" s="48"/>
      <c r="T542" s="48"/>
      <c r="W542" s="70"/>
    </row>
    <row r="543" spans="2:23" x14ac:dyDescent="0.2">
      <c r="B543" s="48"/>
      <c r="E543" s="48"/>
      <c r="H543" s="48"/>
      <c r="K543" s="70"/>
      <c r="N543" s="48"/>
      <c r="Q543" s="48"/>
      <c r="T543" s="48"/>
      <c r="W543" s="70"/>
    </row>
    <row r="544" spans="2:23" x14ac:dyDescent="0.2">
      <c r="B544" s="48"/>
      <c r="E544" s="48"/>
      <c r="H544" s="48"/>
      <c r="K544" s="70"/>
      <c r="N544" s="48"/>
      <c r="Q544" s="48"/>
      <c r="T544" s="48"/>
      <c r="W544" s="70"/>
    </row>
    <row r="545" spans="2:23" x14ac:dyDescent="0.2">
      <c r="B545" s="48"/>
      <c r="E545" s="48"/>
      <c r="H545" s="48"/>
      <c r="K545" s="70"/>
      <c r="N545" s="48"/>
      <c r="Q545" s="48"/>
      <c r="T545" s="48"/>
      <c r="W545" s="70"/>
    </row>
    <row r="546" spans="2:23" x14ac:dyDescent="0.2">
      <c r="B546" s="48"/>
      <c r="E546" s="48"/>
      <c r="H546" s="48"/>
      <c r="K546" s="70"/>
      <c r="N546" s="48"/>
      <c r="Q546" s="48"/>
      <c r="T546" s="48"/>
      <c r="W546" s="70"/>
    </row>
    <row r="547" spans="2:23" x14ac:dyDescent="0.2">
      <c r="B547" s="48"/>
      <c r="E547" s="48"/>
      <c r="H547" s="48"/>
      <c r="K547" s="70"/>
      <c r="N547" s="48"/>
      <c r="Q547" s="48"/>
      <c r="T547" s="48"/>
      <c r="W547" s="70"/>
    </row>
    <row r="548" spans="2:23" x14ac:dyDescent="0.2">
      <c r="B548" s="48"/>
      <c r="E548" s="48"/>
      <c r="H548" s="48"/>
      <c r="K548" s="70"/>
      <c r="N548" s="48"/>
      <c r="Q548" s="48"/>
      <c r="T548" s="48"/>
      <c r="W548" s="70"/>
    </row>
    <row r="549" spans="2:23" x14ac:dyDescent="0.2">
      <c r="B549" s="48"/>
      <c r="E549" s="48"/>
      <c r="H549" s="48"/>
      <c r="K549" s="70"/>
      <c r="N549" s="48"/>
      <c r="Q549" s="48"/>
      <c r="T549" s="48"/>
      <c r="W549" s="70"/>
    </row>
    <row r="550" spans="2:23" x14ac:dyDescent="0.2">
      <c r="B550" s="48"/>
      <c r="E550" s="48"/>
      <c r="H550" s="48"/>
      <c r="K550" s="70"/>
      <c r="N550" s="48"/>
      <c r="Q550" s="48"/>
      <c r="T550" s="48"/>
      <c r="W550" s="70"/>
    </row>
    <row r="551" spans="2:23" x14ac:dyDescent="0.2">
      <c r="B551" s="48"/>
      <c r="E551" s="48"/>
      <c r="H551" s="48"/>
      <c r="K551" s="70"/>
      <c r="N551" s="48"/>
      <c r="Q551" s="48"/>
      <c r="T551" s="48"/>
      <c r="W551" s="70"/>
    </row>
    <row r="552" spans="2:23" x14ac:dyDescent="0.2">
      <c r="B552" s="48"/>
      <c r="E552" s="48"/>
      <c r="H552" s="48"/>
      <c r="K552" s="70"/>
      <c r="N552" s="48"/>
      <c r="Q552" s="48"/>
      <c r="T552" s="48"/>
      <c r="W552" s="70"/>
    </row>
    <row r="553" spans="2:23" x14ac:dyDescent="0.2">
      <c r="B553" s="48"/>
      <c r="E553" s="48"/>
      <c r="H553" s="48"/>
      <c r="K553" s="70"/>
      <c r="N553" s="48"/>
      <c r="Q553" s="48"/>
      <c r="T553" s="48"/>
      <c r="W553" s="70"/>
    </row>
    <row r="554" spans="2:23" x14ac:dyDescent="0.2">
      <c r="B554" s="48"/>
      <c r="E554" s="48"/>
      <c r="H554" s="48"/>
      <c r="K554" s="70"/>
      <c r="N554" s="48"/>
      <c r="Q554" s="48"/>
      <c r="T554" s="48"/>
      <c r="W554" s="70"/>
    </row>
    <row r="555" spans="2:23" x14ac:dyDescent="0.2">
      <c r="B555" s="48"/>
      <c r="E555" s="48"/>
      <c r="H555" s="48"/>
      <c r="K555" s="70"/>
      <c r="N555" s="48"/>
      <c r="Q555" s="48"/>
      <c r="T555" s="48"/>
      <c r="W555" s="70"/>
    </row>
    <row r="556" spans="2:23" x14ac:dyDescent="0.2">
      <c r="B556" s="48"/>
      <c r="E556" s="48"/>
      <c r="H556" s="48"/>
      <c r="K556" s="70"/>
      <c r="N556" s="48"/>
      <c r="Q556" s="48"/>
      <c r="T556" s="48"/>
      <c r="W556" s="70"/>
    </row>
    <row r="557" spans="2:23" x14ac:dyDescent="0.2">
      <c r="B557" s="48"/>
      <c r="E557" s="48"/>
      <c r="H557" s="48"/>
      <c r="K557" s="70"/>
      <c r="N557" s="48"/>
      <c r="Q557" s="48"/>
      <c r="T557" s="48"/>
      <c r="W557" s="70"/>
    </row>
    <row r="558" spans="2:23" x14ac:dyDescent="0.2">
      <c r="B558" s="48"/>
      <c r="E558" s="48"/>
      <c r="H558" s="48"/>
      <c r="K558" s="70"/>
      <c r="N558" s="48"/>
      <c r="Q558" s="48"/>
      <c r="T558" s="48"/>
      <c r="W558" s="70"/>
    </row>
    <row r="559" spans="2:23" x14ac:dyDescent="0.2">
      <c r="B559" s="48"/>
      <c r="E559" s="48"/>
      <c r="H559" s="48"/>
      <c r="K559" s="70"/>
      <c r="N559" s="48"/>
      <c r="Q559" s="48"/>
      <c r="T559" s="48"/>
      <c r="W559" s="70"/>
    </row>
    <row r="560" spans="2:23" x14ac:dyDescent="0.2">
      <c r="B560" s="48"/>
      <c r="E560" s="48"/>
      <c r="H560" s="48"/>
      <c r="K560" s="70"/>
      <c r="N560" s="48"/>
      <c r="Q560" s="48"/>
      <c r="T560" s="48"/>
      <c r="W560" s="70"/>
    </row>
    <row r="561" spans="2:23" x14ac:dyDescent="0.2">
      <c r="B561" s="48"/>
      <c r="E561" s="48"/>
      <c r="H561" s="48"/>
      <c r="K561" s="70"/>
      <c r="N561" s="48"/>
      <c r="Q561" s="48"/>
      <c r="T561" s="48"/>
      <c r="W561" s="70"/>
    </row>
    <row r="562" spans="2:23" x14ac:dyDescent="0.2">
      <c r="B562" s="48"/>
      <c r="E562" s="48"/>
      <c r="H562" s="48"/>
      <c r="K562" s="70"/>
      <c r="N562" s="48"/>
      <c r="Q562" s="48"/>
      <c r="T562" s="48"/>
      <c r="W562" s="70"/>
    </row>
    <row r="563" spans="2:23" x14ac:dyDescent="0.2">
      <c r="B563" s="48"/>
      <c r="E563" s="48"/>
      <c r="H563" s="48"/>
      <c r="K563" s="70"/>
      <c r="N563" s="48"/>
      <c r="Q563" s="48"/>
      <c r="T563" s="48"/>
      <c r="W563" s="70"/>
    </row>
    <row r="564" spans="2:23" x14ac:dyDescent="0.2">
      <c r="B564" s="48"/>
      <c r="E564" s="48"/>
      <c r="H564" s="48"/>
      <c r="K564" s="70"/>
      <c r="N564" s="48"/>
      <c r="Q564" s="48"/>
      <c r="T564" s="48"/>
      <c r="W564" s="70"/>
    </row>
    <row r="565" spans="2:23" x14ac:dyDescent="0.2">
      <c r="B565" s="48"/>
      <c r="E565" s="48"/>
      <c r="H565" s="48"/>
      <c r="K565" s="70"/>
      <c r="N565" s="48"/>
      <c r="Q565" s="48"/>
      <c r="T565" s="48"/>
      <c r="W565" s="70"/>
    </row>
    <row r="566" spans="2:23" x14ac:dyDescent="0.2">
      <c r="B566" s="48"/>
      <c r="E566" s="48"/>
      <c r="H566" s="48"/>
      <c r="K566" s="70"/>
      <c r="N566" s="48"/>
      <c r="Q566" s="48"/>
      <c r="T566" s="48"/>
      <c r="W566" s="70"/>
    </row>
    <row r="567" spans="2:23" x14ac:dyDescent="0.2">
      <c r="B567" s="48"/>
      <c r="E567" s="48"/>
      <c r="H567" s="48"/>
      <c r="K567" s="70"/>
      <c r="N567" s="48"/>
      <c r="Q567" s="48"/>
      <c r="T567" s="48"/>
      <c r="W567" s="70"/>
    </row>
    <row r="568" spans="2:23" x14ac:dyDescent="0.2">
      <c r="B568" s="48"/>
      <c r="E568" s="48"/>
      <c r="H568" s="48"/>
      <c r="K568" s="70"/>
      <c r="N568" s="48"/>
      <c r="Q568" s="48"/>
      <c r="T568" s="48"/>
      <c r="W568" s="70"/>
    </row>
    <row r="569" spans="2:23" x14ac:dyDescent="0.2">
      <c r="B569" s="48"/>
      <c r="E569" s="48"/>
      <c r="H569" s="48"/>
      <c r="K569" s="70"/>
      <c r="N569" s="48"/>
      <c r="Q569" s="48"/>
      <c r="T569" s="48"/>
      <c r="W569" s="70"/>
    </row>
    <row r="570" spans="2:23" x14ac:dyDescent="0.2">
      <c r="B570" s="48"/>
      <c r="E570" s="48"/>
      <c r="H570" s="48"/>
      <c r="K570" s="70"/>
      <c r="N570" s="48"/>
      <c r="Q570" s="48"/>
      <c r="T570" s="48"/>
      <c r="W570" s="70"/>
    </row>
    <row r="571" spans="2:23" x14ac:dyDescent="0.2">
      <c r="B571" s="48"/>
      <c r="E571" s="48"/>
      <c r="H571" s="48"/>
      <c r="K571" s="70"/>
      <c r="N571" s="48"/>
      <c r="Q571" s="48"/>
      <c r="T571" s="48"/>
      <c r="W571" s="70"/>
    </row>
    <row r="572" spans="2:23" x14ac:dyDescent="0.2">
      <c r="B572" s="48"/>
      <c r="E572" s="48"/>
      <c r="H572" s="48"/>
      <c r="K572" s="70"/>
      <c r="N572" s="48"/>
      <c r="Q572" s="48"/>
      <c r="T572" s="48"/>
      <c r="W572" s="70"/>
    </row>
    <row r="573" spans="2:23" x14ac:dyDescent="0.2">
      <c r="B573" s="48"/>
      <c r="E573" s="48"/>
      <c r="H573" s="48"/>
      <c r="K573" s="70"/>
      <c r="N573" s="48"/>
      <c r="Q573" s="48"/>
      <c r="T573" s="48"/>
      <c r="W573" s="70"/>
    </row>
    <row r="574" spans="2:23" x14ac:dyDescent="0.2">
      <c r="B574" s="48"/>
      <c r="E574" s="48"/>
      <c r="H574" s="48"/>
      <c r="K574" s="70"/>
      <c r="N574" s="48"/>
      <c r="Q574" s="48"/>
      <c r="T574" s="48"/>
      <c r="W574" s="70"/>
    </row>
    <row r="575" spans="2:23" x14ac:dyDescent="0.2">
      <c r="B575" s="48"/>
      <c r="E575" s="48"/>
      <c r="H575" s="48"/>
      <c r="K575" s="70"/>
      <c r="N575" s="48"/>
      <c r="Q575" s="48"/>
      <c r="T575" s="48"/>
      <c r="W575" s="70"/>
    </row>
    <row r="576" spans="2:23" x14ac:dyDescent="0.2">
      <c r="B576" s="48"/>
      <c r="E576" s="48"/>
      <c r="H576" s="48"/>
      <c r="K576" s="70"/>
      <c r="N576" s="48"/>
      <c r="Q576" s="48"/>
      <c r="T576" s="48"/>
      <c r="W576" s="70"/>
    </row>
    <row r="577" spans="2:23" x14ac:dyDescent="0.2">
      <c r="B577" s="48"/>
      <c r="E577" s="48"/>
      <c r="H577" s="48"/>
      <c r="K577" s="70"/>
      <c r="N577" s="48"/>
      <c r="Q577" s="48"/>
      <c r="T577" s="48"/>
      <c r="W577" s="70"/>
    </row>
    <row r="578" spans="2:23" x14ac:dyDescent="0.2">
      <c r="B578" s="48"/>
      <c r="E578" s="48"/>
      <c r="H578" s="48"/>
      <c r="K578" s="70"/>
      <c r="N578" s="48"/>
      <c r="Q578" s="48"/>
      <c r="T578" s="48"/>
      <c r="W578" s="70"/>
    </row>
    <row r="579" spans="2:23" x14ac:dyDescent="0.2">
      <c r="B579" s="48"/>
      <c r="E579" s="48"/>
      <c r="H579" s="48"/>
      <c r="K579" s="70"/>
      <c r="N579" s="48"/>
      <c r="Q579" s="48"/>
      <c r="T579" s="48"/>
      <c r="W579" s="70"/>
    </row>
    <row r="580" spans="2:23" x14ac:dyDescent="0.2">
      <c r="B580" s="48"/>
      <c r="E580" s="48"/>
      <c r="H580" s="48"/>
      <c r="K580" s="70"/>
      <c r="N580" s="48"/>
      <c r="Q580" s="48"/>
      <c r="T580" s="48"/>
      <c r="W580" s="70"/>
    </row>
    <row r="581" spans="2:23" x14ac:dyDescent="0.2">
      <c r="B581" s="48"/>
      <c r="E581" s="48"/>
      <c r="H581" s="48"/>
      <c r="K581" s="70"/>
      <c r="N581" s="48"/>
      <c r="Q581" s="48"/>
      <c r="T581" s="48"/>
      <c r="W581" s="70"/>
    </row>
    <row r="582" spans="2:23" x14ac:dyDescent="0.2">
      <c r="B582" s="48"/>
      <c r="E582" s="48"/>
      <c r="H582" s="48"/>
      <c r="K582" s="70"/>
      <c r="N582" s="48"/>
      <c r="Q582" s="48"/>
      <c r="T582" s="48"/>
      <c r="W582" s="70"/>
    </row>
    <row r="583" spans="2:23" x14ac:dyDescent="0.2">
      <c r="B583" s="48"/>
      <c r="E583" s="48"/>
      <c r="H583" s="48"/>
      <c r="K583" s="70"/>
      <c r="N583" s="48"/>
      <c r="Q583" s="48"/>
      <c r="T583" s="48"/>
      <c r="W583" s="70"/>
    </row>
    <row r="584" spans="2:23" x14ac:dyDescent="0.2">
      <c r="B584" s="48"/>
      <c r="E584" s="48"/>
      <c r="H584" s="48"/>
      <c r="K584" s="70"/>
      <c r="N584" s="48"/>
      <c r="Q584" s="48"/>
      <c r="T584" s="48"/>
      <c r="W584" s="70"/>
    </row>
    <row r="585" spans="2:23" x14ac:dyDescent="0.2">
      <c r="B585" s="48"/>
      <c r="E585" s="48"/>
      <c r="H585" s="48"/>
      <c r="K585" s="70"/>
      <c r="N585" s="48"/>
      <c r="Q585" s="48"/>
      <c r="T585" s="48"/>
      <c r="W585" s="70"/>
    </row>
    <row r="586" spans="2:23" x14ac:dyDescent="0.2">
      <c r="B586" s="48"/>
      <c r="E586" s="48"/>
      <c r="H586" s="48"/>
      <c r="K586" s="70"/>
      <c r="N586" s="48"/>
      <c r="Q586" s="48"/>
      <c r="T586" s="48"/>
      <c r="W586" s="70"/>
    </row>
    <row r="587" spans="2:23" x14ac:dyDescent="0.2">
      <c r="B587" s="48"/>
      <c r="E587" s="48"/>
      <c r="H587" s="48"/>
      <c r="K587" s="70"/>
      <c r="N587" s="48"/>
      <c r="Q587" s="48"/>
      <c r="T587" s="48"/>
      <c r="W587" s="70"/>
    </row>
    <row r="588" spans="2:23" x14ac:dyDescent="0.2">
      <c r="B588" s="48"/>
      <c r="E588" s="48"/>
      <c r="H588" s="48"/>
      <c r="K588" s="70"/>
      <c r="N588" s="48"/>
      <c r="Q588" s="48"/>
      <c r="T588" s="48"/>
      <c r="W588" s="70"/>
    </row>
    <row r="589" spans="2:23" x14ac:dyDescent="0.2">
      <c r="B589" s="48"/>
      <c r="E589" s="48"/>
      <c r="H589" s="48"/>
      <c r="K589" s="70"/>
      <c r="N589" s="48"/>
      <c r="Q589" s="48"/>
      <c r="T589" s="48"/>
      <c r="W589" s="70"/>
    </row>
    <row r="590" spans="2:23" x14ac:dyDescent="0.2">
      <c r="B590" s="48"/>
      <c r="E590" s="48"/>
      <c r="H590" s="48"/>
      <c r="K590" s="70"/>
      <c r="N590" s="48"/>
      <c r="Q590" s="48"/>
      <c r="T590" s="48"/>
      <c r="W590" s="70"/>
    </row>
    <row r="591" spans="2:23" x14ac:dyDescent="0.2">
      <c r="B591" s="48"/>
      <c r="E591" s="48"/>
      <c r="H591" s="48"/>
      <c r="K591" s="70"/>
      <c r="N591" s="48"/>
      <c r="Q591" s="48"/>
      <c r="T591" s="48"/>
      <c r="W591" s="70"/>
    </row>
    <row r="592" spans="2:23" x14ac:dyDescent="0.2">
      <c r="B592" s="48"/>
      <c r="E592" s="48"/>
      <c r="H592" s="48"/>
      <c r="K592" s="70"/>
      <c r="N592" s="48"/>
      <c r="Q592" s="48"/>
      <c r="T592" s="48"/>
      <c r="W592" s="70"/>
    </row>
    <row r="593" spans="2:23" x14ac:dyDescent="0.2">
      <c r="B593" s="48"/>
      <c r="E593" s="48"/>
      <c r="H593" s="48"/>
      <c r="K593" s="70"/>
      <c r="N593" s="48"/>
      <c r="Q593" s="48"/>
      <c r="T593" s="48"/>
      <c r="W593" s="70"/>
    </row>
    <row r="594" spans="2:23" x14ac:dyDescent="0.2">
      <c r="B594" s="48"/>
      <c r="E594" s="48"/>
      <c r="H594" s="48"/>
      <c r="K594" s="70"/>
      <c r="N594" s="48"/>
      <c r="Q594" s="48"/>
      <c r="T594" s="48"/>
      <c r="W594" s="70"/>
    </row>
    <row r="595" spans="2:23" x14ac:dyDescent="0.2">
      <c r="B595" s="48"/>
      <c r="E595" s="48"/>
      <c r="H595" s="48"/>
      <c r="K595" s="70"/>
      <c r="N595" s="48"/>
      <c r="Q595" s="48"/>
      <c r="T595" s="48"/>
      <c r="W595" s="70"/>
    </row>
    <row r="596" spans="2:23" x14ac:dyDescent="0.2">
      <c r="B596" s="48"/>
      <c r="E596" s="48"/>
      <c r="H596" s="48"/>
      <c r="K596" s="70"/>
      <c r="N596" s="48"/>
      <c r="Q596" s="48"/>
      <c r="T596" s="48"/>
      <c r="W596" s="70"/>
    </row>
    <row r="597" spans="2:23" x14ac:dyDescent="0.2">
      <c r="B597" s="48"/>
      <c r="E597" s="48"/>
      <c r="H597" s="48"/>
      <c r="K597" s="70"/>
      <c r="N597" s="48"/>
      <c r="Q597" s="48"/>
      <c r="T597" s="48"/>
      <c r="W597" s="70"/>
    </row>
    <row r="598" spans="2:23" x14ac:dyDescent="0.2">
      <c r="B598" s="48"/>
      <c r="E598" s="48"/>
      <c r="H598" s="48"/>
      <c r="K598" s="70"/>
      <c r="N598" s="48"/>
      <c r="Q598" s="48"/>
      <c r="T598" s="48"/>
      <c r="W598" s="70"/>
    </row>
    <row r="599" spans="2:23" x14ac:dyDescent="0.2">
      <c r="B599" s="48"/>
      <c r="E599" s="48"/>
      <c r="H599" s="48"/>
      <c r="K599" s="70"/>
      <c r="N599" s="48"/>
      <c r="Q599" s="48"/>
      <c r="T599" s="48"/>
      <c r="W599" s="70"/>
    </row>
    <row r="600" spans="2:23" x14ac:dyDescent="0.2">
      <c r="B600" s="48"/>
      <c r="E600" s="48"/>
      <c r="H600" s="48"/>
      <c r="K600" s="70"/>
      <c r="N600" s="48"/>
      <c r="Q600" s="48"/>
      <c r="T600" s="48"/>
      <c r="W600" s="70"/>
    </row>
    <row r="601" spans="2:23" x14ac:dyDescent="0.2">
      <c r="B601" s="48"/>
      <c r="E601" s="48"/>
      <c r="H601" s="48"/>
      <c r="K601" s="70"/>
      <c r="N601" s="48"/>
      <c r="Q601" s="48"/>
      <c r="T601" s="48"/>
      <c r="W601" s="70"/>
    </row>
    <row r="602" spans="2:23" x14ac:dyDescent="0.2">
      <c r="B602" s="48"/>
      <c r="E602" s="48"/>
      <c r="H602" s="48"/>
      <c r="K602" s="70"/>
      <c r="N602" s="48"/>
      <c r="Q602" s="48"/>
      <c r="T602" s="48"/>
      <c r="W602" s="70"/>
    </row>
    <row r="603" spans="2:23" x14ac:dyDescent="0.2">
      <c r="B603" s="48"/>
      <c r="E603" s="48"/>
      <c r="H603" s="48"/>
      <c r="K603" s="70"/>
      <c r="N603" s="48"/>
      <c r="Q603" s="48"/>
      <c r="T603" s="48"/>
      <c r="W603" s="70"/>
    </row>
    <row r="604" spans="2:23" x14ac:dyDescent="0.2">
      <c r="B604" s="48"/>
      <c r="E604" s="48"/>
      <c r="H604" s="48"/>
      <c r="K604" s="70"/>
      <c r="N604" s="48"/>
      <c r="Q604" s="48"/>
      <c r="T604" s="48"/>
      <c r="W604" s="70"/>
    </row>
    <row r="605" spans="2:23" x14ac:dyDescent="0.2">
      <c r="B605" s="48"/>
      <c r="E605" s="48"/>
      <c r="H605" s="48"/>
      <c r="K605" s="70"/>
      <c r="N605" s="48"/>
      <c r="Q605" s="48"/>
      <c r="T605" s="48"/>
      <c r="W605" s="70"/>
    </row>
    <row r="606" spans="2:23" x14ac:dyDescent="0.2">
      <c r="B606" s="48"/>
      <c r="E606" s="48"/>
      <c r="H606" s="48"/>
      <c r="K606" s="70"/>
      <c r="N606" s="48"/>
      <c r="Q606" s="48"/>
      <c r="T606" s="48"/>
      <c r="W606" s="70"/>
    </row>
    <row r="607" spans="2:23" x14ac:dyDescent="0.2">
      <c r="B607" s="48"/>
      <c r="E607" s="48"/>
      <c r="H607" s="48"/>
      <c r="K607" s="70"/>
      <c r="N607" s="48"/>
      <c r="Q607" s="48"/>
      <c r="T607" s="48"/>
      <c r="W607" s="70"/>
    </row>
    <row r="608" spans="2:23" x14ac:dyDescent="0.2">
      <c r="B608" s="48"/>
      <c r="E608" s="48"/>
      <c r="H608" s="48"/>
      <c r="K608" s="70"/>
      <c r="N608" s="48"/>
      <c r="Q608" s="48"/>
      <c r="T608" s="48"/>
      <c r="W608" s="70"/>
    </row>
    <row r="609" spans="2:23" x14ac:dyDescent="0.2">
      <c r="B609" s="48"/>
      <c r="E609" s="48"/>
      <c r="H609" s="48"/>
      <c r="K609" s="70"/>
      <c r="N609" s="48"/>
      <c r="Q609" s="48"/>
      <c r="T609" s="48"/>
      <c r="W609" s="70"/>
    </row>
    <row r="610" spans="2:23" x14ac:dyDescent="0.2">
      <c r="B610" s="48"/>
      <c r="E610" s="48"/>
      <c r="H610" s="48"/>
      <c r="K610" s="70"/>
      <c r="N610" s="48"/>
      <c r="Q610" s="48"/>
      <c r="T610" s="48"/>
      <c r="W610" s="70"/>
    </row>
    <row r="611" spans="2:23" x14ac:dyDescent="0.2">
      <c r="B611" s="48"/>
      <c r="E611" s="48"/>
      <c r="H611" s="48"/>
      <c r="K611" s="70"/>
      <c r="N611" s="48"/>
      <c r="Q611" s="48"/>
      <c r="T611" s="48"/>
      <c r="W611" s="70"/>
    </row>
    <row r="612" spans="2:23" x14ac:dyDescent="0.2">
      <c r="B612" s="48"/>
      <c r="E612" s="48"/>
      <c r="H612" s="48"/>
      <c r="K612" s="70"/>
      <c r="N612" s="48"/>
      <c r="Q612" s="48"/>
      <c r="T612" s="48"/>
      <c r="W612" s="70"/>
    </row>
    <row r="613" spans="2:23" x14ac:dyDescent="0.2">
      <c r="B613" s="48"/>
      <c r="E613" s="48"/>
      <c r="H613" s="48"/>
      <c r="K613" s="70"/>
      <c r="N613" s="48"/>
      <c r="Q613" s="48"/>
      <c r="T613" s="48"/>
      <c r="W613" s="70"/>
    </row>
    <row r="614" spans="2:23" x14ac:dyDescent="0.2">
      <c r="B614" s="48"/>
      <c r="E614" s="48"/>
      <c r="H614" s="48"/>
      <c r="K614" s="70"/>
      <c r="N614" s="48"/>
      <c r="Q614" s="48"/>
      <c r="T614" s="48"/>
      <c r="W614" s="70"/>
    </row>
    <row r="615" spans="2:23" x14ac:dyDescent="0.2">
      <c r="B615" s="48"/>
      <c r="E615" s="48"/>
      <c r="H615" s="48"/>
      <c r="K615" s="70"/>
      <c r="N615" s="48"/>
      <c r="Q615" s="48"/>
      <c r="T615" s="48"/>
      <c r="W615" s="70"/>
    </row>
    <row r="616" spans="2:23" x14ac:dyDescent="0.2">
      <c r="B616" s="48"/>
      <c r="E616" s="48"/>
      <c r="H616" s="48"/>
      <c r="K616" s="70"/>
      <c r="N616" s="48"/>
      <c r="Q616" s="48"/>
      <c r="T616" s="48"/>
      <c r="W616" s="70"/>
    </row>
    <row r="617" spans="2:23" x14ac:dyDescent="0.2">
      <c r="B617" s="48"/>
      <c r="E617" s="48"/>
      <c r="H617" s="48"/>
      <c r="K617" s="70"/>
      <c r="N617" s="48"/>
      <c r="Q617" s="48"/>
      <c r="T617" s="48"/>
      <c r="W617" s="70"/>
    </row>
    <row r="618" spans="2:23" x14ac:dyDescent="0.2">
      <c r="B618" s="48"/>
      <c r="E618" s="48"/>
      <c r="H618" s="48"/>
      <c r="K618" s="70"/>
      <c r="N618" s="48"/>
      <c r="Q618" s="48"/>
      <c r="T618" s="48"/>
      <c r="W618" s="70"/>
    </row>
    <row r="619" spans="2:23" x14ac:dyDescent="0.2">
      <c r="B619" s="48"/>
      <c r="E619" s="48"/>
      <c r="H619" s="48"/>
      <c r="K619" s="70"/>
      <c r="N619" s="48"/>
      <c r="Q619" s="48"/>
      <c r="T619" s="48"/>
      <c r="W619" s="70"/>
    </row>
    <row r="620" spans="2:23" x14ac:dyDescent="0.2">
      <c r="B620" s="48"/>
      <c r="E620" s="48"/>
      <c r="H620" s="48"/>
      <c r="K620" s="70"/>
      <c r="N620" s="48"/>
      <c r="Q620" s="48"/>
      <c r="T620" s="48"/>
      <c r="W620" s="70"/>
    </row>
    <row r="621" spans="2:23" x14ac:dyDescent="0.2">
      <c r="B621" s="48"/>
      <c r="E621" s="48"/>
      <c r="H621" s="48"/>
      <c r="K621" s="70"/>
      <c r="N621" s="48"/>
      <c r="Q621" s="48"/>
      <c r="T621" s="48"/>
      <c r="W621" s="70"/>
    </row>
    <row r="622" spans="2:23" x14ac:dyDescent="0.2">
      <c r="B622" s="48"/>
      <c r="E622" s="48"/>
      <c r="H622" s="48"/>
      <c r="K622" s="70"/>
      <c r="N622" s="48"/>
      <c r="Q622" s="48"/>
      <c r="T622" s="48"/>
      <c r="W622" s="70"/>
    </row>
    <row r="623" spans="2:23" x14ac:dyDescent="0.2">
      <c r="B623" s="48"/>
      <c r="E623" s="48"/>
      <c r="H623" s="48"/>
      <c r="K623" s="70"/>
      <c r="N623" s="48"/>
      <c r="Q623" s="48"/>
      <c r="T623" s="48"/>
      <c r="W623" s="70"/>
    </row>
    <row r="624" spans="2:23" x14ac:dyDescent="0.2">
      <c r="B624" s="48"/>
      <c r="E624" s="48"/>
      <c r="H624" s="48"/>
      <c r="K624" s="70"/>
      <c r="N624" s="48"/>
      <c r="Q624" s="48"/>
      <c r="T624" s="48"/>
      <c r="W624" s="70"/>
    </row>
    <row r="625" spans="2:23" x14ac:dyDescent="0.2">
      <c r="B625" s="48"/>
      <c r="E625" s="48"/>
      <c r="H625" s="48"/>
      <c r="K625" s="70"/>
      <c r="N625" s="48"/>
      <c r="Q625" s="48"/>
      <c r="T625" s="48"/>
      <c r="W625" s="70"/>
    </row>
    <row r="626" spans="2:23" x14ac:dyDescent="0.2">
      <c r="B626" s="48"/>
      <c r="E626" s="48"/>
      <c r="H626" s="48"/>
      <c r="K626" s="70"/>
      <c r="N626" s="48"/>
      <c r="Q626" s="48"/>
      <c r="T626" s="48"/>
      <c r="W626" s="70"/>
    </row>
    <row r="627" spans="2:23" x14ac:dyDescent="0.2">
      <c r="B627" s="48"/>
      <c r="E627" s="48"/>
      <c r="H627" s="48"/>
      <c r="K627" s="70"/>
      <c r="N627" s="48"/>
      <c r="Q627" s="48"/>
      <c r="T627" s="48"/>
      <c r="W627" s="70"/>
    </row>
    <row r="628" spans="2:23" x14ac:dyDescent="0.2">
      <c r="B628" s="48"/>
      <c r="E628" s="48"/>
      <c r="H628" s="48"/>
      <c r="K628" s="70"/>
      <c r="N628" s="48"/>
      <c r="Q628" s="48"/>
      <c r="T628" s="48"/>
      <c r="W628" s="70"/>
    </row>
    <row r="629" spans="2:23" x14ac:dyDescent="0.2">
      <c r="B629" s="48"/>
      <c r="E629" s="48"/>
      <c r="H629" s="48"/>
      <c r="K629" s="70"/>
      <c r="N629" s="48"/>
      <c r="Q629" s="48"/>
      <c r="T629" s="48"/>
      <c r="W629" s="70"/>
    </row>
    <row r="630" spans="2:23" x14ac:dyDescent="0.2">
      <c r="B630" s="48"/>
      <c r="E630" s="48"/>
      <c r="H630" s="48"/>
      <c r="K630" s="70"/>
      <c r="N630" s="48"/>
      <c r="Q630" s="48"/>
      <c r="T630" s="48"/>
      <c r="W630" s="70"/>
    </row>
    <row r="631" spans="2:23" x14ac:dyDescent="0.2">
      <c r="B631" s="48"/>
      <c r="E631" s="48"/>
      <c r="H631" s="48"/>
      <c r="K631" s="70"/>
      <c r="N631" s="48"/>
      <c r="Q631" s="48"/>
      <c r="T631" s="48"/>
      <c r="W631" s="70"/>
    </row>
    <row r="632" spans="2:23" x14ac:dyDescent="0.2">
      <c r="B632" s="48"/>
      <c r="E632" s="48"/>
      <c r="H632" s="48"/>
      <c r="K632" s="70"/>
      <c r="N632" s="48"/>
      <c r="Q632" s="48"/>
      <c r="T632" s="48"/>
      <c r="W632" s="70"/>
    </row>
    <row r="633" spans="2:23" x14ac:dyDescent="0.2">
      <c r="B633" s="48"/>
      <c r="E633" s="48"/>
      <c r="H633" s="48"/>
      <c r="K633" s="70"/>
      <c r="N633" s="48"/>
      <c r="Q633" s="48"/>
      <c r="T633" s="48"/>
      <c r="W633" s="70"/>
    </row>
    <row r="634" spans="2:23" x14ac:dyDescent="0.2">
      <c r="B634" s="48"/>
      <c r="E634" s="48"/>
      <c r="H634" s="48"/>
      <c r="K634" s="70"/>
      <c r="N634" s="48"/>
      <c r="Q634" s="48"/>
      <c r="T634" s="48"/>
      <c r="W634" s="70"/>
    </row>
    <row r="635" spans="2:23" x14ac:dyDescent="0.2">
      <c r="B635" s="48"/>
      <c r="E635" s="48"/>
      <c r="H635" s="48"/>
      <c r="K635" s="70"/>
      <c r="N635" s="48"/>
      <c r="Q635" s="48"/>
      <c r="T635" s="48"/>
      <c r="W635" s="70"/>
    </row>
    <row r="636" spans="2:23" x14ac:dyDescent="0.2">
      <c r="B636" s="48"/>
      <c r="E636" s="48"/>
      <c r="H636" s="48"/>
      <c r="K636" s="70"/>
      <c r="N636" s="48"/>
      <c r="Q636" s="48"/>
      <c r="T636" s="48"/>
      <c r="W636" s="70"/>
    </row>
    <row r="637" spans="2:23" x14ac:dyDescent="0.2">
      <c r="B637" s="48"/>
      <c r="E637" s="48"/>
      <c r="H637" s="48"/>
      <c r="K637" s="70"/>
      <c r="N637" s="48"/>
      <c r="Q637" s="48"/>
      <c r="T637" s="48"/>
      <c r="W637" s="70"/>
    </row>
    <row r="638" spans="2:23" x14ac:dyDescent="0.2">
      <c r="B638" s="48"/>
      <c r="E638" s="48"/>
      <c r="H638" s="48"/>
      <c r="K638" s="70"/>
      <c r="N638" s="48"/>
      <c r="Q638" s="48"/>
      <c r="T638" s="48"/>
      <c r="W638" s="70"/>
    </row>
    <row r="639" spans="2:23" x14ac:dyDescent="0.2">
      <c r="B639" s="48"/>
      <c r="E639" s="48"/>
      <c r="H639" s="48"/>
      <c r="K639" s="70"/>
      <c r="N639" s="48"/>
      <c r="Q639" s="48"/>
      <c r="T639" s="48"/>
      <c r="W639" s="70"/>
    </row>
    <row r="640" spans="2:23" x14ac:dyDescent="0.2">
      <c r="B640" s="48"/>
      <c r="E640" s="48"/>
      <c r="H640" s="48"/>
      <c r="K640" s="70"/>
      <c r="N640" s="48"/>
      <c r="Q640" s="48"/>
      <c r="T640" s="48"/>
      <c r="W640" s="70"/>
    </row>
    <row r="641" spans="2:23" x14ac:dyDescent="0.2">
      <c r="B641" s="48"/>
      <c r="E641" s="48"/>
      <c r="H641" s="48"/>
      <c r="K641" s="70"/>
      <c r="N641" s="48"/>
      <c r="Q641" s="48"/>
      <c r="T641" s="48"/>
      <c r="W641" s="70"/>
    </row>
    <row r="642" spans="2:23" x14ac:dyDescent="0.2">
      <c r="B642" s="48"/>
      <c r="E642" s="48"/>
      <c r="H642" s="48"/>
      <c r="K642" s="70"/>
      <c r="N642" s="48"/>
      <c r="Q642" s="48"/>
      <c r="T642" s="48"/>
      <c r="W642" s="70"/>
    </row>
    <row r="643" spans="2:23" x14ac:dyDescent="0.2">
      <c r="B643" s="48"/>
      <c r="E643" s="48"/>
      <c r="H643" s="48"/>
      <c r="K643" s="70"/>
      <c r="N643" s="48"/>
      <c r="Q643" s="48"/>
      <c r="T643" s="48"/>
      <c r="W643" s="70"/>
    </row>
    <row r="644" spans="2:23" x14ac:dyDescent="0.2">
      <c r="B644" s="48"/>
      <c r="E644" s="48"/>
      <c r="H644" s="48"/>
      <c r="K644" s="70"/>
      <c r="N644" s="48"/>
      <c r="Q644" s="48"/>
      <c r="T644" s="48"/>
      <c r="W644" s="70"/>
    </row>
    <row r="645" spans="2:23" x14ac:dyDescent="0.2">
      <c r="B645" s="48"/>
      <c r="E645" s="48"/>
      <c r="H645" s="48"/>
      <c r="K645" s="70"/>
      <c r="N645" s="48"/>
      <c r="Q645" s="48"/>
      <c r="T645" s="48"/>
      <c r="W645" s="70"/>
    </row>
    <row r="646" spans="2:23" x14ac:dyDescent="0.2">
      <c r="B646" s="48"/>
      <c r="E646" s="48"/>
      <c r="H646" s="48"/>
      <c r="K646" s="70"/>
      <c r="N646" s="48"/>
      <c r="Q646" s="48"/>
      <c r="T646" s="48"/>
      <c r="W646" s="70"/>
    </row>
    <row r="647" spans="2:23" x14ac:dyDescent="0.2">
      <c r="B647" s="48"/>
      <c r="E647" s="48"/>
      <c r="H647" s="48"/>
      <c r="K647" s="70"/>
      <c r="N647" s="48"/>
      <c r="Q647" s="48"/>
      <c r="T647" s="48"/>
      <c r="W647" s="70"/>
    </row>
    <row r="648" spans="2:23" x14ac:dyDescent="0.2">
      <c r="B648" s="48"/>
      <c r="E648" s="48"/>
      <c r="H648" s="48"/>
      <c r="K648" s="70"/>
      <c r="N648" s="48"/>
      <c r="Q648" s="48"/>
      <c r="T648" s="48"/>
      <c r="W648" s="70"/>
    </row>
    <row r="649" spans="2:23" x14ac:dyDescent="0.2">
      <c r="B649" s="48"/>
      <c r="E649" s="48"/>
      <c r="H649" s="48"/>
      <c r="K649" s="70"/>
      <c r="N649" s="48"/>
      <c r="Q649" s="48"/>
      <c r="T649" s="48"/>
      <c r="W649" s="70"/>
    </row>
    <row r="650" spans="2:23" x14ac:dyDescent="0.2">
      <c r="B650" s="48"/>
      <c r="E650" s="48"/>
      <c r="H650" s="48"/>
      <c r="K650" s="70"/>
      <c r="N650" s="48"/>
      <c r="Q650" s="48"/>
      <c r="T650" s="48"/>
      <c r="W650" s="70"/>
    </row>
    <row r="651" spans="2:23" x14ac:dyDescent="0.2">
      <c r="B651" s="48"/>
      <c r="E651" s="48"/>
      <c r="H651" s="48"/>
      <c r="K651" s="70"/>
      <c r="N651" s="48"/>
      <c r="Q651" s="48"/>
      <c r="T651" s="48"/>
      <c r="W651" s="70"/>
    </row>
    <row r="652" spans="2:23" x14ac:dyDescent="0.2">
      <c r="B652" s="48"/>
      <c r="E652" s="48"/>
      <c r="H652" s="48"/>
      <c r="K652" s="70"/>
      <c r="N652" s="48"/>
      <c r="Q652" s="48"/>
      <c r="T652" s="48"/>
      <c r="W652" s="70"/>
    </row>
    <row r="653" spans="2:23" x14ac:dyDescent="0.2">
      <c r="B653" s="48"/>
      <c r="E653" s="48"/>
      <c r="H653" s="48"/>
      <c r="K653" s="70"/>
      <c r="N653" s="48"/>
      <c r="Q653" s="48"/>
      <c r="T653" s="48"/>
      <c r="W653" s="70"/>
    </row>
    <row r="654" spans="2:23" x14ac:dyDescent="0.2">
      <c r="B654" s="48"/>
      <c r="E654" s="48"/>
      <c r="H654" s="48"/>
      <c r="K654" s="70"/>
      <c r="N654" s="48"/>
      <c r="Q654" s="48"/>
      <c r="T654" s="48"/>
      <c r="W654" s="70"/>
    </row>
    <row r="655" spans="2:23" x14ac:dyDescent="0.2">
      <c r="B655" s="48"/>
      <c r="E655" s="48"/>
      <c r="H655" s="48"/>
      <c r="K655" s="70"/>
      <c r="N655" s="48"/>
      <c r="Q655" s="48"/>
      <c r="T655" s="48"/>
      <c r="W655" s="70"/>
    </row>
    <row r="656" spans="2:23" x14ac:dyDescent="0.2">
      <c r="B656" s="48"/>
      <c r="E656" s="48"/>
      <c r="H656" s="48"/>
      <c r="K656" s="70"/>
      <c r="N656" s="48"/>
      <c r="Q656" s="48"/>
      <c r="T656" s="48"/>
      <c r="W656" s="70"/>
    </row>
    <row r="657" spans="2:23" x14ac:dyDescent="0.2">
      <c r="B657" s="48"/>
      <c r="E657" s="48"/>
      <c r="H657" s="48"/>
      <c r="K657" s="70"/>
      <c r="N657" s="48"/>
      <c r="Q657" s="48"/>
      <c r="T657" s="48"/>
      <c r="W657" s="70"/>
    </row>
    <row r="658" spans="2:23" x14ac:dyDescent="0.2">
      <c r="B658" s="48"/>
      <c r="E658" s="48"/>
      <c r="H658" s="48"/>
      <c r="K658" s="70"/>
      <c r="N658" s="48"/>
      <c r="Q658" s="48"/>
      <c r="T658" s="48"/>
      <c r="W658" s="70"/>
    </row>
    <row r="659" spans="2:23" x14ac:dyDescent="0.2">
      <c r="B659" s="48"/>
      <c r="E659" s="48"/>
      <c r="H659" s="48"/>
      <c r="K659" s="70"/>
      <c r="N659" s="48"/>
      <c r="Q659" s="48"/>
      <c r="T659" s="48"/>
      <c r="W659" s="70"/>
    </row>
    <row r="660" spans="2:23" x14ac:dyDescent="0.2">
      <c r="B660" s="48"/>
      <c r="E660" s="48"/>
      <c r="H660" s="48"/>
      <c r="K660" s="70"/>
      <c r="N660" s="48"/>
      <c r="Q660" s="48"/>
      <c r="T660" s="48"/>
      <c r="W660" s="70"/>
    </row>
    <row r="661" spans="2:23" x14ac:dyDescent="0.2">
      <c r="B661" s="48"/>
      <c r="E661" s="48"/>
      <c r="H661" s="48"/>
      <c r="K661" s="70"/>
      <c r="N661" s="48"/>
      <c r="Q661" s="48"/>
      <c r="T661" s="48"/>
      <c r="W661" s="70"/>
    </row>
    <row r="662" spans="2:23" x14ac:dyDescent="0.2">
      <c r="B662" s="48"/>
      <c r="E662" s="48"/>
      <c r="H662" s="48"/>
      <c r="K662" s="70"/>
      <c r="N662" s="48"/>
      <c r="Q662" s="48"/>
      <c r="T662" s="48"/>
      <c r="W662" s="70"/>
    </row>
    <row r="663" spans="2:23" x14ac:dyDescent="0.2">
      <c r="B663" s="48"/>
      <c r="E663" s="48"/>
      <c r="H663" s="48"/>
      <c r="K663" s="70"/>
      <c r="N663" s="48"/>
      <c r="Q663" s="48"/>
      <c r="T663" s="48"/>
      <c r="W663" s="70"/>
    </row>
    <row r="664" spans="2:23" x14ac:dyDescent="0.2">
      <c r="B664" s="48"/>
      <c r="E664" s="48"/>
      <c r="H664" s="48"/>
      <c r="K664" s="70"/>
      <c r="N664" s="48"/>
      <c r="Q664" s="48"/>
      <c r="T664" s="48"/>
      <c r="W664" s="70"/>
    </row>
    <row r="665" spans="2:23" x14ac:dyDescent="0.2">
      <c r="B665" s="48"/>
      <c r="E665" s="48"/>
      <c r="H665" s="48"/>
      <c r="K665" s="70"/>
      <c r="N665" s="48"/>
      <c r="Q665" s="48"/>
      <c r="T665" s="48"/>
      <c r="W665" s="70"/>
    </row>
    <row r="666" spans="2:23" x14ac:dyDescent="0.2">
      <c r="B666" s="48"/>
      <c r="E666" s="48"/>
      <c r="H666" s="48"/>
      <c r="K666" s="70"/>
      <c r="N666" s="48"/>
      <c r="Q666" s="48"/>
      <c r="T666" s="48"/>
      <c r="W666" s="70"/>
    </row>
    <row r="667" spans="2:23" x14ac:dyDescent="0.2">
      <c r="B667" s="48"/>
      <c r="E667" s="48"/>
      <c r="H667" s="48"/>
      <c r="K667" s="70"/>
      <c r="N667" s="48"/>
      <c r="Q667" s="48"/>
      <c r="T667" s="48"/>
      <c r="W667" s="70"/>
    </row>
    <row r="668" spans="2:23" x14ac:dyDescent="0.2">
      <c r="B668" s="48"/>
      <c r="E668" s="48"/>
      <c r="H668" s="48"/>
      <c r="K668" s="70"/>
      <c r="N668" s="48"/>
      <c r="Q668" s="48"/>
      <c r="T668" s="48"/>
      <c r="W668" s="70"/>
    </row>
    <row r="669" spans="2:23" x14ac:dyDescent="0.2">
      <c r="B669" s="48"/>
      <c r="E669" s="48"/>
      <c r="H669" s="48"/>
      <c r="K669" s="70"/>
      <c r="N669" s="48"/>
      <c r="Q669" s="48"/>
      <c r="T669" s="48"/>
      <c r="W669" s="70"/>
    </row>
    <row r="670" spans="2:23" x14ac:dyDescent="0.2">
      <c r="B670" s="48"/>
      <c r="E670" s="48"/>
      <c r="H670" s="48"/>
      <c r="K670" s="70"/>
      <c r="N670" s="48"/>
      <c r="Q670" s="48"/>
      <c r="T670" s="48"/>
      <c r="W670" s="70"/>
    </row>
    <row r="671" spans="2:23" x14ac:dyDescent="0.2">
      <c r="B671" s="48"/>
      <c r="E671" s="48"/>
      <c r="H671" s="48"/>
      <c r="K671" s="70"/>
      <c r="N671" s="48"/>
      <c r="Q671" s="48"/>
      <c r="T671" s="48"/>
      <c r="W671" s="70"/>
    </row>
    <row r="672" spans="2:23" x14ac:dyDescent="0.2">
      <c r="B672" s="48"/>
      <c r="E672" s="48"/>
      <c r="H672" s="48"/>
      <c r="K672" s="70"/>
      <c r="N672" s="48"/>
      <c r="Q672" s="48"/>
      <c r="T672" s="48"/>
      <c r="W672" s="70"/>
    </row>
    <row r="673" spans="2:23" x14ac:dyDescent="0.2">
      <c r="B673" s="48"/>
      <c r="E673" s="48"/>
      <c r="H673" s="48"/>
      <c r="K673" s="70"/>
      <c r="N673" s="48"/>
      <c r="Q673" s="48"/>
      <c r="T673" s="48"/>
      <c r="W673" s="70"/>
    </row>
    <row r="674" spans="2:23" x14ac:dyDescent="0.2">
      <c r="B674" s="48"/>
      <c r="E674" s="48"/>
      <c r="H674" s="48"/>
      <c r="K674" s="70"/>
      <c r="N674" s="48"/>
      <c r="Q674" s="48"/>
      <c r="T674" s="48"/>
      <c r="W674" s="70"/>
    </row>
    <row r="675" spans="2:23" x14ac:dyDescent="0.2">
      <c r="B675" s="48"/>
      <c r="E675" s="48"/>
      <c r="H675" s="48"/>
      <c r="K675" s="70"/>
      <c r="N675" s="48"/>
      <c r="Q675" s="48"/>
      <c r="T675" s="48"/>
      <c r="W675" s="70"/>
    </row>
    <row r="676" spans="2:23" x14ac:dyDescent="0.2">
      <c r="B676" s="48"/>
      <c r="E676" s="48"/>
      <c r="H676" s="48"/>
      <c r="K676" s="70"/>
      <c r="N676" s="48"/>
      <c r="Q676" s="48"/>
      <c r="T676" s="48"/>
      <c r="W676" s="70"/>
    </row>
    <row r="677" spans="2:23" x14ac:dyDescent="0.2">
      <c r="B677" s="48"/>
      <c r="E677" s="48"/>
      <c r="H677" s="48"/>
      <c r="K677" s="70"/>
      <c r="N677" s="48"/>
      <c r="Q677" s="48"/>
      <c r="T677" s="48"/>
      <c r="W677" s="70"/>
    </row>
    <row r="678" spans="2:23" x14ac:dyDescent="0.2">
      <c r="B678" s="48"/>
      <c r="E678" s="48"/>
      <c r="H678" s="48"/>
      <c r="K678" s="70"/>
      <c r="N678" s="48"/>
      <c r="Q678" s="48"/>
      <c r="T678" s="48"/>
      <c r="W678" s="70"/>
    </row>
    <row r="679" spans="2:23" x14ac:dyDescent="0.2">
      <c r="B679" s="48"/>
      <c r="E679" s="48"/>
      <c r="H679" s="48"/>
      <c r="K679" s="70"/>
      <c r="N679" s="48"/>
      <c r="Q679" s="48"/>
      <c r="T679" s="48"/>
      <c r="W679" s="70"/>
    </row>
    <row r="680" spans="2:23" x14ac:dyDescent="0.2">
      <c r="B680" s="48"/>
      <c r="E680" s="48"/>
      <c r="H680" s="48"/>
      <c r="K680" s="70"/>
      <c r="N680" s="48"/>
      <c r="Q680" s="48"/>
      <c r="T680" s="48"/>
      <c r="W680" s="70"/>
    </row>
    <row r="681" spans="2:23" x14ac:dyDescent="0.2">
      <c r="B681" s="48"/>
      <c r="E681" s="48"/>
      <c r="H681" s="48"/>
      <c r="K681" s="70"/>
      <c r="N681" s="48"/>
      <c r="Q681" s="48"/>
      <c r="T681" s="48"/>
      <c r="W681" s="70"/>
    </row>
    <row r="682" spans="2:23" x14ac:dyDescent="0.2">
      <c r="B682" s="48"/>
      <c r="E682" s="48"/>
      <c r="H682" s="48"/>
      <c r="K682" s="70"/>
      <c r="N682" s="48"/>
      <c r="Q682" s="48"/>
      <c r="T682" s="48"/>
      <c r="W682" s="70"/>
    </row>
    <row r="683" spans="2:23" x14ac:dyDescent="0.2">
      <c r="B683" s="48"/>
      <c r="E683" s="48"/>
      <c r="H683" s="48"/>
      <c r="K683" s="70"/>
      <c r="N683" s="48"/>
      <c r="Q683" s="48"/>
      <c r="T683" s="48"/>
      <c r="W683" s="70"/>
    </row>
    <row r="684" spans="2:23" x14ac:dyDescent="0.2">
      <c r="B684" s="48"/>
      <c r="E684" s="48"/>
      <c r="H684" s="48"/>
      <c r="K684" s="70"/>
      <c r="N684" s="48"/>
      <c r="Q684" s="48"/>
      <c r="T684" s="48"/>
      <c r="W684" s="70"/>
    </row>
    <row r="685" spans="2:23" x14ac:dyDescent="0.2">
      <c r="B685" s="48"/>
      <c r="E685" s="48"/>
      <c r="H685" s="48"/>
      <c r="K685" s="70"/>
      <c r="N685" s="48"/>
      <c r="Q685" s="48"/>
      <c r="T685" s="48"/>
      <c r="W685" s="70"/>
    </row>
    <row r="686" spans="2:23" x14ac:dyDescent="0.2">
      <c r="B686" s="48"/>
      <c r="E686" s="48"/>
      <c r="H686" s="48"/>
      <c r="K686" s="70"/>
      <c r="N686" s="48"/>
      <c r="Q686" s="48"/>
      <c r="T686" s="48"/>
      <c r="W686" s="70"/>
    </row>
    <row r="687" spans="2:23" x14ac:dyDescent="0.2">
      <c r="B687" s="48"/>
      <c r="E687" s="48"/>
      <c r="H687" s="48"/>
      <c r="K687" s="70"/>
      <c r="N687" s="48"/>
      <c r="Q687" s="48"/>
      <c r="T687" s="48"/>
      <c r="W687" s="70"/>
    </row>
    <row r="688" spans="2:23" x14ac:dyDescent="0.2">
      <c r="B688" s="48"/>
      <c r="E688" s="48"/>
      <c r="H688" s="48"/>
      <c r="K688" s="70"/>
      <c r="N688" s="48"/>
      <c r="Q688" s="48"/>
      <c r="T688" s="48"/>
      <c r="W688" s="70"/>
    </row>
    <row r="689" spans="2:23" x14ac:dyDescent="0.2">
      <c r="B689" s="48"/>
      <c r="E689" s="48"/>
      <c r="H689" s="48"/>
      <c r="K689" s="70"/>
      <c r="N689" s="48"/>
      <c r="Q689" s="48"/>
      <c r="T689" s="48"/>
      <c r="W689" s="70"/>
    </row>
    <row r="690" spans="2:23" x14ac:dyDescent="0.2">
      <c r="B690" s="48"/>
      <c r="E690" s="48"/>
      <c r="H690" s="48"/>
      <c r="K690" s="70"/>
      <c r="N690" s="48"/>
      <c r="Q690" s="48"/>
      <c r="T690" s="48"/>
      <c r="W690" s="70"/>
    </row>
    <row r="691" spans="2:23" x14ac:dyDescent="0.2">
      <c r="B691" s="48"/>
      <c r="E691" s="48"/>
      <c r="H691" s="48"/>
      <c r="K691" s="70"/>
      <c r="N691" s="48"/>
      <c r="Q691" s="48"/>
      <c r="T691" s="48"/>
      <c r="W691" s="70"/>
    </row>
    <row r="692" spans="2:23" x14ac:dyDescent="0.2">
      <c r="B692" s="48"/>
      <c r="E692" s="48"/>
      <c r="H692" s="48"/>
      <c r="K692" s="70"/>
      <c r="N692" s="48"/>
      <c r="Q692" s="48"/>
      <c r="T692" s="48"/>
      <c r="W692" s="70"/>
    </row>
    <row r="693" spans="2:23" x14ac:dyDescent="0.2">
      <c r="B693" s="48"/>
      <c r="E693" s="48"/>
      <c r="H693" s="48"/>
      <c r="K693" s="70"/>
      <c r="N693" s="48"/>
      <c r="Q693" s="48"/>
      <c r="T693" s="48"/>
      <c r="W693" s="70"/>
    </row>
    <row r="694" spans="2:23" x14ac:dyDescent="0.2">
      <c r="B694" s="48"/>
      <c r="E694" s="48"/>
      <c r="H694" s="48"/>
      <c r="K694" s="70"/>
      <c r="N694" s="48"/>
      <c r="Q694" s="48"/>
      <c r="T694" s="48"/>
      <c r="W694" s="70"/>
    </row>
    <row r="695" spans="2:23" x14ac:dyDescent="0.2">
      <c r="B695" s="48"/>
      <c r="E695" s="48"/>
      <c r="H695" s="48"/>
      <c r="K695" s="70"/>
      <c r="N695" s="48"/>
      <c r="Q695" s="48"/>
      <c r="T695" s="48"/>
      <c r="W695" s="70"/>
    </row>
    <row r="696" spans="2:23" x14ac:dyDescent="0.2">
      <c r="B696" s="48"/>
      <c r="E696" s="48"/>
      <c r="H696" s="48"/>
      <c r="K696" s="70"/>
      <c r="N696" s="48"/>
      <c r="Q696" s="48"/>
      <c r="T696" s="48"/>
      <c r="W696" s="70"/>
    </row>
    <row r="697" spans="2:23" x14ac:dyDescent="0.2">
      <c r="B697" s="48"/>
      <c r="E697" s="48"/>
      <c r="H697" s="48"/>
      <c r="K697" s="70"/>
      <c r="N697" s="48"/>
      <c r="Q697" s="48"/>
      <c r="T697" s="48"/>
      <c r="W697" s="70"/>
    </row>
    <row r="698" spans="2:23" x14ac:dyDescent="0.2">
      <c r="B698" s="48"/>
      <c r="E698" s="48"/>
      <c r="H698" s="48"/>
      <c r="K698" s="70"/>
      <c r="N698" s="48"/>
      <c r="Q698" s="48"/>
      <c r="T698" s="48"/>
      <c r="W698" s="70"/>
    </row>
    <row r="699" spans="2:23" x14ac:dyDescent="0.2">
      <c r="B699" s="48"/>
      <c r="E699" s="48"/>
      <c r="H699" s="48"/>
      <c r="K699" s="70"/>
      <c r="N699" s="48"/>
      <c r="Q699" s="48"/>
      <c r="T699" s="48"/>
      <c r="W699" s="70"/>
    </row>
    <row r="700" spans="2:23" x14ac:dyDescent="0.2">
      <c r="B700" s="48"/>
      <c r="E700" s="48"/>
      <c r="H700" s="48"/>
      <c r="K700" s="70"/>
      <c r="N700" s="48"/>
      <c r="Q700" s="48"/>
      <c r="T700" s="48"/>
      <c r="W700" s="70"/>
    </row>
    <row r="701" spans="2:23" x14ac:dyDescent="0.2">
      <c r="B701" s="48"/>
      <c r="E701" s="48"/>
      <c r="H701" s="48"/>
      <c r="K701" s="70"/>
      <c r="N701" s="48"/>
      <c r="Q701" s="48"/>
      <c r="T701" s="48"/>
      <c r="W701" s="70"/>
    </row>
    <row r="702" spans="2:23" x14ac:dyDescent="0.2">
      <c r="B702" s="48"/>
      <c r="E702" s="48"/>
      <c r="H702" s="48"/>
      <c r="K702" s="70"/>
      <c r="N702" s="48"/>
      <c r="Q702" s="48"/>
      <c r="T702" s="48"/>
      <c r="W702" s="70"/>
    </row>
    <row r="703" spans="2:23" x14ac:dyDescent="0.2">
      <c r="B703" s="48"/>
      <c r="E703" s="48"/>
      <c r="H703" s="48"/>
      <c r="K703" s="70"/>
      <c r="N703" s="48"/>
      <c r="Q703" s="48"/>
      <c r="T703" s="48"/>
      <c r="W703" s="70"/>
    </row>
    <row r="704" spans="2:23" x14ac:dyDescent="0.2">
      <c r="B704" s="48"/>
      <c r="E704" s="48"/>
      <c r="H704" s="48"/>
      <c r="K704" s="70"/>
      <c r="N704" s="48"/>
      <c r="Q704" s="48"/>
      <c r="T704" s="48"/>
      <c r="W704" s="70"/>
    </row>
    <row r="705" spans="2:23" x14ac:dyDescent="0.2">
      <c r="B705" s="48"/>
      <c r="E705" s="48"/>
      <c r="H705" s="48"/>
      <c r="K705" s="70"/>
      <c r="N705" s="48"/>
      <c r="Q705" s="48"/>
      <c r="T705" s="48"/>
      <c r="W705" s="70"/>
    </row>
    <row r="706" spans="2:23" x14ac:dyDescent="0.2">
      <c r="B706" s="48"/>
      <c r="E706" s="48"/>
      <c r="H706" s="48"/>
      <c r="K706" s="70"/>
      <c r="N706" s="48"/>
      <c r="Q706" s="48"/>
      <c r="T706" s="48"/>
      <c r="W706" s="70"/>
    </row>
    <row r="707" spans="2:23" x14ac:dyDescent="0.2">
      <c r="B707" s="48"/>
      <c r="E707" s="48"/>
      <c r="H707" s="48"/>
      <c r="K707" s="70"/>
      <c r="N707" s="48"/>
      <c r="Q707" s="48"/>
      <c r="T707" s="48"/>
      <c r="W707" s="70"/>
    </row>
    <row r="708" spans="2:23" x14ac:dyDescent="0.2">
      <c r="B708" s="48"/>
      <c r="E708" s="48"/>
      <c r="H708" s="48"/>
      <c r="K708" s="70"/>
      <c r="N708" s="48"/>
      <c r="Q708" s="48"/>
      <c r="T708" s="48"/>
      <c r="W708" s="70"/>
    </row>
    <row r="709" spans="2:23" x14ac:dyDescent="0.2">
      <c r="B709" s="48"/>
      <c r="E709" s="48"/>
      <c r="H709" s="48"/>
      <c r="K709" s="70"/>
      <c r="N709" s="48"/>
      <c r="Q709" s="48"/>
      <c r="T709" s="48"/>
      <c r="W709" s="70"/>
    </row>
    <row r="710" spans="2:23" x14ac:dyDescent="0.2">
      <c r="B710" s="48"/>
      <c r="E710" s="48"/>
      <c r="H710" s="48"/>
      <c r="K710" s="70"/>
      <c r="N710" s="48"/>
      <c r="Q710" s="48"/>
      <c r="T710" s="48"/>
      <c r="W710" s="70"/>
    </row>
    <row r="711" spans="2:23" x14ac:dyDescent="0.2">
      <c r="B711" s="48"/>
      <c r="E711" s="48"/>
      <c r="H711" s="48"/>
      <c r="K711" s="70"/>
      <c r="N711" s="48"/>
      <c r="Q711" s="48"/>
      <c r="T711" s="48"/>
      <c r="W711" s="70"/>
    </row>
    <row r="712" spans="2:23" x14ac:dyDescent="0.2">
      <c r="B712" s="48"/>
      <c r="E712" s="48"/>
      <c r="H712" s="48"/>
      <c r="K712" s="70"/>
      <c r="N712" s="48"/>
      <c r="Q712" s="48"/>
      <c r="T712" s="48"/>
      <c r="W712" s="70"/>
    </row>
    <row r="713" spans="2:23" x14ac:dyDescent="0.2">
      <c r="B713" s="48"/>
      <c r="E713" s="48"/>
      <c r="H713" s="48"/>
      <c r="K713" s="70"/>
      <c r="N713" s="48"/>
      <c r="Q713" s="48"/>
      <c r="T713" s="48"/>
      <c r="W713" s="70"/>
    </row>
    <row r="714" spans="2:23" x14ac:dyDescent="0.2">
      <c r="B714" s="48"/>
      <c r="E714" s="48"/>
      <c r="H714" s="48"/>
      <c r="K714" s="70"/>
      <c r="N714" s="48"/>
      <c r="Q714" s="48"/>
      <c r="T714" s="48"/>
      <c r="W714" s="70"/>
    </row>
    <row r="715" spans="2:23" x14ac:dyDescent="0.2">
      <c r="B715" s="48"/>
      <c r="E715" s="48"/>
      <c r="H715" s="48"/>
      <c r="K715" s="70"/>
      <c r="N715" s="48"/>
      <c r="Q715" s="48"/>
      <c r="T715" s="48"/>
      <c r="W715" s="70"/>
    </row>
    <row r="716" spans="2:23" x14ac:dyDescent="0.2">
      <c r="B716" s="48"/>
      <c r="E716" s="48"/>
      <c r="H716" s="48"/>
      <c r="K716" s="70"/>
      <c r="N716" s="48"/>
      <c r="Q716" s="48"/>
      <c r="T716" s="48"/>
      <c r="W716" s="70"/>
    </row>
    <row r="717" spans="2:23" x14ac:dyDescent="0.2">
      <c r="B717" s="48"/>
      <c r="E717" s="48"/>
      <c r="H717" s="48"/>
      <c r="K717" s="70"/>
      <c r="N717" s="48"/>
      <c r="Q717" s="48"/>
      <c r="T717" s="48"/>
      <c r="W717" s="70"/>
    </row>
    <row r="718" spans="2:23" x14ac:dyDescent="0.2">
      <c r="B718" s="48"/>
      <c r="E718" s="48"/>
      <c r="H718" s="48"/>
      <c r="K718" s="70"/>
      <c r="N718" s="48"/>
      <c r="Q718" s="48"/>
      <c r="T718" s="48"/>
      <c r="W718" s="70"/>
    </row>
    <row r="719" spans="2:23" x14ac:dyDescent="0.2">
      <c r="B719" s="48"/>
      <c r="E719" s="48"/>
      <c r="H719" s="48"/>
      <c r="K719" s="70"/>
      <c r="N719" s="48"/>
      <c r="Q719" s="48"/>
      <c r="T719" s="48"/>
      <c r="W719" s="70"/>
    </row>
    <row r="720" spans="2:23" x14ac:dyDescent="0.2">
      <c r="B720" s="48"/>
      <c r="E720" s="48"/>
      <c r="H720" s="48"/>
      <c r="K720" s="70"/>
      <c r="N720" s="48"/>
      <c r="Q720" s="48"/>
      <c r="T720" s="48"/>
      <c r="W720" s="70"/>
    </row>
    <row r="721" spans="2:23" x14ac:dyDescent="0.2">
      <c r="B721" s="48"/>
      <c r="E721" s="48"/>
      <c r="H721" s="48"/>
      <c r="K721" s="70"/>
      <c r="N721" s="48"/>
      <c r="Q721" s="48"/>
      <c r="T721" s="48"/>
      <c r="W721" s="70"/>
    </row>
    <row r="722" spans="2:23" x14ac:dyDescent="0.2">
      <c r="B722" s="48"/>
      <c r="E722" s="48"/>
      <c r="H722" s="48"/>
      <c r="K722" s="70"/>
      <c r="N722" s="48"/>
      <c r="Q722" s="48"/>
      <c r="T722" s="48"/>
      <c r="W722" s="70"/>
    </row>
    <row r="723" spans="2:23" x14ac:dyDescent="0.2">
      <c r="B723" s="48"/>
      <c r="E723" s="48"/>
      <c r="H723" s="48"/>
      <c r="K723" s="70"/>
      <c r="N723" s="48"/>
      <c r="Q723" s="48"/>
      <c r="T723" s="48"/>
      <c r="W723" s="70"/>
    </row>
    <row r="724" spans="2:23" x14ac:dyDescent="0.2">
      <c r="B724" s="48"/>
      <c r="E724" s="48"/>
      <c r="H724" s="48"/>
      <c r="K724" s="70"/>
      <c r="N724" s="48"/>
      <c r="Q724" s="48"/>
      <c r="T724" s="48"/>
      <c r="W724" s="70"/>
    </row>
    <row r="725" spans="2:23" x14ac:dyDescent="0.2">
      <c r="B725" s="48"/>
      <c r="E725" s="48"/>
      <c r="H725" s="48"/>
      <c r="K725" s="70"/>
      <c r="N725" s="48"/>
      <c r="Q725" s="48"/>
      <c r="T725" s="48"/>
      <c r="W725" s="70"/>
    </row>
    <row r="726" spans="2:23" x14ac:dyDescent="0.2">
      <c r="B726" s="48"/>
      <c r="E726" s="48"/>
      <c r="H726" s="48"/>
      <c r="K726" s="70"/>
      <c r="N726" s="48"/>
      <c r="Q726" s="48"/>
      <c r="T726" s="48"/>
      <c r="W726" s="70"/>
    </row>
    <row r="727" spans="2:23" x14ac:dyDescent="0.2">
      <c r="B727" s="48"/>
      <c r="E727" s="48"/>
      <c r="H727" s="48"/>
      <c r="K727" s="70"/>
      <c r="N727" s="48"/>
      <c r="Q727" s="48"/>
      <c r="T727" s="48"/>
      <c r="W727" s="70"/>
    </row>
    <row r="728" spans="2:23" x14ac:dyDescent="0.2">
      <c r="B728" s="48"/>
      <c r="E728" s="48"/>
      <c r="H728" s="48"/>
      <c r="K728" s="70"/>
      <c r="N728" s="48"/>
      <c r="Q728" s="48"/>
      <c r="T728" s="48"/>
      <c r="W728" s="70"/>
    </row>
    <row r="729" spans="2:23" x14ac:dyDescent="0.2">
      <c r="B729" s="48"/>
      <c r="E729" s="48"/>
      <c r="H729" s="48"/>
      <c r="K729" s="70"/>
      <c r="N729" s="48"/>
      <c r="Q729" s="48"/>
      <c r="T729" s="48"/>
      <c r="W729" s="70"/>
    </row>
    <row r="730" spans="2:23" x14ac:dyDescent="0.2">
      <c r="B730" s="48"/>
      <c r="E730" s="48"/>
      <c r="H730" s="48"/>
      <c r="K730" s="70"/>
      <c r="N730" s="48"/>
      <c r="Q730" s="48"/>
      <c r="T730" s="48"/>
      <c r="W730" s="70"/>
    </row>
    <row r="731" spans="2:23" x14ac:dyDescent="0.2">
      <c r="B731" s="48"/>
      <c r="E731" s="48"/>
      <c r="H731" s="48"/>
      <c r="K731" s="70"/>
      <c r="N731" s="48"/>
      <c r="Q731" s="48"/>
      <c r="T731" s="48"/>
      <c r="W731" s="70"/>
    </row>
    <row r="732" spans="2:23" x14ac:dyDescent="0.2">
      <c r="B732" s="48"/>
      <c r="E732" s="48"/>
      <c r="H732" s="48"/>
      <c r="K732" s="70"/>
      <c r="N732" s="48"/>
      <c r="Q732" s="48"/>
      <c r="T732" s="48"/>
      <c r="W732" s="70"/>
    </row>
    <row r="733" spans="2:23" x14ac:dyDescent="0.2">
      <c r="B733" s="48"/>
      <c r="E733" s="48"/>
      <c r="H733" s="48"/>
      <c r="K733" s="70"/>
      <c r="N733" s="48"/>
      <c r="Q733" s="48"/>
      <c r="T733" s="48"/>
      <c r="W733" s="70"/>
    </row>
    <row r="734" spans="2:23" x14ac:dyDescent="0.2">
      <c r="B734" s="48"/>
      <c r="E734" s="48"/>
      <c r="H734" s="48"/>
      <c r="K734" s="70"/>
      <c r="N734" s="48"/>
      <c r="Q734" s="48"/>
      <c r="T734" s="48"/>
      <c r="W734" s="70"/>
    </row>
    <row r="735" spans="2:23" x14ac:dyDescent="0.2">
      <c r="B735" s="48"/>
      <c r="E735" s="48"/>
      <c r="H735" s="48"/>
      <c r="K735" s="70"/>
      <c r="N735" s="48"/>
      <c r="Q735" s="48"/>
      <c r="T735" s="48"/>
      <c r="W735" s="70"/>
    </row>
    <row r="736" spans="2:23" x14ac:dyDescent="0.2">
      <c r="B736" s="48"/>
      <c r="E736" s="48"/>
      <c r="H736" s="48"/>
      <c r="K736" s="70"/>
      <c r="N736" s="48"/>
      <c r="Q736" s="48"/>
      <c r="T736" s="48"/>
      <c r="W736" s="70"/>
    </row>
    <row r="737" spans="2:23" x14ac:dyDescent="0.2">
      <c r="B737" s="48"/>
      <c r="E737" s="48"/>
      <c r="H737" s="48"/>
      <c r="K737" s="70"/>
      <c r="N737" s="48"/>
      <c r="Q737" s="48"/>
      <c r="T737" s="48"/>
      <c r="W737" s="70"/>
    </row>
    <row r="738" spans="2:23" x14ac:dyDescent="0.2">
      <c r="B738" s="48"/>
      <c r="E738" s="48"/>
      <c r="H738" s="48"/>
      <c r="K738" s="70"/>
      <c r="N738" s="48"/>
      <c r="Q738" s="48"/>
      <c r="T738" s="48"/>
      <c r="W738" s="70"/>
    </row>
    <row r="739" spans="2:23" x14ac:dyDescent="0.2">
      <c r="B739" s="48"/>
      <c r="E739" s="48"/>
      <c r="H739" s="48"/>
      <c r="K739" s="70"/>
      <c r="N739" s="48"/>
      <c r="Q739" s="48"/>
      <c r="T739" s="48"/>
      <c r="W739" s="70"/>
    </row>
    <row r="740" spans="2:23" x14ac:dyDescent="0.2">
      <c r="B740" s="48"/>
      <c r="E740" s="48"/>
      <c r="H740" s="48"/>
      <c r="K740" s="70"/>
      <c r="N740" s="48"/>
      <c r="Q740" s="48"/>
      <c r="T740" s="48"/>
      <c r="W740" s="70"/>
    </row>
    <row r="741" spans="2:23" x14ac:dyDescent="0.2">
      <c r="B741" s="48"/>
      <c r="E741" s="48"/>
      <c r="H741" s="48"/>
      <c r="K741" s="70"/>
      <c r="N741" s="48"/>
      <c r="Q741" s="48"/>
      <c r="T741" s="48"/>
      <c r="W741" s="70"/>
    </row>
    <row r="742" spans="2:23" x14ac:dyDescent="0.2">
      <c r="B742" s="48"/>
      <c r="E742" s="48"/>
      <c r="H742" s="48"/>
      <c r="K742" s="70"/>
      <c r="N742" s="48"/>
      <c r="Q742" s="48"/>
      <c r="T742" s="48"/>
      <c r="W742" s="70"/>
    </row>
    <row r="743" spans="2:23" x14ac:dyDescent="0.2">
      <c r="B743" s="48"/>
      <c r="E743" s="48"/>
      <c r="H743" s="48"/>
      <c r="K743" s="70"/>
      <c r="N743" s="48"/>
      <c r="Q743" s="48"/>
      <c r="T743" s="48"/>
      <c r="W743" s="70"/>
    </row>
    <row r="744" spans="2:23" x14ac:dyDescent="0.2">
      <c r="B744" s="48"/>
      <c r="E744" s="48"/>
      <c r="H744" s="48"/>
      <c r="K744" s="70"/>
      <c r="N744" s="48"/>
      <c r="Q744" s="48"/>
      <c r="T744" s="48"/>
      <c r="W744" s="70"/>
    </row>
    <row r="745" spans="2:23" x14ac:dyDescent="0.2">
      <c r="B745" s="48"/>
      <c r="E745" s="48"/>
      <c r="H745" s="48"/>
      <c r="K745" s="70"/>
      <c r="N745" s="48"/>
      <c r="Q745" s="48"/>
      <c r="T745" s="48"/>
      <c r="W745" s="70"/>
    </row>
    <row r="746" spans="2:23" x14ac:dyDescent="0.2">
      <c r="B746" s="48"/>
      <c r="E746" s="48"/>
      <c r="H746" s="48"/>
      <c r="K746" s="70"/>
      <c r="N746" s="48"/>
      <c r="Q746" s="48"/>
      <c r="T746" s="48"/>
      <c r="W746" s="70"/>
    </row>
    <row r="747" spans="2:23" x14ac:dyDescent="0.2">
      <c r="B747" s="48"/>
      <c r="E747" s="48"/>
      <c r="H747" s="48"/>
      <c r="K747" s="70"/>
      <c r="N747" s="48"/>
      <c r="Q747" s="48"/>
      <c r="T747" s="48"/>
      <c r="W747" s="70"/>
    </row>
    <row r="748" spans="2:23" x14ac:dyDescent="0.2">
      <c r="B748" s="48"/>
      <c r="E748" s="48"/>
      <c r="H748" s="48"/>
      <c r="K748" s="70"/>
      <c r="N748" s="48"/>
      <c r="Q748" s="48"/>
      <c r="T748" s="48"/>
      <c r="W748" s="70"/>
    </row>
    <row r="749" spans="2:23" x14ac:dyDescent="0.2">
      <c r="B749" s="48"/>
      <c r="E749" s="48"/>
      <c r="H749" s="48"/>
      <c r="K749" s="70"/>
      <c r="N749" s="48"/>
      <c r="Q749" s="48"/>
      <c r="T749" s="48"/>
      <c r="W749" s="70"/>
    </row>
    <row r="750" spans="2:23" x14ac:dyDescent="0.2">
      <c r="B750" s="48"/>
      <c r="E750" s="48"/>
      <c r="H750" s="48"/>
      <c r="K750" s="70"/>
      <c r="N750" s="48"/>
      <c r="Q750" s="48"/>
      <c r="T750" s="48"/>
      <c r="W750" s="70"/>
    </row>
    <row r="751" spans="2:23" x14ac:dyDescent="0.2">
      <c r="B751" s="48"/>
      <c r="E751" s="48"/>
      <c r="H751" s="48"/>
      <c r="K751" s="70"/>
      <c r="N751" s="48"/>
      <c r="Q751" s="48"/>
      <c r="T751" s="48"/>
      <c r="W751" s="70"/>
    </row>
    <row r="752" spans="2:23" x14ac:dyDescent="0.2">
      <c r="B752" s="48"/>
      <c r="E752" s="48"/>
      <c r="H752" s="48"/>
      <c r="K752" s="70"/>
      <c r="N752" s="48"/>
      <c r="Q752" s="48"/>
      <c r="T752" s="48"/>
      <c r="W752" s="70"/>
    </row>
    <row r="753" spans="2:23" x14ac:dyDescent="0.2">
      <c r="B753" s="48"/>
      <c r="E753" s="48"/>
      <c r="H753" s="48"/>
      <c r="K753" s="70"/>
      <c r="N753" s="48"/>
      <c r="Q753" s="48"/>
      <c r="T753" s="48"/>
      <c r="W753" s="70"/>
    </row>
    <row r="754" spans="2:23" x14ac:dyDescent="0.2">
      <c r="B754" s="48"/>
      <c r="E754" s="48"/>
      <c r="H754" s="48"/>
      <c r="K754" s="70"/>
      <c r="N754" s="48"/>
      <c r="Q754" s="48"/>
      <c r="T754" s="48"/>
      <c r="W754" s="70"/>
    </row>
    <row r="755" spans="2:23" x14ac:dyDescent="0.2">
      <c r="B755" s="48"/>
      <c r="E755" s="48"/>
      <c r="H755" s="48"/>
      <c r="K755" s="70"/>
      <c r="N755" s="48"/>
      <c r="Q755" s="48"/>
      <c r="T755" s="48"/>
      <c r="W755" s="70"/>
    </row>
    <row r="756" spans="2:23" x14ac:dyDescent="0.2">
      <c r="B756" s="48"/>
      <c r="E756" s="48"/>
      <c r="H756" s="48"/>
      <c r="K756" s="70"/>
      <c r="N756" s="48"/>
      <c r="Q756" s="48"/>
      <c r="T756" s="48"/>
      <c r="W756" s="70"/>
    </row>
    <row r="757" spans="2:23" x14ac:dyDescent="0.2">
      <c r="B757" s="48"/>
      <c r="E757" s="48"/>
      <c r="H757" s="48"/>
      <c r="K757" s="70"/>
      <c r="N757" s="48"/>
      <c r="Q757" s="48"/>
      <c r="T757" s="48"/>
      <c r="W757" s="70"/>
    </row>
    <row r="758" spans="2:23" x14ac:dyDescent="0.2">
      <c r="B758" s="48"/>
      <c r="E758" s="48"/>
      <c r="H758" s="48"/>
      <c r="K758" s="70"/>
      <c r="N758" s="48"/>
      <c r="Q758" s="48"/>
      <c r="T758" s="48"/>
      <c r="W758" s="70"/>
    </row>
    <row r="759" spans="2:23" x14ac:dyDescent="0.2">
      <c r="B759" s="48"/>
      <c r="E759" s="48"/>
      <c r="H759" s="48"/>
      <c r="K759" s="70"/>
      <c r="N759" s="48"/>
      <c r="Q759" s="48"/>
      <c r="T759" s="48"/>
      <c r="W759" s="70"/>
    </row>
    <row r="760" spans="2:23" x14ac:dyDescent="0.2">
      <c r="B760" s="48"/>
      <c r="E760" s="48"/>
      <c r="H760" s="48"/>
      <c r="K760" s="70"/>
      <c r="N760" s="48"/>
      <c r="Q760" s="48"/>
      <c r="T760" s="48"/>
      <c r="W760" s="70"/>
    </row>
    <row r="761" spans="2:23" x14ac:dyDescent="0.2">
      <c r="B761" s="48"/>
      <c r="E761" s="48"/>
      <c r="H761" s="48"/>
      <c r="K761" s="70"/>
      <c r="N761" s="48"/>
      <c r="Q761" s="48"/>
      <c r="T761" s="48"/>
      <c r="W761" s="70"/>
    </row>
    <row r="762" spans="2:23" x14ac:dyDescent="0.2">
      <c r="B762" s="48"/>
      <c r="E762" s="48"/>
      <c r="H762" s="48"/>
      <c r="K762" s="70"/>
      <c r="N762" s="48"/>
      <c r="Q762" s="48"/>
      <c r="T762" s="48"/>
      <c r="W762" s="70"/>
    </row>
    <row r="763" spans="2:23" x14ac:dyDescent="0.2">
      <c r="B763" s="48"/>
      <c r="E763" s="48"/>
      <c r="H763" s="48"/>
      <c r="K763" s="70"/>
      <c r="N763" s="48"/>
      <c r="Q763" s="48"/>
      <c r="T763" s="48"/>
      <c r="W763" s="70"/>
    </row>
    <row r="764" spans="2:23" x14ac:dyDescent="0.2">
      <c r="B764" s="48"/>
      <c r="E764" s="48"/>
      <c r="H764" s="48"/>
      <c r="K764" s="70"/>
      <c r="N764" s="48"/>
      <c r="Q764" s="48"/>
      <c r="T764" s="48"/>
      <c r="W764" s="70"/>
    </row>
    <row r="765" spans="2:23" x14ac:dyDescent="0.2">
      <c r="B765" s="48"/>
      <c r="E765" s="48"/>
      <c r="H765" s="48"/>
      <c r="K765" s="70"/>
      <c r="N765" s="48"/>
      <c r="Q765" s="48"/>
      <c r="T765" s="48"/>
      <c r="W765" s="70"/>
    </row>
    <row r="766" spans="2:23" x14ac:dyDescent="0.2">
      <c r="B766" s="48"/>
      <c r="E766" s="48"/>
      <c r="H766" s="48"/>
      <c r="K766" s="70"/>
      <c r="N766" s="48"/>
      <c r="Q766" s="48"/>
      <c r="T766" s="48"/>
      <c r="W766" s="70"/>
    </row>
    <row r="767" spans="2:23" x14ac:dyDescent="0.2">
      <c r="B767" s="48"/>
      <c r="E767" s="48"/>
      <c r="H767" s="48"/>
      <c r="K767" s="70"/>
      <c r="N767" s="48"/>
      <c r="Q767" s="48"/>
      <c r="T767" s="48"/>
      <c r="W767" s="70"/>
    </row>
    <row r="768" spans="2:23" x14ac:dyDescent="0.2">
      <c r="B768" s="48"/>
      <c r="E768" s="48"/>
      <c r="H768" s="48"/>
      <c r="K768" s="70"/>
      <c r="N768" s="48"/>
      <c r="Q768" s="48"/>
      <c r="T768" s="48"/>
      <c r="W768" s="70"/>
    </row>
    <row r="769" spans="2:23" x14ac:dyDescent="0.2">
      <c r="B769" s="48"/>
      <c r="E769" s="48"/>
      <c r="H769" s="48"/>
      <c r="K769" s="70"/>
      <c r="N769" s="48"/>
      <c r="Q769" s="48"/>
      <c r="T769" s="48"/>
      <c r="W769" s="70"/>
    </row>
    <row r="770" spans="2:23" x14ac:dyDescent="0.2">
      <c r="B770" s="48"/>
      <c r="E770" s="48"/>
      <c r="H770" s="48"/>
      <c r="K770" s="70"/>
      <c r="N770" s="48"/>
      <c r="Q770" s="48"/>
      <c r="T770" s="48"/>
      <c r="W770" s="70"/>
    </row>
    <row r="771" spans="2:23" x14ac:dyDescent="0.2">
      <c r="B771" s="48"/>
      <c r="E771" s="48"/>
      <c r="H771" s="48"/>
      <c r="K771" s="70"/>
      <c r="N771" s="48"/>
      <c r="Q771" s="48"/>
      <c r="T771" s="48"/>
      <c r="W771" s="70"/>
    </row>
    <row r="772" spans="2:23" x14ac:dyDescent="0.2">
      <c r="B772" s="48"/>
      <c r="E772" s="48"/>
      <c r="H772" s="48"/>
      <c r="K772" s="70"/>
      <c r="N772" s="48"/>
      <c r="Q772" s="48"/>
      <c r="T772" s="48"/>
      <c r="W772" s="70"/>
    </row>
    <row r="773" spans="2:23" x14ac:dyDescent="0.2">
      <c r="B773" s="48"/>
      <c r="E773" s="48"/>
      <c r="H773" s="48"/>
      <c r="K773" s="70"/>
      <c r="N773" s="48"/>
      <c r="Q773" s="48"/>
      <c r="T773" s="48"/>
      <c r="W773" s="70"/>
    </row>
    <row r="774" spans="2:23" x14ac:dyDescent="0.2">
      <c r="B774" s="48"/>
      <c r="E774" s="48"/>
      <c r="H774" s="48"/>
      <c r="K774" s="70"/>
      <c r="N774" s="48"/>
      <c r="Q774" s="48"/>
      <c r="T774" s="48"/>
      <c r="W774" s="70"/>
    </row>
    <row r="775" spans="2:23" x14ac:dyDescent="0.2">
      <c r="B775" s="48"/>
      <c r="E775" s="48"/>
      <c r="H775" s="48"/>
      <c r="K775" s="70"/>
      <c r="N775" s="48"/>
      <c r="Q775" s="48"/>
      <c r="T775" s="48"/>
      <c r="W775" s="70"/>
    </row>
    <row r="776" spans="2:23" x14ac:dyDescent="0.2">
      <c r="B776" s="48"/>
      <c r="E776" s="48"/>
      <c r="H776" s="48"/>
      <c r="K776" s="70"/>
      <c r="N776" s="48"/>
      <c r="Q776" s="48"/>
      <c r="T776" s="48"/>
      <c r="W776" s="70"/>
    </row>
    <row r="777" spans="2:23" x14ac:dyDescent="0.2">
      <c r="B777" s="48"/>
      <c r="E777" s="48"/>
      <c r="H777" s="48"/>
      <c r="K777" s="70"/>
      <c r="N777" s="48"/>
      <c r="Q777" s="48"/>
      <c r="T777" s="48"/>
      <c r="W777" s="70"/>
    </row>
    <row r="778" spans="2:23" x14ac:dyDescent="0.2">
      <c r="B778" s="48"/>
      <c r="E778" s="48"/>
      <c r="H778" s="48"/>
      <c r="K778" s="70"/>
      <c r="N778" s="48"/>
      <c r="Q778" s="48"/>
      <c r="T778" s="48"/>
      <c r="W778" s="70"/>
    </row>
    <row r="779" spans="2:23" x14ac:dyDescent="0.2">
      <c r="B779" s="48"/>
      <c r="E779" s="48"/>
      <c r="H779" s="48"/>
      <c r="K779" s="70"/>
      <c r="N779" s="48"/>
      <c r="Q779" s="48"/>
      <c r="T779" s="48"/>
      <c r="W779" s="70"/>
    </row>
    <row r="780" spans="2:23" x14ac:dyDescent="0.2">
      <c r="B780" s="48"/>
      <c r="E780" s="48"/>
      <c r="H780" s="48"/>
      <c r="K780" s="70"/>
      <c r="N780" s="48"/>
      <c r="Q780" s="48"/>
      <c r="T780" s="48"/>
      <c r="W780" s="70"/>
    </row>
    <row r="781" spans="2:23" x14ac:dyDescent="0.2">
      <c r="B781" s="48"/>
      <c r="E781" s="48"/>
      <c r="H781" s="48"/>
      <c r="K781" s="70"/>
      <c r="N781" s="48"/>
      <c r="Q781" s="48"/>
      <c r="T781" s="48"/>
      <c r="W781" s="70"/>
    </row>
    <row r="782" spans="2:23" x14ac:dyDescent="0.2">
      <c r="B782" s="48"/>
      <c r="E782" s="48"/>
      <c r="H782" s="48"/>
      <c r="K782" s="70"/>
      <c r="N782" s="48"/>
      <c r="Q782" s="48"/>
      <c r="T782" s="48"/>
      <c r="W782" s="70"/>
    </row>
    <row r="783" spans="2:23" x14ac:dyDescent="0.2">
      <c r="B783" s="48"/>
      <c r="E783" s="48"/>
      <c r="H783" s="48"/>
      <c r="K783" s="70"/>
      <c r="N783" s="48"/>
      <c r="Q783" s="48"/>
      <c r="T783" s="48"/>
      <c r="W783" s="70"/>
    </row>
    <row r="784" spans="2:23" x14ac:dyDescent="0.2">
      <c r="B784" s="48"/>
      <c r="E784" s="48"/>
      <c r="H784" s="48"/>
      <c r="K784" s="70"/>
      <c r="N784" s="48"/>
      <c r="Q784" s="48"/>
      <c r="T784" s="48"/>
      <c r="W784" s="70"/>
    </row>
    <row r="785" spans="2:23" x14ac:dyDescent="0.2">
      <c r="B785" s="48"/>
      <c r="E785" s="48"/>
      <c r="H785" s="48"/>
      <c r="K785" s="70"/>
      <c r="N785" s="48"/>
      <c r="Q785" s="48"/>
      <c r="T785" s="48"/>
      <c r="W785" s="70"/>
    </row>
    <row r="786" spans="2:23" x14ac:dyDescent="0.2">
      <c r="B786" s="48"/>
      <c r="E786" s="48"/>
      <c r="H786" s="48"/>
      <c r="K786" s="70"/>
      <c r="N786" s="48"/>
      <c r="Q786" s="48"/>
      <c r="T786" s="48"/>
      <c r="W786" s="70"/>
    </row>
    <row r="787" spans="2:23" x14ac:dyDescent="0.2">
      <c r="B787" s="48"/>
      <c r="E787" s="48"/>
      <c r="H787" s="48"/>
      <c r="K787" s="70"/>
      <c r="N787" s="48"/>
      <c r="Q787" s="48"/>
      <c r="T787" s="48"/>
      <c r="W787" s="70"/>
    </row>
    <row r="788" spans="2:23" x14ac:dyDescent="0.2">
      <c r="B788" s="48"/>
      <c r="E788" s="48"/>
      <c r="H788" s="48"/>
      <c r="K788" s="70"/>
      <c r="N788" s="48"/>
      <c r="Q788" s="48"/>
      <c r="T788" s="48"/>
      <c r="W788" s="70"/>
    </row>
    <row r="789" spans="2:23" x14ac:dyDescent="0.2">
      <c r="B789" s="48"/>
      <c r="E789" s="48"/>
      <c r="H789" s="48"/>
      <c r="K789" s="70"/>
      <c r="N789" s="48"/>
      <c r="Q789" s="48"/>
      <c r="T789" s="48"/>
      <c r="W789" s="70"/>
    </row>
    <row r="790" spans="2:23" x14ac:dyDescent="0.2">
      <c r="B790" s="48"/>
      <c r="E790" s="48"/>
      <c r="H790" s="48"/>
      <c r="K790" s="70"/>
      <c r="N790" s="48"/>
      <c r="Q790" s="48"/>
      <c r="T790" s="48"/>
      <c r="W790" s="70"/>
    </row>
    <row r="791" spans="2:23" x14ac:dyDescent="0.2">
      <c r="B791" s="48"/>
      <c r="E791" s="48"/>
      <c r="H791" s="48"/>
      <c r="K791" s="70"/>
      <c r="N791" s="48"/>
      <c r="Q791" s="48"/>
      <c r="T791" s="48"/>
      <c r="W791" s="70"/>
    </row>
    <row r="792" spans="2:23" x14ac:dyDescent="0.2">
      <c r="B792" s="48"/>
      <c r="E792" s="48"/>
      <c r="H792" s="48"/>
      <c r="K792" s="70"/>
      <c r="N792" s="48"/>
      <c r="Q792" s="48"/>
      <c r="T792" s="48"/>
      <c r="W792" s="70"/>
    </row>
    <row r="793" spans="2:23" x14ac:dyDescent="0.2">
      <c r="B793" s="48"/>
      <c r="E793" s="48"/>
      <c r="H793" s="48"/>
      <c r="K793" s="70"/>
      <c r="N793" s="48"/>
      <c r="Q793" s="48"/>
      <c r="T793" s="48"/>
      <c r="W793" s="70"/>
    </row>
    <row r="794" spans="2:23" x14ac:dyDescent="0.2">
      <c r="B794" s="48"/>
      <c r="E794" s="48"/>
      <c r="H794" s="48"/>
      <c r="K794" s="70"/>
      <c r="N794" s="48"/>
      <c r="Q794" s="48"/>
      <c r="T794" s="48"/>
      <c r="W794" s="70"/>
    </row>
    <row r="795" spans="2:23" x14ac:dyDescent="0.2">
      <c r="B795" s="48"/>
      <c r="E795" s="48"/>
      <c r="H795" s="48"/>
      <c r="K795" s="70"/>
      <c r="N795" s="48"/>
      <c r="Q795" s="48"/>
      <c r="T795" s="48"/>
      <c r="W795" s="70"/>
    </row>
    <row r="796" spans="2:23" x14ac:dyDescent="0.2">
      <c r="B796" s="48"/>
      <c r="E796" s="48"/>
      <c r="H796" s="48"/>
      <c r="K796" s="70"/>
      <c r="N796" s="48"/>
      <c r="Q796" s="48"/>
      <c r="T796" s="48"/>
      <c r="W796" s="70"/>
    </row>
    <row r="797" spans="2:23" x14ac:dyDescent="0.2">
      <c r="B797" s="48"/>
      <c r="E797" s="48"/>
      <c r="H797" s="48"/>
      <c r="K797" s="70"/>
      <c r="N797" s="48"/>
      <c r="Q797" s="48"/>
      <c r="T797" s="48"/>
      <c r="W797" s="70"/>
    </row>
    <row r="798" spans="2:23" x14ac:dyDescent="0.2">
      <c r="B798" s="48"/>
      <c r="E798" s="48"/>
      <c r="H798" s="48"/>
      <c r="K798" s="70"/>
      <c r="N798" s="48"/>
      <c r="Q798" s="48"/>
      <c r="T798" s="48"/>
      <c r="W798" s="70"/>
    </row>
    <row r="799" spans="2:23" x14ac:dyDescent="0.2">
      <c r="B799" s="48"/>
      <c r="E799" s="48"/>
      <c r="H799" s="48"/>
      <c r="K799" s="70"/>
      <c r="N799" s="48"/>
      <c r="Q799" s="48"/>
      <c r="T799" s="48"/>
      <c r="W799" s="70"/>
    </row>
    <row r="800" spans="2:23" x14ac:dyDescent="0.2">
      <c r="B800" s="48"/>
      <c r="E800" s="48"/>
      <c r="H800" s="48"/>
      <c r="K800" s="70"/>
      <c r="N800" s="48"/>
      <c r="Q800" s="48"/>
      <c r="T800" s="48"/>
      <c r="W800" s="70"/>
    </row>
    <row r="801" spans="2:23" x14ac:dyDescent="0.2">
      <c r="B801" s="48"/>
      <c r="E801" s="48"/>
      <c r="H801" s="48"/>
      <c r="K801" s="70"/>
      <c r="N801" s="48"/>
      <c r="Q801" s="48"/>
      <c r="T801" s="48"/>
      <c r="W801" s="70"/>
    </row>
    <row r="802" spans="2:23" x14ac:dyDescent="0.2">
      <c r="B802" s="48"/>
      <c r="E802" s="48"/>
      <c r="H802" s="48"/>
      <c r="K802" s="70"/>
      <c r="N802" s="48"/>
      <c r="Q802" s="48"/>
      <c r="T802" s="48"/>
      <c r="W802" s="70"/>
    </row>
    <row r="803" spans="2:23" x14ac:dyDescent="0.2">
      <c r="B803" s="48"/>
      <c r="E803" s="48"/>
      <c r="H803" s="48"/>
      <c r="K803" s="70"/>
      <c r="N803" s="48"/>
      <c r="Q803" s="48"/>
      <c r="T803" s="48"/>
      <c r="W803" s="70"/>
    </row>
    <row r="804" spans="2:23" x14ac:dyDescent="0.2">
      <c r="B804" s="48"/>
      <c r="E804" s="48"/>
      <c r="H804" s="48"/>
      <c r="K804" s="70"/>
      <c r="N804" s="48"/>
      <c r="Q804" s="48"/>
      <c r="T804" s="48"/>
      <c r="W804" s="70"/>
    </row>
    <row r="805" spans="2:23" x14ac:dyDescent="0.2">
      <c r="B805" s="48"/>
      <c r="E805" s="48"/>
      <c r="H805" s="48"/>
      <c r="K805" s="70"/>
      <c r="N805" s="48"/>
      <c r="Q805" s="48"/>
      <c r="T805" s="48"/>
      <c r="W805" s="70"/>
    </row>
    <row r="806" spans="2:23" x14ac:dyDescent="0.2">
      <c r="B806" s="48"/>
      <c r="E806" s="48"/>
      <c r="H806" s="48"/>
      <c r="K806" s="70"/>
      <c r="N806" s="48"/>
      <c r="Q806" s="48"/>
      <c r="T806" s="48"/>
      <c r="W806" s="70"/>
    </row>
    <row r="807" spans="2:23" x14ac:dyDescent="0.2">
      <c r="B807" s="48"/>
      <c r="E807" s="48"/>
      <c r="H807" s="48"/>
      <c r="K807" s="70"/>
      <c r="N807" s="48"/>
      <c r="Q807" s="48"/>
      <c r="T807" s="48"/>
      <c r="W807" s="70"/>
    </row>
    <row r="808" spans="2:23" x14ac:dyDescent="0.2">
      <c r="B808" s="48"/>
      <c r="E808" s="48"/>
      <c r="H808" s="48"/>
      <c r="K808" s="70"/>
      <c r="N808" s="48"/>
      <c r="Q808" s="48"/>
      <c r="T808" s="48"/>
      <c r="W808" s="70"/>
    </row>
    <row r="809" spans="2:23" x14ac:dyDescent="0.2">
      <c r="B809" s="48"/>
      <c r="E809" s="48"/>
      <c r="H809" s="48"/>
      <c r="K809" s="70"/>
      <c r="N809" s="48"/>
      <c r="Q809" s="48"/>
      <c r="T809" s="48"/>
      <c r="W809" s="70"/>
    </row>
    <row r="810" spans="2:23" x14ac:dyDescent="0.2">
      <c r="B810" s="48"/>
      <c r="E810" s="48"/>
      <c r="H810" s="48"/>
      <c r="K810" s="70"/>
      <c r="N810" s="48"/>
      <c r="Q810" s="48"/>
      <c r="T810" s="48"/>
      <c r="W810" s="70"/>
    </row>
    <row r="811" spans="2:23" x14ac:dyDescent="0.2">
      <c r="B811" s="48"/>
      <c r="E811" s="48"/>
      <c r="H811" s="48"/>
      <c r="K811" s="70"/>
      <c r="N811" s="48"/>
      <c r="Q811" s="48"/>
      <c r="T811" s="48"/>
      <c r="W811" s="70"/>
    </row>
    <row r="812" spans="2:23" x14ac:dyDescent="0.2">
      <c r="B812" s="48"/>
      <c r="E812" s="48"/>
      <c r="H812" s="48"/>
      <c r="K812" s="70"/>
      <c r="N812" s="48"/>
      <c r="Q812" s="48"/>
      <c r="T812" s="48"/>
      <c r="W812" s="70"/>
    </row>
    <row r="813" spans="2:23" x14ac:dyDescent="0.2">
      <c r="B813" s="48"/>
      <c r="E813" s="48"/>
      <c r="H813" s="48"/>
      <c r="K813" s="70"/>
      <c r="N813" s="48"/>
      <c r="Q813" s="48"/>
      <c r="T813" s="48"/>
      <c r="W813" s="70"/>
    </row>
    <row r="814" spans="2:23" x14ac:dyDescent="0.2">
      <c r="B814" s="48"/>
      <c r="E814" s="48"/>
      <c r="H814" s="48"/>
      <c r="K814" s="70"/>
      <c r="N814" s="48"/>
      <c r="Q814" s="48"/>
      <c r="T814" s="48"/>
      <c r="W814" s="70"/>
    </row>
    <row r="815" spans="2:23" x14ac:dyDescent="0.2">
      <c r="B815" s="48"/>
      <c r="E815" s="48"/>
      <c r="H815" s="48"/>
      <c r="K815" s="70"/>
      <c r="N815" s="48"/>
      <c r="Q815" s="48"/>
      <c r="T815" s="48"/>
      <c r="W815" s="70"/>
    </row>
    <row r="816" spans="2:23" x14ac:dyDescent="0.2">
      <c r="B816" s="48"/>
      <c r="E816" s="48"/>
      <c r="H816" s="48"/>
      <c r="K816" s="70"/>
      <c r="N816" s="48"/>
      <c r="Q816" s="48"/>
      <c r="T816" s="48"/>
      <c r="W816" s="70"/>
    </row>
    <row r="817" spans="2:23" x14ac:dyDescent="0.2">
      <c r="B817" s="48"/>
      <c r="E817" s="48"/>
      <c r="H817" s="48"/>
      <c r="K817" s="70"/>
      <c r="N817" s="48"/>
      <c r="Q817" s="48"/>
      <c r="T817" s="48"/>
      <c r="W817" s="70"/>
    </row>
    <row r="818" spans="2:23" x14ac:dyDescent="0.2">
      <c r="B818" s="48"/>
      <c r="E818" s="48"/>
      <c r="H818" s="48"/>
      <c r="K818" s="70"/>
      <c r="N818" s="48"/>
      <c r="Q818" s="48"/>
      <c r="T818" s="48"/>
      <c r="W818" s="70"/>
    </row>
    <row r="819" spans="2:23" x14ac:dyDescent="0.2">
      <c r="B819" s="48"/>
      <c r="E819" s="48"/>
      <c r="H819" s="48"/>
      <c r="K819" s="70"/>
      <c r="N819" s="48"/>
      <c r="Q819" s="48"/>
      <c r="T819" s="48"/>
      <c r="W819" s="70"/>
    </row>
    <row r="820" spans="2:23" x14ac:dyDescent="0.2">
      <c r="B820" s="48"/>
      <c r="E820" s="48"/>
      <c r="H820" s="48"/>
      <c r="K820" s="70"/>
      <c r="N820" s="48"/>
      <c r="Q820" s="48"/>
      <c r="T820" s="48"/>
      <c r="W820" s="70"/>
    </row>
    <row r="821" spans="2:23" x14ac:dyDescent="0.2">
      <c r="B821" s="48"/>
      <c r="E821" s="48"/>
      <c r="H821" s="48"/>
      <c r="K821" s="70"/>
      <c r="N821" s="48"/>
      <c r="Q821" s="48"/>
      <c r="T821" s="48"/>
      <c r="W821" s="70"/>
    </row>
    <row r="822" spans="2:23" x14ac:dyDescent="0.2">
      <c r="B822" s="48"/>
      <c r="E822" s="48"/>
      <c r="H822" s="48"/>
      <c r="K822" s="70"/>
      <c r="N822" s="48"/>
      <c r="Q822" s="48"/>
      <c r="T822" s="48"/>
      <c r="W822" s="70"/>
    </row>
    <row r="823" spans="2:23" x14ac:dyDescent="0.2">
      <c r="B823" s="48"/>
      <c r="E823" s="48"/>
      <c r="H823" s="48"/>
      <c r="K823" s="70"/>
      <c r="N823" s="48"/>
      <c r="Q823" s="48"/>
      <c r="T823" s="48"/>
      <c r="W823" s="70"/>
    </row>
    <row r="824" spans="2:23" x14ac:dyDescent="0.2">
      <c r="B824" s="48"/>
      <c r="E824" s="48"/>
      <c r="H824" s="48"/>
      <c r="K824" s="70"/>
      <c r="N824" s="48"/>
      <c r="Q824" s="48"/>
      <c r="T824" s="48"/>
      <c r="W824" s="70"/>
    </row>
    <row r="825" spans="2:23" x14ac:dyDescent="0.2">
      <c r="B825" s="48"/>
      <c r="E825" s="48"/>
      <c r="H825" s="48"/>
      <c r="K825" s="70"/>
      <c r="N825" s="48"/>
      <c r="Q825" s="48"/>
      <c r="T825" s="48"/>
      <c r="W825" s="70"/>
    </row>
    <row r="826" spans="2:23" x14ac:dyDescent="0.2">
      <c r="B826" s="48"/>
      <c r="E826" s="48"/>
      <c r="H826" s="48"/>
      <c r="K826" s="70"/>
      <c r="N826" s="48"/>
      <c r="Q826" s="48"/>
      <c r="T826" s="48"/>
      <c r="W826" s="70"/>
    </row>
    <row r="827" spans="2:23" x14ac:dyDescent="0.2">
      <c r="B827" s="48"/>
      <c r="E827" s="48"/>
      <c r="H827" s="48"/>
      <c r="K827" s="70"/>
      <c r="N827" s="48"/>
      <c r="Q827" s="48"/>
      <c r="T827" s="48"/>
      <c r="W827" s="70"/>
    </row>
    <row r="828" spans="2:23" x14ac:dyDescent="0.2">
      <c r="B828" s="48"/>
      <c r="E828" s="48"/>
      <c r="H828" s="48"/>
      <c r="K828" s="70"/>
      <c r="N828" s="48"/>
      <c r="Q828" s="48"/>
      <c r="T828" s="48"/>
      <c r="W828" s="70"/>
    </row>
    <row r="829" spans="2:23" x14ac:dyDescent="0.2">
      <c r="B829" s="48"/>
      <c r="E829" s="48"/>
      <c r="H829" s="48"/>
      <c r="K829" s="70"/>
      <c r="N829" s="48"/>
      <c r="Q829" s="48"/>
      <c r="T829" s="48"/>
      <c r="W829" s="70"/>
    </row>
    <row r="830" spans="2:23" x14ac:dyDescent="0.2">
      <c r="B830" s="48"/>
      <c r="E830" s="48"/>
      <c r="H830" s="48"/>
      <c r="K830" s="70"/>
      <c r="N830" s="48"/>
      <c r="Q830" s="48"/>
      <c r="T830" s="48"/>
      <c r="W830" s="70"/>
    </row>
    <row r="831" spans="2:23" x14ac:dyDescent="0.2">
      <c r="B831" s="48"/>
      <c r="E831" s="48"/>
      <c r="H831" s="48"/>
      <c r="K831" s="70"/>
      <c r="N831" s="48"/>
      <c r="Q831" s="48"/>
      <c r="T831" s="48"/>
      <c r="W831" s="70"/>
    </row>
    <row r="832" spans="2:23" x14ac:dyDescent="0.2">
      <c r="B832" s="48"/>
      <c r="E832" s="48"/>
      <c r="H832" s="48"/>
      <c r="K832" s="70"/>
      <c r="N832" s="48"/>
      <c r="Q832" s="48"/>
      <c r="T832" s="48"/>
      <c r="W832" s="70"/>
    </row>
    <row r="833" spans="2:23" x14ac:dyDescent="0.2">
      <c r="B833" s="48"/>
      <c r="E833" s="48"/>
      <c r="H833" s="48"/>
      <c r="K833" s="70"/>
      <c r="N833" s="48"/>
      <c r="Q833" s="48"/>
      <c r="T833" s="48"/>
      <c r="W833" s="70"/>
    </row>
    <row r="834" spans="2:23" x14ac:dyDescent="0.2">
      <c r="B834" s="48"/>
      <c r="E834" s="48"/>
      <c r="H834" s="48"/>
      <c r="K834" s="70"/>
      <c r="N834" s="48"/>
      <c r="Q834" s="48"/>
      <c r="T834" s="48"/>
      <c r="W834" s="70"/>
    </row>
    <row r="835" spans="2:23" x14ac:dyDescent="0.2">
      <c r="B835" s="48"/>
      <c r="E835" s="48"/>
      <c r="H835" s="48"/>
      <c r="K835" s="70"/>
      <c r="N835" s="48"/>
      <c r="Q835" s="48"/>
      <c r="T835" s="48"/>
      <c r="W835" s="70"/>
    </row>
    <row r="836" spans="2:23" x14ac:dyDescent="0.2">
      <c r="B836" s="48"/>
      <c r="E836" s="48"/>
      <c r="H836" s="48"/>
      <c r="K836" s="70"/>
      <c r="N836" s="48"/>
      <c r="Q836" s="48"/>
      <c r="T836" s="48"/>
      <c r="W836" s="70"/>
    </row>
    <row r="837" spans="2:23" x14ac:dyDescent="0.2">
      <c r="B837" s="48"/>
      <c r="E837" s="48"/>
      <c r="H837" s="48"/>
      <c r="K837" s="70"/>
      <c r="N837" s="48"/>
      <c r="Q837" s="48"/>
      <c r="T837" s="48"/>
      <c r="W837" s="70"/>
    </row>
    <row r="838" spans="2:23" x14ac:dyDescent="0.2">
      <c r="B838" s="48"/>
      <c r="E838" s="48"/>
      <c r="H838" s="48"/>
      <c r="K838" s="70"/>
      <c r="N838" s="48"/>
      <c r="Q838" s="48"/>
      <c r="T838" s="48"/>
      <c r="W838" s="70"/>
    </row>
    <row r="839" spans="2:23" x14ac:dyDescent="0.2">
      <c r="B839" s="48"/>
      <c r="E839" s="48"/>
      <c r="H839" s="48"/>
      <c r="K839" s="70"/>
      <c r="N839" s="48"/>
      <c r="Q839" s="48"/>
      <c r="T839" s="48"/>
      <c r="W839" s="70"/>
    </row>
    <row r="840" spans="2:23" x14ac:dyDescent="0.2">
      <c r="B840" s="48"/>
      <c r="E840" s="48"/>
      <c r="H840" s="48"/>
      <c r="K840" s="70"/>
      <c r="N840" s="48"/>
      <c r="Q840" s="48"/>
      <c r="T840" s="48"/>
      <c r="W840" s="70"/>
    </row>
    <row r="841" spans="2:23" x14ac:dyDescent="0.2">
      <c r="B841" s="48"/>
      <c r="E841" s="48"/>
      <c r="H841" s="48"/>
      <c r="K841" s="70"/>
      <c r="N841" s="48"/>
      <c r="Q841" s="48"/>
      <c r="T841" s="48"/>
      <c r="W841" s="70"/>
    </row>
    <row r="842" spans="2:23" x14ac:dyDescent="0.2">
      <c r="B842" s="48"/>
      <c r="E842" s="48"/>
      <c r="H842" s="48"/>
      <c r="K842" s="70"/>
      <c r="N842" s="48"/>
      <c r="Q842" s="48"/>
      <c r="T842" s="48"/>
      <c r="W842" s="70"/>
    </row>
    <row r="843" spans="2:23" x14ac:dyDescent="0.2">
      <c r="B843" s="48"/>
      <c r="E843" s="48"/>
      <c r="H843" s="48"/>
      <c r="K843" s="70"/>
      <c r="N843" s="48"/>
      <c r="Q843" s="48"/>
      <c r="T843" s="48"/>
      <c r="W843" s="70"/>
    </row>
    <row r="844" spans="2:23" x14ac:dyDescent="0.2">
      <c r="B844" s="48"/>
      <c r="E844" s="48"/>
      <c r="H844" s="48"/>
      <c r="K844" s="70"/>
      <c r="N844" s="48"/>
      <c r="Q844" s="48"/>
      <c r="T844" s="48"/>
      <c r="W844" s="70"/>
    </row>
    <row r="845" spans="2:23" x14ac:dyDescent="0.2">
      <c r="B845" s="48"/>
      <c r="E845" s="48"/>
      <c r="H845" s="48"/>
      <c r="K845" s="70"/>
      <c r="N845" s="48"/>
      <c r="Q845" s="48"/>
      <c r="T845" s="48"/>
      <c r="W845" s="70"/>
    </row>
    <row r="846" spans="2:23" x14ac:dyDescent="0.2">
      <c r="B846" s="48"/>
      <c r="E846" s="48"/>
      <c r="H846" s="48"/>
      <c r="K846" s="70"/>
      <c r="N846" s="48"/>
      <c r="Q846" s="48"/>
      <c r="T846" s="48"/>
      <c r="W846" s="70"/>
    </row>
    <row r="847" spans="2:23" x14ac:dyDescent="0.2">
      <c r="B847" s="48"/>
      <c r="E847" s="48"/>
      <c r="H847" s="48"/>
      <c r="K847" s="70"/>
      <c r="N847" s="48"/>
      <c r="Q847" s="48"/>
      <c r="T847" s="48"/>
      <c r="W847" s="70"/>
    </row>
    <row r="848" spans="2:23" x14ac:dyDescent="0.2">
      <c r="B848" s="48"/>
      <c r="E848" s="48"/>
      <c r="H848" s="48"/>
      <c r="K848" s="70"/>
      <c r="N848" s="48"/>
      <c r="Q848" s="48"/>
      <c r="T848" s="48"/>
      <c r="W848" s="70"/>
    </row>
    <row r="849" spans="2:23" x14ac:dyDescent="0.2">
      <c r="B849" s="48"/>
      <c r="E849" s="48"/>
      <c r="H849" s="48"/>
      <c r="K849" s="70"/>
      <c r="N849" s="48"/>
      <c r="Q849" s="48"/>
      <c r="T849" s="48"/>
      <c r="W849" s="70"/>
    </row>
    <row r="850" spans="2:23" x14ac:dyDescent="0.2">
      <c r="B850" s="48"/>
      <c r="E850" s="48"/>
      <c r="H850" s="48"/>
      <c r="K850" s="70"/>
      <c r="N850" s="48"/>
      <c r="Q850" s="48"/>
      <c r="T850" s="48"/>
      <c r="W850" s="70"/>
    </row>
    <row r="851" spans="2:23" x14ac:dyDescent="0.2">
      <c r="B851" s="48"/>
      <c r="E851" s="48"/>
      <c r="H851" s="48"/>
      <c r="K851" s="70"/>
      <c r="N851" s="48"/>
      <c r="Q851" s="48"/>
      <c r="T851" s="48"/>
      <c r="W851" s="70"/>
    </row>
    <row r="852" spans="2:23" x14ac:dyDescent="0.2">
      <c r="B852" s="48"/>
      <c r="E852" s="48"/>
      <c r="H852" s="48"/>
      <c r="K852" s="70"/>
      <c r="N852" s="48"/>
      <c r="Q852" s="48"/>
      <c r="T852" s="48"/>
      <c r="W852" s="70"/>
    </row>
    <row r="853" spans="2:23" x14ac:dyDescent="0.2">
      <c r="B853" s="48"/>
      <c r="E853" s="48"/>
      <c r="H853" s="48"/>
      <c r="K853" s="70"/>
      <c r="N853" s="48"/>
      <c r="Q853" s="48"/>
      <c r="T853" s="48"/>
      <c r="W853" s="70"/>
    </row>
    <row r="854" spans="2:23" x14ac:dyDescent="0.2">
      <c r="B854" s="48"/>
      <c r="E854" s="48"/>
      <c r="H854" s="48"/>
      <c r="K854" s="70"/>
      <c r="N854" s="48"/>
      <c r="Q854" s="48"/>
      <c r="T854" s="48"/>
      <c r="W854" s="70"/>
    </row>
    <row r="855" spans="2:23" x14ac:dyDescent="0.2">
      <c r="B855" s="48"/>
      <c r="E855" s="48"/>
      <c r="H855" s="48"/>
      <c r="K855" s="70"/>
      <c r="N855" s="48"/>
      <c r="Q855" s="48"/>
      <c r="T855" s="48"/>
      <c r="W855" s="70"/>
    </row>
    <row r="856" spans="2:23" x14ac:dyDescent="0.2">
      <c r="B856" s="48"/>
      <c r="E856" s="48"/>
      <c r="H856" s="48"/>
      <c r="K856" s="70"/>
      <c r="N856" s="48"/>
      <c r="Q856" s="48"/>
      <c r="T856" s="48"/>
      <c r="W856" s="70"/>
    </row>
    <row r="857" spans="2:23" x14ac:dyDescent="0.2">
      <c r="B857" s="48"/>
      <c r="E857" s="48"/>
      <c r="H857" s="48"/>
      <c r="K857" s="70"/>
      <c r="N857" s="48"/>
      <c r="Q857" s="48"/>
      <c r="T857" s="48"/>
      <c r="W857" s="70"/>
    </row>
    <row r="858" spans="2:23" x14ac:dyDescent="0.2">
      <c r="B858" s="48"/>
      <c r="E858" s="48"/>
      <c r="H858" s="48"/>
      <c r="K858" s="70"/>
      <c r="N858" s="48"/>
      <c r="Q858" s="48"/>
      <c r="T858" s="48"/>
      <c r="W858" s="70"/>
    </row>
    <row r="859" spans="2:23" x14ac:dyDescent="0.2">
      <c r="B859" s="48"/>
      <c r="E859" s="48"/>
      <c r="H859" s="48"/>
      <c r="K859" s="70"/>
      <c r="N859" s="48"/>
      <c r="Q859" s="48"/>
      <c r="T859" s="48"/>
      <c r="W859" s="70"/>
    </row>
    <row r="860" spans="2:23" x14ac:dyDescent="0.2">
      <c r="B860" s="48"/>
      <c r="E860" s="48"/>
      <c r="H860" s="48"/>
      <c r="K860" s="70"/>
      <c r="N860" s="48"/>
      <c r="Q860" s="48"/>
      <c r="T860" s="48"/>
      <c r="W860" s="70"/>
    </row>
    <row r="861" spans="2:23" x14ac:dyDescent="0.2">
      <c r="B861" s="48"/>
      <c r="E861" s="48"/>
      <c r="H861" s="48"/>
      <c r="K861" s="70"/>
      <c r="N861" s="48"/>
      <c r="Q861" s="48"/>
      <c r="T861" s="48"/>
      <c r="W861" s="70"/>
    </row>
    <row r="862" spans="2:23" x14ac:dyDescent="0.2">
      <c r="B862" s="48"/>
      <c r="E862" s="48"/>
      <c r="H862" s="48"/>
      <c r="K862" s="70"/>
      <c r="N862" s="48"/>
      <c r="Q862" s="48"/>
      <c r="T862" s="48"/>
      <c r="W862" s="70"/>
    </row>
    <row r="863" spans="2:23" x14ac:dyDescent="0.2">
      <c r="B863" s="48"/>
      <c r="E863" s="48"/>
      <c r="H863" s="48"/>
      <c r="K863" s="70"/>
      <c r="N863" s="48"/>
      <c r="Q863" s="48"/>
      <c r="T863" s="48"/>
      <c r="W863" s="70"/>
    </row>
    <row r="864" spans="2:23" x14ac:dyDescent="0.2">
      <c r="B864" s="48"/>
      <c r="E864" s="48"/>
      <c r="H864" s="48"/>
      <c r="K864" s="70"/>
      <c r="N864" s="48"/>
      <c r="Q864" s="48"/>
      <c r="T864" s="48"/>
      <c r="W864" s="70"/>
    </row>
    <row r="865" spans="2:23" x14ac:dyDescent="0.2">
      <c r="B865" s="48"/>
      <c r="E865" s="48"/>
      <c r="H865" s="48"/>
      <c r="K865" s="70"/>
      <c r="N865" s="48"/>
      <c r="Q865" s="48"/>
      <c r="T865" s="48"/>
      <c r="W865" s="70"/>
    </row>
    <row r="866" spans="2:23" x14ac:dyDescent="0.2">
      <c r="B866" s="48"/>
      <c r="E866" s="48"/>
      <c r="H866" s="48"/>
      <c r="K866" s="70"/>
      <c r="N866" s="48"/>
      <c r="Q866" s="48"/>
      <c r="T866" s="48"/>
      <c r="W866" s="70"/>
    </row>
    <row r="867" spans="2:23" x14ac:dyDescent="0.2">
      <c r="B867" s="48"/>
      <c r="E867" s="48"/>
      <c r="H867" s="48"/>
      <c r="K867" s="70"/>
      <c r="N867" s="48"/>
      <c r="Q867" s="48"/>
      <c r="T867" s="48"/>
      <c r="W867" s="70"/>
    </row>
    <row r="868" spans="2:23" x14ac:dyDescent="0.2">
      <c r="B868" s="48"/>
      <c r="E868" s="48"/>
      <c r="H868" s="48"/>
      <c r="K868" s="70"/>
      <c r="N868" s="48"/>
      <c r="Q868" s="48"/>
      <c r="T868" s="48"/>
      <c r="W868" s="70"/>
    </row>
    <row r="869" spans="2:23" x14ac:dyDescent="0.2">
      <c r="B869" s="48"/>
      <c r="E869" s="48"/>
      <c r="H869" s="48"/>
      <c r="K869" s="70"/>
      <c r="N869" s="48"/>
      <c r="Q869" s="48"/>
      <c r="T869" s="48"/>
      <c r="W869" s="70"/>
    </row>
    <row r="870" spans="2:23" x14ac:dyDescent="0.2">
      <c r="B870" s="48"/>
      <c r="E870" s="48"/>
      <c r="H870" s="48"/>
      <c r="K870" s="70"/>
      <c r="N870" s="48"/>
      <c r="Q870" s="48"/>
      <c r="T870" s="48"/>
      <c r="W870" s="70"/>
    </row>
    <row r="871" spans="2:23" x14ac:dyDescent="0.2">
      <c r="B871" s="48"/>
      <c r="E871" s="48"/>
      <c r="H871" s="48"/>
      <c r="K871" s="70"/>
      <c r="N871" s="48"/>
      <c r="Q871" s="48"/>
      <c r="T871" s="48"/>
      <c r="W871" s="70"/>
    </row>
    <row r="872" spans="2:23" x14ac:dyDescent="0.2">
      <c r="B872" s="48"/>
      <c r="E872" s="48"/>
      <c r="H872" s="48"/>
      <c r="K872" s="70"/>
      <c r="N872" s="48"/>
      <c r="Q872" s="48"/>
      <c r="T872" s="48"/>
      <c r="W872" s="70"/>
    </row>
    <row r="873" spans="2:23" x14ac:dyDescent="0.2">
      <c r="B873" s="48"/>
      <c r="E873" s="48"/>
      <c r="H873" s="48"/>
      <c r="K873" s="70"/>
      <c r="N873" s="48"/>
      <c r="Q873" s="48"/>
      <c r="T873" s="48"/>
      <c r="W873" s="70"/>
    </row>
    <row r="874" spans="2:23" x14ac:dyDescent="0.2">
      <c r="B874" s="48"/>
      <c r="E874" s="48"/>
      <c r="H874" s="48"/>
      <c r="K874" s="70"/>
      <c r="N874" s="48"/>
      <c r="Q874" s="48"/>
      <c r="T874" s="48"/>
      <c r="W874" s="70"/>
    </row>
    <row r="875" spans="2:23" x14ac:dyDescent="0.2">
      <c r="B875" s="48"/>
      <c r="E875" s="48"/>
      <c r="H875" s="48"/>
      <c r="K875" s="70"/>
      <c r="N875" s="48"/>
      <c r="Q875" s="48"/>
      <c r="T875" s="48"/>
      <c r="W875" s="70"/>
    </row>
    <row r="876" spans="2:23" x14ac:dyDescent="0.2">
      <c r="B876" s="48"/>
      <c r="E876" s="48"/>
      <c r="H876" s="48"/>
      <c r="K876" s="70"/>
      <c r="N876" s="48"/>
      <c r="Q876" s="48"/>
      <c r="T876" s="48"/>
      <c r="W876" s="70"/>
    </row>
    <row r="877" spans="2:23" x14ac:dyDescent="0.2">
      <c r="B877" s="48"/>
      <c r="E877" s="48"/>
      <c r="H877" s="48"/>
      <c r="K877" s="70"/>
      <c r="N877" s="48"/>
      <c r="Q877" s="48"/>
      <c r="T877" s="48"/>
      <c r="W877" s="70"/>
    </row>
    <row r="878" spans="2:23" x14ac:dyDescent="0.2">
      <c r="B878" s="48"/>
      <c r="E878" s="48"/>
      <c r="H878" s="48"/>
      <c r="K878" s="70"/>
      <c r="N878" s="48"/>
      <c r="Q878" s="48"/>
      <c r="T878" s="48"/>
      <c r="W878" s="70"/>
    </row>
    <row r="879" spans="2:23" x14ac:dyDescent="0.2">
      <c r="B879" s="48"/>
      <c r="E879" s="48"/>
      <c r="H879" s="48"/>
      <c r="K879" s="70"/>
      <c r="N879" s="48"/>
      <c r="Q879" s="48"/>
      <c r="T879" s="48"/>
      <c r="W879" s="70"/>
    </row>
    <row r="880" spans="2:23" x14ac:dyDescent="0.2">
      <c r="B880" s="48"/>
      <c r="E880" s="48"/>
      <c r="H880" s="48"/>
      <c r="K880" s="70"/>
      <c r="N880" s="48"/>
      <c r="Q880" s="48"/>
      <c r="T880" s="48"/>
      <c r="W880" s="70"/>
    </row>
    <row r="881" spans="2:23" x14ac:dyDescent="0.2">
      <c r="B881" s="48"/>
      <c r="E881" s="48"/>
      <c r="H881" s="48"/>
      <c r="K881" s="70"/>
      <c r="N881" s="48"/>
      <c r="Q881" s="48"/>
      <c r="T881" s="48"/>
      <c r="W881" s="70"/>
    </row>
    <row r="882" spans="2:23" x14ac:dyDescent="0.2">
      <c r="B882" s="48"/>
      <c r="E882" s="48"/>
      <c r="H882" s="48"/>
      <c r="K882" s="70"/>
      <c r="N882" s="48"/>
      <c r="Q882" s="48"/>
      <c r="T882" s="48"/>
      <c r="W882" s="70"/>
    </row>
    <row r="883" spans="2:23" x14ac:dyDescent="0.2">
      <c r="B883" s="48"/>
      <c r="E883" s="48"/>
      <c r="H883" s="48"/>
      <c r="K883" s="70"/>
      <c r="N883" s="48"/>
      <c r="Q883" s="48"/>
      <c r="T883" s="48"/>
      <c r="W883" s="70"/>
    </row>
    <row r="884" spans="2:23" x14ac:dyDescent="0.2">
      <c r="B884" s="48"/>
      <c r="E884" s="48"/>
      <c r="H884" s="48"/>
      <c r="K884" s="70"/>
      <c r="N884" s="48"/>
      <c r="Q884" s="48"/>
      <c r="T884" s="48"/>
      <c r="W884" s="70"/>
    </row>
    <row r="885" spans="2:23" x14ac:dyDescent="0.2">
      <c r="B885" s="48"/>
      <c r="E885" s="48"/>
      <c r="H885" s="48"/>
      <c r="K885" s="70"/>
      <c r="N885" s="48"/>
      <c r="Q885" s="48"/>
      <c r="T885" s="48"/>
      <c r="W885" s="70"/>
    </row>
    <row r="886" spans="2:23" x14ac:dyDescent="0.2">
      <c r="B886" s="48"/>
      <c r="E886" s="48"/>
      <c r="H886" s="48"/>
      <c r="K886" s="70"/>
      <c r="N886" s="48"/>
      <c r="Q886" s="48"/>
      <c r="T886" s="48"/>
      <c r="W886" s="70"/>
    </row>
    <row r="887" spans="2:23" x14ac:dyDescent="0.2">
      <c r="B887" s="48"/>
      <c r="E887" s="48"/>
      <c r="H887" s="48"/>
      <c r="K887" s="70"/>
      <c r="N887" s="48"/>
      <c r="Q887" s="48"/>
      <c r="T887" s="48"/>
      <c r="W887" s="70"/>
    </row>
    <row r="888" spans="2:23" x14ac:dyDescent="0.2">
      <c r="B888" s="48"/>
      <c r="E888" s="48"/>
      <c r="H888" s="48"/>
      <c r="K888" s="70"/>
      <c r="N888" s="48"/>
      <c r="Q888" s="48"/>
      <c r="T888" s="48"/>
      <c r="W888" s="70"/>
    </row>
    <row r="889" spans="2:23" x14ac:dyDescent="0.2">
      <c r="B889" s="48"/>
      <c r="E889" s="48"/>
      <c r="H889" s="48"/>
      <c r="K889" s="70"/>
      <c r="N889" s="48"/>
      <c r="Q889" s="48"/>
      <c r="T889" s="48"/>
      <c r="W889" s="70"/>
    </row>
    <row r="890" spans="2:23" x14ac:dyDescent="0.2">
      <c r="B890" s="48"/>
      <c r="E890" s="48"/>
      <c r="H890" s="48"/>
      <c r="K890" s="70"/>
      <c r="N890" s="48"/>
      <c r="Q890" s="48"/>
      <c r="T890" s="48"/>
      <c r="W890" s="70"/>
    </row>
    <row r="891" spans="2:23" x14ac:dyDescent="0.2">
      <c r="B891" s="48"/>
      <c r="E891" s="48"/>
      <c r="H891" s="48"/>
      <c r="K891" s="70"/>
      <c r="N891" s="48"/>
      <c r="Q891" s="48"/>
      <c r="T891" s="48"/>
      <c r="W891" s="70"/>
    </row>
    <row r="892" spans="2:23" x14ac:dyDescent="0.2">
      <c r="B892" s="48"/>
      <c r="E892" s="48"/>
      <c r="H892" s="48"/>
      <c r="K892" s="70"/>
      <c r="N892" s="48"/>
      <c r="Q892" s="48"/>
      <c r="T892" s="48"/>
      <c r="W892" s="70"/>
    </row>
    <row r="893" spans="2:23" x14ac:dyDescent="0.2">
      <c r="B893" s="48"/>
      <c r="E893" s="48"/>
      <c r="H893" s="48"/>
      <c r="K893" s="70"/>
      <c r="N893" s="48"/>
      <c r="Q893" s="48"/>
      <c r="T893" s="48"/>
      <c r="W893" s="70"/>
    </row>
    <row r="894" spans="2:23" x14ac:dyDescent="0.2">
      <c r="B894" s="48"/>
      <c r="E894" s="48"/>
      <c r="H894" s="48"/>
      <c r="K894" s="70"/>
      <c r="N894" s="48"/>
      <c r="Q894" s="48"/>
      <c r="T894" s="48"/>
      <c r="W894" s="70"/>
    </row>
    <row r="895" spans="2:23" x14ac:dyDescent="0.2">
      <c r="B895" s="48"/>
      <c r="E895" s="48"/>
      <c r="H895" s="48"/>
      <c r="K895" s="70"/>
      <c r="N895" s="48"/>
      <c r="Q895" s="48"/>
      <c r="T895" s="48"/>
      <c r="W895" s="70"/>
    </row>
    <row r="896" spans="2:23" x14ac:dyDescent="0.2">
      <c r="B896" s="48"/>
      <c r="E896" s="48"/>
      <c r="H896" s="48"/>
      <c r="K896" s="70"/>
      <c r="N896" s="48"/>
      <c r="Q896" s="48"/>
      <c r="T896" s="48"/>
      <c r="W896" s="70"/>
    </row>
    <row r="897" spans="2:23" x14ac:dyDescent="0.2">
      <c r="B897" s="48"/>
      <c r="E897" s="48"/>
      <c r="H897" s="48"/>
      <c r="K897" s="70"/>
      <c r="N897" s="48"/>
      <c r="Q897" s="48"/>
      <c r="T897" s="48"/>
      <c r="W897" s="70"/>
    </row>
    <row r="898" spans="2:23" x14ac:dyDescent="0.2">
      <c r="B898" s="48"/>
      <c r="E898" s="48"/>
      <c r="H898" s="48"/>
      <c r="K898" s="70"/>
      <c r="N898" s="48"/>
      <c r="Q898" s="48"/>
      <c r="T898" s="48"/>
      <c r="W898" s="70"/>
    </row>
    <row r="899" spans="2:23" x14ac:dyDescent="0.2">
      <c r="B899" s="48"/>
      <c r="E899" s="48"/>
      <c r="H899" s="48"/>
      <c r="K899" s="70"/>
      <c r="N899" s="48"/>
      <c r="Q899" s="48"/>
      <c r="T899" s="48"/>
      <c r="W899" s="70"/>
    </row>
    <row r="900" spans="2:23" x14ac:dyDescent="0.2">
      <c r="B900" s="48"/>
      <c r="E900" s="48"/>
      <c r="H900" s="48"/>
      <c r="K900" s="70"/>
      <c r="N900" s="48"/>
      <c r="Q900" s="48"/>
      <c r="T900" s="48"/>
      <c r="W900" s="70"/>
    </row>
    <row r="901" spans="2:23" x14ac:dyDescent="0.2">
      <c r="B901" s="48"/>
      <c r="E901" s="48"/>
      <c r="H901" s="48"/>
      <c r="K901" s="70"/>
      <c r="N901" s="48"/>
      <c r="Q901" s="48"/>
      <c r="T901" s="48"/>
      <c r="W901" s="70"/>
    </row>
    <row r="902" spans="2:23" x14ac:dyDescent="0.2">
      <c r="B902" s="48"/>
      <c r="E902" s="48"/>
      <c r="H902" s="48"/>
      <c r="K902" s="70"/>
      <c r="N902" s="48"/>
      <c r="Q902" s="48"/>
      <c r="T902" s="48"/>
      <c r="W902" s="70"/>
    </row>
    <row r="903" spans="2:23" x14ac:dyDescent="0.2">
      <c r="B903" s="48"/>
      <c r="E903" s="48"/>
      <c r="H903" s="48"/>
      <c r="K903" s="70"/>
      <c r="N903" s="48"/>
      <c r="Q903" s="48"/>
      <c r="T903" s="48"/>
      <c r="W903" s="70"/>
    </row>
    <row r="904" spans="2:23" x14ac:dyDescent="0.2">
      <c r="B904" s="48"/>
      <c r="E904" s="48"/>
      <c r="H904" s="48"/>
      <c r="K904" s="70"/>
      <c r="N904" s="48"/>
      <c r="Q904" s="48"/>
      <c r="T904" s="48"/>
      <c r="W904" s="70"/>
    </row>
    <row r="905" spans="2:23" x14ac:dyDescent="0.2">
      <c r="B905" s="48"/>
      <c r="E905" s="48"/>
      <c r="H905" s="48"/>
      <c r="K905" s="70"/>
      <c r="N905" s="48"/>
      <c r="Q905" s="48"/>
      <c r="T905" s="48"/>
      <c r="W905" s="70"/>
    </row>
    <row r="906" spans="2:23" x14ac:dyDescent="0.2">
      <c r="B906" s="48"/>
      <c r="E906" s="48"/>
      <c r="H906" s="48"/>
      <c r="K906" s="70"/>
      <c r="N906" s="48"/>
      <c r="Q906" s="48"/>
      <c r="T906" s="48"/>
      <c r="W906" s="70"/>
    </row>
    <row r="907" spans="2:23" x14ac:dyDescent="0.2">
      <c r="B907" s="48"/>
      <c r="E907" s="48"/>
      <c r="H907" s="48"/>
      <c r="K907" s="70"/>
      <c r="N907" s="48"/>
      <c r="Q907" s="48"/>
      <c r="T907" s="48"/>
      <c r="W907" s="70"/>
    </row>
    <row r="908" spans="2:23" x14ac:dyDescent="0.2">
      <c r="B908" s="48"/>
      <c r="E908" s="48"/>
      <c r="H908" s="48"/>
      <c r="K908" s="70"/>
      <c r="N908" s="48"/>
      <c r="Q908" s="48"/>
      <c r="T908" s="48"/>
      <c r="W908" s="70"/>
    </row>
    <row r="909" spans="2:23" x14ac:dyDescent="0.2">
      <c r="B909" s="48"/>
      <c r="E909" s="48"/>
      <c r="H909" s="48"/>
      <c r="K909" s="70"/>
      <c r="N909" s="48"/>
      <c r="Q909" s="48"/>
      <c r="T909" s="48"/>
      <c r="W909" s="70"/>
    </row>
    <row r="910" spans="2:23" x14ac:dyDescent="0.2">
      <c r="B910" s="48"/>
      <c r="E910" s="48"/>
      <c r="H910" s="48"/>
      <c r="K910" s="70"/>
      <c r="N910" s="48"/>
      <c r="Q910" s="48"/>
      <c r="T910" s="48"/>
      <c r="W910" s="70"/>
    </row>
    <row r="911" spans="2:23" x14ac:dyDescent="0.2">
      <c r="B911" s="48"/>
      <c r="E911" s="48"/>
      <c r="H911" s="48"/>
      <c r="K911" s="70"/>
      <c r="N911" s="48"/>
      <c r="Q911" s="48"/>
      <c r="T911" s="48"/>
      <c r="W911" s="70"/>
    </row>
    <row r="912" spans="2:23" x14ac:dyDescent="0.2">
      <c r="B912" s="48"/>
      <c r="E912" s="48"/>
      <c r="H912" s="48"/>
      <c r="K912" s="70"/>
      <c r="N912" s="48"/>
      <c r="Q912" s="48"/>
      <c r="T912" s="48"/>
      <c r="W912" s="70"/>
    </row>
    <row r="913" spans="2:23" x14ac:dyDescent="0.2">
      <c r="B913" s="48"/>
      <c r="E913" s="48"/>
      <c r="H913" s="48"/>
      <c r="K913" s="70"/>
      <c r="N913" s="48"/>
      <c r="Q913" s="48"/>
      <c r="T913" s="48"/>
      <c r="W913" s="70"/>
    </row>
    <row r="914" spans="2:23" x14ac:dyDescent="0.2">
      <c r="B914" s="48"/>
      <c r="E914" s="48"/>
      <c r="H914" s="48"/>
      <c r="K914" s="70"/>
      <c r="N914" s="48"/>
      <c r="Q914" s="48"/>
      <c r="T914" s="48"/>
      <c r="W914" s="70"/>
    </row>
    <row r="915" spans="2:23" x14ac:dyDescent="0.2">
      <c r="B915" s="48"/>
      <c r="E915" s="48"/>
      <c r="H915" s="48"/>
      <c r="K915" s="70"/>
      <c r="N915" s="48"/>
      <c r="Q915" s="48"/>
      <c r="T915" s="48"/>
      <c r="W915" s="70"/>
    </row>
    <row r="916" spans="2:23" x14ac:dyDescent="0.2">
      <c r="B916" s="48"/>
      <c r="E916" s="48"/>
      <c r="H916" s="48"/>
      <c r="K916" s="70"/>
      <c r="N916" s="48"/>
      <c r="Q916" s="48"/>
      <c r="T916" s="48"/>
      <c r="W916" s="70"/>
    </row>
    <row r="917" spans="2:23" x14ac:dyDescent="0.2">
      <c r="B917" s="48"/>
      <c r="E917" s="48"/>
      <c r="H917" s="48"/>
      <c r="K917" s="70"/>
      <c r="N917" s="48"/>
      <c r="Q917" s="48"/>
      <c r="T917" s="48"/>
      <c r="W917" s="70"/>
    </row>
    <row r="918" spans="2:23" x14ac:dyDescent="0.2">
      <c r="B918" s="48"/>
      <c r="E918" s="48"/>
      <c r="H918" s="48"/>
      <c r="K918" s="70"/>
      <c r="N918" s="48"/>
      <c r="Q918" s="48"/>
      <c r="T918" s="48"/>
      <c r="W918" s="70"/>
    </row>
    <row r="919" spans="2:23" x14ac:dyDescent="0.2">
      <c r="B919" s="48"/>
      <c r="E919" s="48"/>
      <c r="H919" s="48"/>
      <c r="K919" s="70"/>
      <c r="N919" s="48"/>
      <c r="Q919" s="48"/>
      <c r="T919" s="48"/>
      <c r="W919" s="70"/>
    </row>
    <row r="920" spans="2:23" x14ac:dyDescent="0.2">
      <c r="B920" s="48"/>
      <c r="E920" s="48"/>
      <c r="H920" s="48"/>
      <c r="K920" s="70"/>
      <c r="N920" s="48"/>
      <c r="Q920" s="48"/>
      <c r="T920" s="48"/>
      <c r="W920" s="70"/>
    </row>
    <row r="921" spans="2:23" x14ac:dyDescent="0.2">
      <c r="B921" s="48"/>
      <c r="E921" s="48"/>
      <c r="H921" s="48"/>
      <c r="K921" s="70"/>
      <c r="N921" s="48"/>
      <c r="Q921" s="48"/>
      <c r="T921" s="48"/>
      <c r="W921" s="70"/>
    </row>
    <row r="922" spans="2:23" x14ac:dyDescent="0.2">
      <c r="B922" s="48"/>
      <c r="E922" s="48"/>
      <c r="H922" s="48"/>
      <c r="K922" s="70"/>
      <c r="N922" s="48"/>
      <c r="Q922" s="48"/>
      <c r="T922" s="48"/>
      <c r="W922" s="70"/>
    </row>
    <row r="923" spans="2:23" x14ac:dyDescent="0.2">
      <c r="B923" s="48"/>
      <c r="E923" s="48"/>
      <c r="H923" s="48"/>
      <c r="K923" s="70"/>
      <c r="N923" s="48"/>
      <c r="Q923" s="48"/>
      <c r="T923" s="48"/>
      <c r="W923" s="70"/>
    </row>
    <row r="924" spans="2:23" x14ac:dyDescent="0.2">
      <c r="B924" s="48"/>
      <c r="E924" s="48"/>
      <c r="H924" s="48"/>
      <c r="K924" s="70"/>
      <c r="N924" s="48"/>
      <c r="Q924" s="48"/>
      <c r="T924" s="48"/>
      <c r="W924" s="70"/>
    </row>
    <row r="925" spans="2:23" x14ac:dyDescent="0.2">
      <c r="B925" s="48"/>
      <c r="E925" s="48"/>
      <c r="H925" s="48"/>
      <c r="K925" s="70"/>
      <c r="N925" s="48"/>
      <c r="Q925" s="48"/>
      <c r="T925" s="48"/>
      <c r="W925" s="70"/>
    </row>
    <row r="926" spans="2:23" x14ac:dyDescent="0.2">
      <c r="B926" s="48"/>
      <c r="E926" s="48"/>
      <c r="H926" s="48"/>
      <c r="K926" s="70"/>
      <c r="N926" s="48"/>
      <c r="Q926" s="48"/>
      <c r="T926" s="48"/>
      <c r="W926" s="70"/>
    </row>
    <row r="927" spans="2:23" x14ac:dyDescent="0.2">
      <c r="B927" s="48"/>
      <c r="E927" s="48"/>
      <c r="H927" s="48"/>
      <c r="K927" s="70"/>
      <c r="N927" s="48"/>
      <c r="Q927" s="48"/>
      <c r="T927" s="48"/>
      <c r="W927" s="70"/>
    </row>
    <row r="928" spans="2:23" x14ac:dyDescent="0.2">
      <c r="B928" s="48"/>
      <c r="E928" s="48"/>
      <c r="H928" s="48"/>
      <c r="K928" s="70"/>
      <c r="N928" s="48"/>
      <c r="Q928" s="48"/>
      <c r="T928" s="48"/>
      <c r="W928" s="70"/>
    </row>
    <row r="929" spans="2:23" x14ac:dyDescent="0.2">
      <c r="B929" s="48"/>
      <c r="E929" s="48"/>
      <c r="H929" s="48"/>
      <c r="K929" s="70"/>
      <c r="N929" s="48"/>
      <c r="Q929" s="48"/>
      <c r="T929" s="48"/>
      <c r="W929" s="70"/>
    </row>
    <row r="930" spans="2:23" x14ac:dyDescent="0.2">
      <c r="B930" s="48"/>
      <c r="E930" s="48"/>
      <c r="H930" s="48"/>
      <c r="K930" s="70"/>
      <c r="N930" s="48"/>
      <c r="Q930" s="48"/>
      <c r="T930" s="48"/>
      <c r="W930" s="70"/>
    </row>
    <row r="931" spans="2:23" x14ac:dyDescent="0.2">
      <c r="B931" s="48"/>
      <c r="E931" s="48"/>
      <c r="H931" s="48"/>
      <c r="K931" s="70"/>
      <c r="N931" s="48"/>
      <c r="Q931" s="48"/>
      <c r="T931" s="48"/>
      <c r="W931" s="70"/>
    </row>
    <row r="932" spans="2:23" x14ac:dyDescent="0.2">
      <c r="B932" s="48"/>
      <c r="E932" s="48"/>
      <c r="H932" s="48"/>
      <c r="K932" s="70"/>
      <c r="N932" s="48"/>
      <c r="Q932" s="48"/>
      <c r="T932" s="48"/>
      <c r="W932" s="70"/>
    </row>
    <row r="933" spans="2:23" x14ac:dyDescent="0.2">
      <c r="B933" s="48"/>
      <c r="E933" s="48"/>
      <c r="H933" s="48"/>
      <c r="K933" s="70"/>
      <c r="N933" s="48"/>
      <c r="Q933" s="48"/>
      <c r="T933" s="48"/>
      <c r="W933" s="70"/>
    </row>
    <row r="934" spans="2:23" x14ac:dyDescent="0.2">
      <c r="B934" s="48"/>
      <c r="E934" s="48"/>
      <c r="H934" s="48"/>
      <c r="K934" s="70"/>
      <c r="N934" s="48"/>
      <c r="Q934" s="48"/>
      <c r="T934" s="48"/>
      <c r="W934" s="70"/>
    </row>
    <row r="935" spans="2:23" x14ac:dyDescent="0.2">
      <c r="B935" s="48"/>
      <c r="E935" s="48"/>
      <c r="H935" s="48"/>
      <c r="K935" s="70"/>
      <c r="N935" s="48"/>
      <c r="Q935" s="48"/>
      <c r="T935" s="48"/>
      <c r="W935" s="70"/>
    </row>
    <row r="936" spans="2:23" x14ac:dyDescent="0.2">
      <c r="B936" s="48"/>
      <c r="E936" s="48"/>
      <c r="H936" s="48"/>
      <c r="K936" s="70"/>
      <c r="N936" s="48"/>
      <c r="Q936" s="48"/>
      <c r="T936" s="48"/>
      <c r="W936" s="70"/>
    </row>
    <row r="937" spans="2:23" x14ac:dyDescent="0.2">
      <c r="B937" s="48"/>
      <c r="E937" s="48"/>
      <c r="H937" s="48"/>
      <c r="K937" s="70"/>
      <c r="N937" s="48"/>
      <c r="Q937" s="48"/>
      <c r="T937" s="48"/>
      <c r="W937" s="70"/>
    </row>
    <row r="938" spans="2:23" x14ac:dyDescent="0.2">
      <c r="B938" s="48"/>
      <c r="E938" s="48"/>
      <c r="H938" s="48"/>
      <c r="K938" s="70"/>
      <c r="N938" s="48"/>
      <c r="Q938" s="48"/>
      <c r="T938" s="48"/>
      <c r="W938" s="70"/>
    </row>
    <row r="939" spans="2:23" x14ac:dyDescent="0.2">
      <c r="B939" s="48"/>
      <c r="E939" s="48"/>
      <c r="H939" s="48"/>
      <c r="K939" s="70"/>
      <c r="N939" s="48"/>
      <c r="Q939" s="48"/>
      <c r="T939" s="48"/>
      <c r="W939" s="70"/>
    </row>
    <row r="940" spans="2:23" x14ac:dyDescent="0.2">
      <c r="B940" s="48"/>
      <c r="E940" s="48"/>
      <c r="H940" s="48"/>
      <c r="K940" s="70"/>
      <c r="N940" s="48"/>
      <c r="Q940" s="48"/>
      <c r="T940" s="48"/>
      <c r="W940" s="70"/>
    </row>
    <row r="941" spans="2:23" x14ac:dyDescent="0.2">
      <c r="B941" s="48"/>
      <c r="E941" s="48"/>
      <c r="H941" s="48"/>
      <c r="K941" s="70"/>
      <c r="N941" s="48"/>
      <c r="Q941" s="48"/>
      <c r="T941" s="48"/>
      <c r="W941" s="70"/>
    </row>
    <row r="942" spans="2:23" x14ac:dyDescent="0.2">
      <c r="B942" s="48"/>
      <c r="E942" s="48"/>
      <c r="H942" s="48"/>
      <c r="K942" s="70"/>
      <c r="N942" s="48"/>
      <c r="Q942" s="48"/>
      <c r="T942" s="48"/>
      <c r="W942" s="70"/>
    </row>
    <row r="943" spans="2:23" x14ac:dyDescent="0.2">
      <c r="B943" s="48"/>
      <c r="E943" s="48"/>
      <c r="H943" s="48"/>
      <c r="K943" s="70"/>
      <c r="N943" s="48"/>
      <c r="Q943" s="48"/>
      <c r="T943" s="48"/>
      <c r="W943" s="70"/>
    </row>
    <row r="944" spans="2:23" x14ac:dyDescent="0.2">
      <c r="B944" s="48"/>
      <c r="E944" s="48"/>
      <c r="H944" s="48"/>
      <c r="K944" s="70"/>
      <c r="N944" s="48"/>
      <c r="Q944" s="48"/>
      <c r="T944" s="48"/>
      <c r="W944" s="70"/>
    </row>
    <row r="945" spans="2:23" x14ac:dyDescent="0.2">
      <c r="B945" s="48"/>
      <c r="E945" s="48"/>
      <c r="H945" s="48"/>
      <c r="K945" s="70"/>
      <c r="N945" s="48"/>
      <c r="Q945" s="48"/>
      <c r="T945" s="48"/>
      <c r="W945" s="70"/>
    </row>
    <row r="946" spans="2:23" x14ac:dyDescent="0.2">
      <c r="B946" s="48"/>
      <c r="E946" s="48"/>
      <c r="H946" s="48"/>
      <c r="K946" s="70"/>
      <c r="N946" s="48"/>
      <c r="Q946" s="48"/>
      <c r="T946" s="48"/>
      <c r="W946" s="70"/>
    </row>
    <row r="947" spans="2:23" x14ac:dyDescent="0.2">
      <c r="B947" s="48"/>
      <c r="E947" s="48"/>
      <c r="H947" s="48"/>
      <c r="K947" s="70"/>
      <c r="N947" s="48"/>
      <c r="Q947" s="48"/>
      <c r="T947" s="48"/>
      <c r="W947" s="70"/>
    </row>
    <row r="948" spans="2:23" x14ac:dyDescent="0.2">
      <c r="B948" s="48"/>
      <c r="E948" s="48"/>
      <c r="H948" s="48"/>
      <c r="K948" s="70"/>
      <c r="N948" s="48"/>
      <c r="Q948" s="48"/>
      <c r="T948" s="48"/>
      <c r="W948" s="70"/>
    </row>
    <row r="949" spans="2:23" x14ac:dyDescent="0.2">
      <c r="B949" s="48"/>
      <c r="E949" s="48"/>
      <c r="H949" s="48"/>
      <c r="K949" s="70"/>
      <c r="N949" s="48"/>
      <c r="Q949" s="48"/>
      <c r="T949" s="48"/>
      <c r="W949" s="70"/>
    </row>
    <row r="950" spans="2:23" x14ac:dyDescent="0.2">
      <c r="B950" s="48"/>
      <c r="E950" s="48"/>
      <c r="H950" s="48"/>
      <c r="K950" s="70"/>
      <c r="N950" s="48"/>
      <c r="Q950" s="48"/>
      <c r="T950" s="48"/>
      <c r="W950" s="70"/>
    </row>
    <row r="951" spans="2:23" x14ac:dyDescent="0.2">
      <c r="B951" s="48"/>
      <c r="E951" s="48"/>
      <c r="H951" s="48"/>
      <c r="K951" s="70"/>
      <c r="N951" s="48"/>
      <c r="Q951" s="48"/>
      <c r="T951" s="48"/>
      <c r="W951" s="70"/>
    </row>
    <row r="952" spans="2:23" x14ac:dyDescent="0.2">
      <c r="B952" s="48"/>
      <c r="E952" s="48"/>
      <c r="H952" s="48"/>
      <c r="K952" s="70"/>
      <c r="N952" s="48"/>
      <c r="Q952" s="48"/>
      <c r="T952" s="48"/>
      <c r="W952" s="70"/>
    </row>
    <row r="953" spans="2:23" x14ac:dyDescent="0.2">
      <c r="B953" s="48"/>
      <c r="E953" s="48"/>
      <c r="H953" s="48"/>
      <c r="K953" s="70"/>
      <c r="N953" s="48"/>
      <c r="Q953" s="48"/>
      <c r="T953" s="48"/>
      <c r="W953" s="70"/>
    </row>
    <row r="954" spans="2:23" x14ac:dyDescent="0.2">
      <c r="B954" s="48"/>
      <c r="E954" s="48"/>
      <c r="H954" s="48"/>
      <c r="K954" s="70"/>
      <c r="N954" s="48"/>
      <c r="Q954" s="48"/>
      <c r="T954" s="48"/>
      <c r="W954" s="70"/>
    </row>
    <row r="955" spans="2:23" x14ac:dyDescent="0.2">
      <c r="B955" s="48"/>
      <c r="E955" s="48"/>
      <c r="H955" s="48"/>
      <c r="K955" s="70"/>
      <c r="N955" s="48"/>
      <c r="Q955" s="48"/>
      <c r="T955" s="48"/>
      <c r="W955" s="70"/>
    </row>
    <row r="956" spans="2:23" x14ac:dyDescent="0.2">
      <c r="B956" s="48"/>
      <c r="E956" s="48"/>
      <c r="H956" s="48"/>
      <c r="K956" s="70"/>
      <c r="N956" s="48"/>
      <c r="Q956" s="48"/>
      <c r="T956" s="48"/>
      <c r="W956" s="70"/>
    </row>
    <row r="957" spans="2:23" x14ac:dyDescent="0.2">
      <c r="B957" s="48"/>
      <c r="E957" s="48"/>
      <c r="H957" s="48"/>
      <c r="K957" s="70"/>
      <c r="N957" s="48"/>
      <c r="Q957" s="48"/>
      <c r="T957" s="48"/>
      <c r="W957" s="70"/>
    </row>
    <row r="958" spans="2:23" x14ac:dyDescent="0.2">
      <c r="B958" s="48"/>
      <c r="E958" s="48"/>
      <c r="H958" s="48"/>
      <c r="K958" s="70"/>
      <c r="N958" s="48"/>
      <c r="Q958" s="48"/>
      <c r="T958" s="48"/>
      <c r="W958" s="70"/>
    </row>
    <row r="959" spans="2:23" x14ac:dyDescent="0.2">
      <c r="B959" s="48"/>
      <c r="E959" s="48"/>
      <c r="H959" s="48"/>
      <c r="K959" s="70"/>
      <c r="N959" s="48"/>
      <c r="Q959" s="48"/>
      <c r="T959" s="48"/>
      <c r="W959" s="70"/>
    </row>
    <row r="960" spans="2:23" x14ac:dyDescent="0.2">
      <c r="B960" s="48"/>
      <c r="E960" s="48"/>
      <c r="H960" s="48"/>
      <c r="K960" s="70"/>
      <c r="N960" s="48"/>
      <c r="Q960" s="48"/>
      <c r="T960" s="48"/>
      <c r="W960" s="70"/>
    </row>
    <row r="961" spans="2:23" x14ac:dyDescent="0.2">
      <c r="B961" s="48"/>
      <c r="E961" s="48"/>
      <c r="H961" s="48"/>
      <c r="K961" s="70"/>
      <c r="N961" s="48"/>
      <c r="Q961" s="48"/>
      <c r="T961" s="48"/>
      <c r="W961" s="70"/>
    </row>
    <row r="962" spans="2:23" x14ac:dyDescent="0.2">
      <c r="B962" s="48"/>
      <c r="E962" s="48"/>
      <c r="H962" s="48"/>
      <c r="K962" s="70"/>
      <c r="N962" s="48"/>
      <c r="Q962" s="48"/>
      <c r="T962" s="48"/>
      <c r="W962" s="70"/>
    </row>
    <row r="963" spans="2:23" x14ac:dyDescent="0.2">
      <c r="B963" s="48"/>
      <c r="E963" s="48"/>
      <c r="H963" s="48"/>
      <c r="K963" s="70"/>
      <c r="N963" s="48"/>
      <c r="Q963" s="48"/>
      <c r="T963" s="48"/>
      <c r="W963" s="70"/>
    </row>
    <row r="964" spans="2:23" x14ac:dyDescent="0.2">
      <c r="B964" s="48"/>
      <c r="E964" s="48"/>
      <c r="H964" s="48"/>
      <c r="K964" s="70"/>
      <c r="N964" s="48"/>
      <c r="Q964" s="48"/>
      <c r="T964" s="48"/>
      <c r="W964" s="70"/>
    </row>
    <row r="965" spans="2:23" x14ac:dyDescent="0.2">
      <c r="B965" s="48"/>
      <c r="E965" s="48"/>
      <c r="H965" s="48"/>
      <c r="K965" s="70"/>
      <c r="N965" s="48"/>
      <c r="Q965" s="48"/>
      <c r="T965" s="48"/>
      <c r="W965" s="70"/>
    </row>
    <row r="966" spans="2:23" x14ac:dyDescent="0.2">
      <c r="B966" s="48"/>
      <c r="E966" s="48"/>
      <c r="H966" s="48"/>
      <c r="K966" s="70"/>
      <c r="N966" s="48"/>
      <c r="Q966" s="48"/>
      <c r="T966" s="48"/>
      <c r="W966" s="70"/>
    </row>
    <row r="967" spans="2:23" x14ac:dyDescent="0.2">
      <c r="B967" s="48"/>
      <c r="E967" s="48"/>
      <c r="H967" s="48"/>
      <c r="K967" s="70"/>
      <c r="N967" s="48"/>
      <c r="Q967" s="48"/>
      <c r="T967" s="48"/>
      <c r="W967" s="70"/>
    </row>
    <row r="968" spans="2:23" x14ac:dyDescent="0.2">
      <c r="B968" s="48"/>
      <c r="E968" s="48"/>
      <c r="H968" s="48"/>
      <c r="K968" s="70"/>
      <c r="N968" s="48"/>
      <c r="Q968" s="48"/>
      <c r="T968" s="48"/>
      <c r="W968" s="70"/>
    </row>
    <row r="969" spans="2:23" x14ac:dyDescent="0.2">
      <c r="B969" s="48"/>
      <c r="E969" s="48"/>
      <c r="H969" s="48"/>
      <c r="K969" s="70"/>
      <c r="N969" s="48"/>
      <c r="Q969" s="48"/>
      <c r="T969" s="48"/>
      <c r="W969" s="70"/>
    </row>
    <row r="970" spans="2:23" x14ac:dyDescent="0.2">
      <c r="B970" s="48"/>
      <c r="E970" s="48"/>
      <c r="H970" s="48"/>
      <c r="K970" s="70"/>
      <c r="N970" s="48"/>
      <c r="Q970" s="48"/>
      <c r="T970" s="48"/>
      <c r="W970" s="70"/>
    </row>
    <row r="971" spans="2:23" x14ac:dyDescent="0.2">
      <c r="B971" s="48"/>
      <c r="E971" s="48"/>
      <c r="H971" s="48"/>
      <c r="K971" s="70"/>
      <c r="N971" s="48"/>
      <c r="Q971" s="48"/>
      <c r="T971" s="48"/>
      <c r="W971" s="70"/>
    </row>
    <row r="972" spans="2:23" x14ac:dyDescent="0.2">
      <c r="B972" s="48"/>
      <c r="E972" s="48"/>
      <c r="H972" s="48"/>
      <c r="K972" s="70"/>
      <c r="N972" s="48"/>
      <c r="Q972" s="48"/>
      <c r="T972" s="48"/>
      <c r="W972" s="70"/>
    </row>
    <row r="973" spans="2:23" x14ac:dyDescent="0.2">
      <c r="B973" s="48"/>
      <c r="E973" s="48"/>
      <c r="H973" s="48"/>
      <c r="K973" s="70"/>
      <c r="N973" s="48"/>
      <c r="Q973" s="48"/>
      <c r="T973" s="48"/>
      <c r="W973" s="70"/>
    </row>
    <row r="974" spans="2:23" x14ac:dyDescent="0.2">
      <c r="B974" s="48"/>
      <c r="E974" s="48"/>
      <c r="H974" s="48"/>
      <c r="K974" s="70"/>
      <c r="N974" s="48"/>
      <c r="Q974" s="48"/>
      <c r="T974" s="48"/>
      <c r="W974" s="70"/>
    </row>
    <row r="975" spans="2:23" x14ac:dyDescent="0.2">
      <c r="B975" s="48"/>
      <c r="E975" s="48"/>
      <c r="H975" s="48"/>
      <c r="K975" s="70"/>
      <c r="N975" s="48"/>
      <c r="Q975" s="48"/>
      <c r="T975" s="48"/>
      <c r="W975" s="70"/>
    </row>
    <row r="976" spans="2:23" x14ac:dyDescent="0.2">
      <c r="B976" s="48"/>
      <c r="E976" s="48"/>
      <c r="H976" s="48"/>
      <c r="K976" s="70"/>
      <c r="N976" s="48"/>
      <c r="Q976" s="48"/>
      <c r="T976" s="48"/>
      <c r="W976" s="70"/>
    </row>
    <row r="977" spans="2:23" x14ac:dyDescent="0.2">
      <c r="B977" s="48"/>
      <c r="E977" s="48"/>
      <c r="H977" s="48"/>
      <c r="K977" s="70"/>
      <c r="N977" s="48"/>
      <c r="Q977" s="48"/>
      <c r="T977" s="48"/>
      <c r="W977" s="70"/>
    </row>
    <row r="978" spans="2:23" x14ac:dyDescent="0.2">
      <c r="B978" s="48"/>
      <c r="E978" s="48"/>
      <c r="H978" s="48"/>
      <c r="K978" s="70"/>
      <c r="N978" s="48"/>
      <c r="Q978" s="48"/>
      <c r="T978" s="48"/>
      <c r="W978" s="70"/>
    </row>
    <row r="979" spans="2:23" x14ac:dyDescent="0.2">
      <c r="B979" s="48"/>
      <c r="E979" s="48"/>
      <c r="H979" s="48"/>
      <c r="K979" s="70"/>
      <c r="N979" s="48"/>
      <c r="Q979" s="48"/>
      <c r="T979" s="48"/>
      <c r="W979" s="70"/>
    </row>
    <row r="980" spans="2:23" x14ac:dyDescent="0.2">
      <c r="B980" s="48"/>
      <c r="E980" s="48"/>
      <c r="H980" s="48"/>
      <c r="K980" s="70"/>
      <c r="N980" s="48"/>
      <c r="Q980" s="48"/>
      <c r="T980" s="48"/>
      <c r="W980" s="70"/>
    </row>
    <row r="981" spans="2:23" x14ac:dyDescent="0.2">
      <c r="B981" s="48"/>
      <c r="E981" s="48"/>
      <c r="H981" s="48"/>
      <c r="K981" s="70"/>
      <c r="N981" s="48"/>
      <c r="Q981" s="48"/>
      <c r="T981" s="48"/>
      <c r="W981" s="70"/>
    </row>
    <row r="982" spans="2:23" x14ac:dyDescent="0.2">
      <c r="B982" s="48"/>
      <c r="E982" s="48"/>
      <c r="H982" s="48"/>
      <c r="K982" s="70"/>
      <c r="N982" s="48"/>
      <c r="Q982" s="48"/>
      <c r="T982" s="48"/>
      <c r="W982" s="70"/>
    </row>
    <row r="983" spans="2:23" x14ac:dyDescent="0.2">
      <c r="B983" s="48"/>
      <c r="E983" s="48"/>
      <c r="H983" s="48"/>
      <c r="K983" s="70"/>
      <c r="N983" s="48"/>
      <c r="Q983" s="48"/>
      <c r="T983" s="48"/>
      <c r="W983" s="70"/>
    </row>
    <row r="984" spans="2:23" x14ac:dyDescent="0.2">
      <c r="B984" s="48"/>
      <c r="E984" s="48"/>
      <c r="H984" s="48"/>
      <c r="K984" s="70"/>
      <c r="N984" s="48"/>
      <c r="Q984" s="48"/>
      <c r="T984" s="48"/>
      <c r="W984" s="70"/>
    </row>
    <row r="985" spans="2:23" x14ac:dyDescent="0.2">
      <c r="B985" s="48"/>
      <c r="E985" s="48"/>
      <c r="H985" s="48"/>
      <c r="K985" s="70"/>
      <c r="N985" s="48"/>
      <c r="Q985" s="48"/>
      <c r="T985" s="48"/>
      <c r="W985" s="70"/>
    </row>
    <row r="986" spans="2:23" x14ac:dyDescent="0.2">
      <c r="B986" s="48"/>
      <c r="E986" s="48"/>
      <c r="H986" s="48"/>
      <c r="K986" s="70"/>
      <c r="N986" s="48"/>
      <c r="Q986" s="48"/>
      <c r="T986" s="48"/>
      <c r="W986" s="70"/>
    </row>
    <row r="987" spans="2:23" x14ac:dyDescent="0.2">
      <c r="B987" s="48"/>
      <c r="E987" s="48"/>
      <c r="H987" s="48"/>
      <c r="K987" s="70"/>
      <c r="N987" s="48"/>
      <c r="Q987" s="48"/>
      <c r="T987" s="48"/>
      <c r="W987" s="70"/>
    </row>
    <row r="988" spans="2:23" x14ac:dyDescent="0.2">
      <c r="B988" s="48"/>
      <c r="E988" s="48"/>
      <c r="H988" s="48"/>
      <c r="K988" s="70"/>
      <c r="N988" s="48"/>
      <c r="Q988" s="48"/>
      <c r="T988" s="48"/>
      <c r="W988" s="70"/>
    </row>
    <row r="989" spans="2:23" x14ac:dyDescent="0.2">
      <c r="B989" s="48"/>
      <c r="E989" s="48"/>
      <c r="H989" s="48"/>
      <c r="K989" s="70"/>
      <c r="N989" s="48"/>
      <c r="Q989" s="48"/>
      <c r="T989" s="48"/>
      <c r="W989" s="70"/>
    </row>
    <row r="990" spans="2:23" x14ac:dyDescent="0.2">
      <c r="B990" s="48"/>
      <c r="E990" s="48"/>
      <c r="H990" s="48"/>
      <c r="K990" s="70"/>
      <c r="N990" s="48"/>
      <c r="Q990" s="48"/>
      <c r="T990" s="48"/>
      <c r="W990" s="70"/>
    </row>
    <row r="991" spans="2:23" x14ac:dyDescent="0.2">
      <c r="B991" s="48"/>
      <c r="E991" s="48"/>
      <c r="H991" s="48"/>
      <c r="K991" s="70"/>
      <c r="N991" s="48"/>
      <c r="Q991" s="48"/>
      <c r="T991" s="48"/>
      <c r="W991" s="70"/>
    </row>
    <row r="992" spans="2:23" x14ac:dyDescent="0.2">
      <c r="B992" s="48"/>
      <c r="E992" s="48"/>
      <c r="H992" s="48"/>
      <c r="K992" s="70"/>
      <c r="N992" s="48"/>
      <c r="Q992" s="48"/>
      <c r="T992" s="48"/>
      <c r="W992" s="70"/>
    </row>
    <row r="993" spans="2:23" x14ac:dyDescent="0.2">
      <c r="B993" s="48"/>
      <c r="E993" s="48"/>
      <c r="H993" s="48"/>
      <c r="K993" s="70"/>
      <c r="N993" s="48"/>
      <c r="Q993" s="48"/>
      <c r="T993" s="48"/>
      <c r="W993" s="70"/>
    </row>
    <row r="994" spans="2:23" x14ac:dyDescent="0.2">
      <c r="B994" s="48"/>
      <c r="E994" s="48"/>
      <c r="H994" s="48"/>
      <c r="K994" s="70"/>
      <c r="N994" s="48"/>
      <c r="Q994" s="48"/>
      <c r="T994" s="48"/>
      <c r="W994" s="70"/>
    </row>
    <row r="995" spans="2:23" x14ac:dyDescent="0.2">
      <c r="B995" s="48"/>
      <c r="E995" s="48"/>
      <c r="H995" s="48"/>
      <c r="K995" s="70"/>
      <c r="N995" s="48"/>
      <c r="Q995" s="48"/>
      <c r="T995" s="48"/>
      <c r="W995" s="70"/>
    </row>
    <row r="996" spans="2:23" x14ac:dyDescent="0.2">
      <c r="B996" s="48"/>
      <c r="E996" s="48"/>
      <c r="H996" s="48"/>
      <c r="K996" s="70"/>
      <c r="N996" s="48"/>
      <c r="Q996" s="48"/>
      <c r="T996" s="48"/>
      <c r="W996" s="70"/>
    </row>
    <row r="997" spans="2:23" x14ac:dyDescent="0.2">
      <c r="B997" s="48"/>
      <c r="E997" s="48"/>
      <c r="H997" s="48"/>
      <c r="K997" s="70"/>
      <c r="N997" s="48"/>
      <c r="Q997" s="48"/>
      <c r="T997" s="48"/>
      <c r="W997" s="70"/>
    </row>
    <row r="998" spans="2:23" x14ac:dyDescent="0.2">
      <c r="B998" s="48"/>
      <c r="E998" s="48"/>
      <c r="H998" s="48"/>
      <c r="K998" s="70"/>
      <c r="N998" s="48"/>
      <c r="Q998" s="48"/>
      <c r="T998" s="48"/>
      <c r="W998" s="70"/>
    </row>
    <row r="999" spans="2:23" x14ac:dyDescent="0.2">
      <c r="B999" s="48"/>
      <c r="E999" s="48"/>
      <c r="H999" s="48"/>
      <c r="K999" s="70"/>
      <c r="N999" s="48"/>
      <c r="Q999" s="48"/>
      <c r="T999" s="48"/>
      <c r="W999" s="70"/>
    </row>
    <row r="1000" spans="2:23" x14ac:dyDescent="0.2">
      <c r="B1000" s="48"/>
      <c r="E1000" s="48"/>
      <c r="H1000" s="48"/>
      <c r="K1000" s="70"/>
      <c r="N1000" s="48"/>
      <c r="Q1000" s="48"/>
      <c r="T1000" s="48"/>
      <c r="W1000" s="70"/>
    </row>
    <row r="1001" spans="2:23" x14ac:dyDescent="0.2">
      <c r="B1001" s="48"/>
      <c r="E1001" s="48"/>
      <c r="H1001" s="48"/>
      <c r="K1001" s="70"/>
      <c r="N1001" s="48"/>
      <c r="Q1001" s="48"/>
      <c r="T1001" s="48"/>
      <c r="W1001" s="70"/>
    </row>
    <row r="1002" spans="2:23" x14ac:dyDescent="0.2">
      <c r="B1002" s="48"/>
      <c r="E1002" s="48"/>
      <c r="H1002" s="48"/>
      <c r="K1002" s="70"/>
      <c r="N1002" s="48"/>
      <c r="Q1002" s="48"/>
      <c r="T1002" s="48"/>
      <c r="W1002" s="70"/>
    </row>
    <row r="1003" spans="2:23" x14ac:dyDescent="0.2">
      <c r="B1003" s="48"/>
      <c r="E1003" s="48"/>
      <c r="H1003" s="48"/>
      <c r="K1003" s="70"/>
      <c r="N1003" s="48"/>
      <c r="Q1003" s="48"/>
      <c r="T1003" s="48"/>
      <c r="W1003" s="70"/>
    </row>
    <row r="1004" spans="2:23" x14ac:dyDescent="0.2">
      <c r="B1004" s="48"/>
      <c r="E1004" s="48"/>
      <c r="H1004" s="48"/>
      <c r="K1004" s="70"/>
      <c r="N1004" s="48"/>
      <c r="Q1004" s="48"/>
      <c r="T1004" s="48"/>
      <c r="W1004" s="70"/>
    </row>
    <row r="1005" spans="2:23" x14ac:dyDescent="0.2">
      <c r="B1005" s="48"/>
      <c r="E1005" s="48"/>
      <c r="H1005" s="48"/>
      <c r="K1005" s="70"/>
      <c r="N1005" s="48"/>
      <c r="Q1005" s="48"/>
      <c r="T1005" s="48"/>
      <c r="W1005" s="70"/>
    </row>
    <row r="1006" spans="2:23" x14ac:dyDescent="0.2">
      <c r="B1006" s="48"/>
      <c r="E1006" s="48"/>
      <c r="H1006" s="48"/>
      <c r="K1006" s="70"/>
      <c r="N1006" s="48"/>
      <c r="Q1006" s="48"/>
      <c r="T1006" s="48"/>
      <c r="W1006" s="70"/>
    </row>
    <row r="1007" spans="2:23" x14ac:dyDescent="0.2">
      <c r="B1007" s="48"/>
      <c r="E1007" s="48"/>
      <c r="H1007" s="48"/>
      <c r="K1007" s="70"/>
      <c r="N1007" s="48"/>
      <c r="Q1007" s="48"/>
      <c r="T1007" s="48"/>
      <c r="W1007" s="70"/>
    </row>
    <row r="1008" spans="2:23" x14ac:dyDescent="0.2">
      <c r="B1008" s="48"/>
      <c r="E1008" s="48"/>
      <c r="H1008" s="48"/>
      <c r="K1008" s="70"/>
      <c r="N1008" s="48"/>
      <c r="Q1008" s="48"/>
      <c r="T1008" s="48"/>
      <c r="W1008" s="70"/>
    </row>
    <row r="1009" spans="2:23" x14ac:dyDescent="0.2">
      <c r="B1009" s="48"/>
      <c r="E1009" s="48"/>
      <c r="H1009" s="48"/>
      <c r="K1009" s="70"/>
      <c r="N1009" s="48"/>
      <c r="Q1009" s="48"/>
      <c r="T1009" s="48"/>
      <c r="W1009" s="70"/>
    </row>
    <row r="1010" spans="2:23" x14ac:dyDescent="0.2">
      <c r="B1010" s="48"/>
      <c r="E1010" s="48"/>
      <c r="H1010" s="48"/>
      <c r="K1010" s="70"/>
      <c r="N1010" s="48"/>
      <c r="Q1010" s="48"/>
      <c r="T1010" s="48"/>
      <c r="W1010" s="70"/>
    </row>
    <row r="1011" spans="2:23" x14ac:dyDescent="0.2">
      <c r="B1011" s="48"/>
      <c r="E1011" s="48"/>
      <c r="H1011" s="48"/>
      <c r="K1011" s="70"/>
      <c r="N1011" s="48"/>
      <c r="Q1011" s="48"/>
      <c r="T1011" s="48"/>
      <c r="W1011" s="70"/>
    </row>
    <row r="1012" spans="2:23" x14ac:dyDescent="0.2">
      <c r="B1012" s="48"/>
      <c r="E1012" s="48"/>
      <c r="H1012" s="48"/>
      <c r="K1012" s="70"/>
      <c r="N1012" s="48"/>
      <c r="Q1012" s="48"/>
      <c r="T1012" s="48"/>
      <c r="W1012" s="70"/>
    </row>
    <row r="1013" spans="2:23" x14ac:dyDescent="0.2">
      <c r="B1013" s="48"/>
      <c r="E1013" s="48"/>
      <c r="H1013" s="48"/>
      <c r="K1013" s="70"/>
      <c r="N1013" s="48"/>
      <c r="Q1013" s="48"/>
      <c r="T1013" s="48"/>
      <c r="W1013" s="70"/>
    </row>
    <row r="1014" spans="2:23" x14ac:dyDescent="0.2">
      <c r="B1014" s="48"/>
      <c r="E1014" s="48"/>
      <c r="H1014" s="48"/>
      <c r="K1014" s="70"/>
      <c r="N1014" s="48"/>
      <c r="Q1014" s="48"/>
      <c r="T1014" s="48"/>
      <c r="W1014" s="70"/>
    </row>
    <row r="1015" spans="2:23" x14ac:dyDescent="0.2">
      <c r="B1015" s="48"/>
      <c r="E1015" s="48"/>
      <c r="H1015" s="48"/>
      <c r="K1015" s="70"/>
      <c r="N1015" s="48"/>
      <c r="Q1015" s="48"/>
      <c r="T1015" s="48"/>
      <c r="W1015" s="70"/>
    </row>
    <row r="1016" spans="2:23" x14ac:dyDescent="0.2">
      <c r="B1016" s="48"/>
      <c r="E1016" s="48"/>
      <c r="H1016" s="48"/>
      <c r="K1016" s="70"/>
      <c r="N1016" s="48"/>
      <c r="Q1016" s="48"/>
      <c r="T1016" s="48"/>
      <c r="W1016" s="70"/>
    </row>
    <row r="1017" spans="2:23" x14ac:dyDescent="0.2">
      <c r="B1017" s="48"/>
      <c r="E1017" s="48"/>
      <c r="H1017" s="48"/>
      <c r="K1017" s="70"/>
      <c r="N1017" s="48"/>
      <c r="Q1017" s="48"/>
      <c r="T1017" s="48"/>
      <c r="W1017" s="70"/>
    </row>
    <row r="1018" spans="2:23" x14ac:dyDescent="0.2">
      <c r="B1018" s="48"/>
      <c r="E1018" s="48"/>
      <c r="H1018" s="48"/>
      <c r="K1018" s="70"/>
      <c r="N1018" s="48"/>
      <c r="Q1018" s="48"/>
      <c r="T1018" s="48"/>
      <c r="W1018" s="70"/>
    </row>
    <row r="1019" spans="2:23" x14ac:dyDescent="0.2">
      <c r="B1019" s="48"/>
      <c r="E1019" s="48"/>
      <c r="H1019" s="48"/>
      <c r="K1019" s="70"/>
      <c r="N1019" s="48"/>
      <c r="Q1019" s="48"/>
      <c r="T1019" s="48"/>
      <c r="W1019" s="70"/>
    </row>
    <row r="1020" spans="2:23" x14ac:dyDescent="0.2">
      <c r="B1020" s="48"/>
      <c r="E1020" s="48"/>
      <c r="H1020" s="48"/>
      <c r="K1020" s="70"/>
      <c r="N1020" s="48"/>
      <c r="Q1020" s="48"/>
      <c r="T1020" s="48"/>
      <c r="W1020" s="70"/>
    </row>
    <row r="1021" spans="2:23" x14ac:dyDescent="0.2">
      <c r="B1021" s="48"/>
      <c r="E1021" s="48"/>
      <c r="H1021" s="48"/>
      <c r="K1021" s="70"/>
      <c r="N1021" s="48"/>
      <c r="Q1021" s="48"/>
      <c r="T1021" s="48"/>
      <c r="W1021" s="70"/>
    </row>
    <row r="1022" spans="2:23" x14ac:dyDescent="0.2">
      <c r="B1022" s="48"/>
      <c r="E1022" s="48"/>
      <c r="H1022" s="48"/>
      <c r="K1022" s="70"/>
      <c r="N1022" s="48"/>
      <c r="Q1022" s="48"/>
      <c r="T1022" s="48"/>
      <c r="W1022" s="70"/>
    </row>
    <row r="1023" spans="2:23" x14ac:dyDescent="0.2">
      <c r="B1023" s="48"/>
      <c r="E1023" s="48"/>
      <c r="H1023" s="48"/>
      <c r="K1023" s="70"/>
      <c r="N1023" s="48"/>
      <c r="Q1023" s="48"/>
      <c r="T1023" s="48"/>
      <c r="W1023" s="70"/>
    </row>
    <row r="1024" spans="2:23" x14ac:dyDescent="0.2">
      <c r="B1024" s="48"/>
      <c r="E1024" s="48"/>
      <c r="H1024" s="48"/>
      <c r="K1024" s="70"/>
      <c r="N1024" s="48"/>
      <c r="Q1024" s="48"/>
      <c r="T1024" s="48"/>
      <c r="W1024" s="70"/>
    </row>
    <row r="1025" spans="2:23" x14ac:dyDescent="0.2">
      <c r="B1025" s="48"/>
      <c r="E1025" s="48"/>
      <c r="H1025" s="48"/>
      <c r="K1025" s="70"/>
      <c r="N1025" s="48"/>
      <c r="Q1025" s="48"/>
      <c r="T1025" s="48"/>
      <c r="W1025" s="70"/>
    </row>
    <row r="1026" spans="2:23" x14ac:dyDescent="0.2">
      <c r="B1026" s="48"/>
      <c r="E1026" s="48"/>
      <c r="H1026" s="48"/>
      <c r="K1026" s="70"/>
      <c r="N1026" s="48"/>
      <c r="Q1026" s="48"/>
      <c r="T1026" s="48"/>
      <c r="W1026" s="70"/>
    </row>
    <row r="1027" spans="2:23" x14ac:dyDescent="0.2">
      <c r="B1027" s="48"/>
      <c r="E1027" s="48"/>
      <c r="H1027" s="48"/>
      <c r="K1027" s="70"/>
      <c r="N1027" s="48"/>
      <c r="Q1027" s="48"/>
      <c r="T1027" s="48"/>
      <c r="W1027" s="70"/>
    </row>
    <row r="1028" spans="2:23" x14ac:dyDescent="0.2">
      <c r="B1028" s="48"/>
      <c r="E1028" s="48"/>
      <c r="H1028" s="48"/>
      <c r="K1028" s="70"/>
      <c r="N1028" s="48"/>
      <c r="Q1028" s="48"/>
      <c r="T1028" s="48"/>
      <c r="W1028" s="70"/>
    </row>
    <row r="1029" spans="2:23" x14ac:dyDescent="0.2">
      <c r="B1029" s="48"/>
      <c r="E1029" s="48"/>
      <c r="H1029" s="48"/>
      <c r="K1029" s="70"/>
      <c r="N1029" s="48"/>
      <c r="Q1029" s="48"/>
      <c r="T1029" s="48"/>
      <c r="W1029" s="70"/>
    </row>
    <row r="1030" spans="2:23" x14ac:dyDescent="0.2">
      <c r="B1030" s="48"/>
      <c r="E1030" s="48"/>
      <c r="H1030" s="48"/>
      <c r="K1030" s="70"/>
      <c r="N1030" s="48"/>
      <c r="Q1030" s="48"/>
      <c r="T1030" s="48"/>
      <c r="W1030" s="70"/>
    </row>
    <row r="1031" spans="2:23" x14ac:dyDescent="0.2">
      <c r="B1031" s="48"/>
      <c r="E1031" s="48"/>
      <c r="H1031" s="48"/>
      <c r="K1031" s="70"/>
      <c r="N1031" s="48"/>
      <c r="Q1031" s="48"/>
      <c r="T1031" s="48"/>
      <c r="W1031" s="70"/>
    </row>
    <row r="1032" spans="2:23" x14ac:dyDescent="0.2">
      <c r="B1032" s="48"/>
      <c r="E1032" s="48"/>
      <c r="H1032" s="48"/>
      <c r="K1032" s="70"/>
      <c r="N1032" s="48"/>
      <c r="Q1032" s="48"/>
      <c r="T1032" s="48"/>
      <c r="W1032" s="70"/>
    </row>
    <row r="1033" spans="2:23" x14ac:dyDescent="0.2">
      <c r="B1033" s="48"/>
      <c r="E1033" s="48"/>
      <c r="H1033" s="48"/>
      <c r="K1033" s="70"/>
      <c r="N1033" s="48"/>
      <c r="Q1033" s="48"/>
      <c r="T1033" s="48"/>
      <c r="W1033" s="70"/>
    </row>
    <row r="1034" spans="2:23" x14ac:dyDescent="0.2">
      <c r="B1034" s="48"/>
      <c r="E1034" s="48"/>
      <c r="H1034" s="48"/>
      <c r="K1034" s="70"/>
      <c r="N1034" s="48"/>
      <c r="Q1034" s="48"/>
      <c r="T1034" s="48"/>
      <c r="W1034" s="70"/>
    </row>
    <row r="1035" spans="2:23" x14ac:dyDescent="0.2">
      <c r="B1035" s="48"/>
      <c r="E1035" s="48"/>
      <c r="H1035" s="48"/>
      <c r="K1035" s="70"/>
      <c r="N1035" s="48"/>
      <c r="Q1035" s="48"/>
      <c r="T1035" s="48"/>
      <c r="W1035" s="70"/>
    </row>
    <row r="1036" spans="2:23" x14ac:dyDescent="0.2">
      <c r="B1036" s="48"/>
      <c r="E1036" s="48"/>
      <c r="H1036" s="48"/>
      <c r="K1036" s="70"/>
      <c r="N1036" s="48"/>
      <c r="Q1036" s="48"/>
      <c r="T1036" s="48"/>
      <c r="W1036" s="70"/>
    </row>
    <row r="1037" spans="2:23" x14ac:dyDescent="0.2">
      <c r="B1037" s="48"/>
      <c r="E1037" s="48"/>
      <c r="H1037" s="48"/>
      <c r="K1037" s="70"/>
      <c r="N1037" s="48"/>
      <c r="Q1037" s="48"/>
      <c r="T1037" s="48"/>
      <c r="W1037" s="70"/>
    </row>
    <row r="1038" spans="2:23" x14ac:dyDescent="0.2">
      <c r="B1038" s="48"/>
      <c r="E1038" s="48"/>
      <c r="H1038" s="48"/>
      <c r="K1038" s="70"/>
      <c r="N1038" s="48"/>
      <c r="Q1038" s="48"/>
      <c r="T1038" s="48"/>
      <c r="W1038" s="70"/>
    </row>
    <row r="1039" spans="2:23" x14ac:dyDescent="0.2">
      <c r="B1039" s="48"/>
      <c r="E1039" s="48"/>
      <c r="H1039" s="48"/>
      <c r="K1039" s="70"/>
      <c r="N1039" s="48"/>
      <c r="Q1039" s="48"/>
      <c r="T1039" s="48"/>
      <c r="W1039" s="70"/>
    </row>
    <row r="1040" spans="2:23" x14ac:dyDescent="0.2">
      <c r="B1040" s="48"/>
      <c r="E1040" s="48"/>
      <c r="H1040" s="48"/>
      <c r="K1040" s="70"/>
      <c r="N1040" s="48"/>
      <c r="Q1040" s="48"/>
      <c r="T1040" s="48"/>
      <c r="W1040" s="70"/>
    </row>
    <row r="1041" spans="2:23" x14ac:dyDescent="0.2">
      <c r="B1041" s="48"/>
      <c r="E1041" s="48"/>
      <c r="H1041" s="48"/>
      <c r="K1041" s="70"/>
      <c r="N1041" s="48"/>
      <c r="Q1041" s="48"/>
      <c r="T1041" s="48"/>
      <c r="W1041" s="70"/>
    </row>
    <row r="1042" spans="2:23" x14ac:dyDescent="0.2">
      <c r="B1042" s="48"/>
      <c r="E1042" s="48"/>
      <c r="H1042" s="48"/>
      <c r="K1042" s="70"/>
      <c r="N1042" s="48"/>
      <c r="Q1042" s="48"/>
      <c r="T1042" s="48"/>
      <c r="W1042" s="70"/>
    </row>
    <row r="1043" spans="2:23" x14ac:dyDescent="0.2">
      <c r="B1043" s="48"/>
      <c r="E1043" s="48"/>
      <c r="H1043" s="48"/>
      <c r="K1043" s="70"/>
      <c r="N1043" s="48"/>
      <c r="Q1043" s="48"/>
      <c r="T1043" s="48"/>
      <c r="W1043" s="70"/>
    </row>
    <row r="1044" spans="2:23" x14ac:dyDescent="0.2">
      <c r="B1044" s="48"/>
      <c r="E1044" s="48"/>
      <c r="H1044" s="48"/>
      <c r="K1044" s="70"/>
      <c r="N1044" s="48"/>
      <c r="Q1044" s="48"/>
      <c r="T1044" s="48"/>
      <c r="W1044" s="70"/>
    </row>
    <row r="1045" spans="2:23" x14ac:dyDescent="0.2">
      <c r="B1045" s="48"/>
      <c r="E1045" s="48"/>
      <c r="H1045" s="48"/>
      <c r="K1045" s="70"/>
      <c r="N1045" s="48"/>
      <c r="Q1045" s="48"/>
      <c r="T1045" s="48"/>
      <c r="W1045" s="70"/>
    </row>
    <row r="1046" spans="2:23" x14ac:dyDescent="0.2">
      <c r="B1046" s="48"/>
      <c r="E1046" s="48"/>
      <c r="H1046" s="48"/>
      <c r="K1046" s="70"/>
      <c r="N1046" s="48"/>
      <c r="Q1046" s="48"/>
      <c r="T1046" s="48"/>
      <c r="W1046" s="70"/>
    </row>
    <row r="1047" spans="2:23" x14ac:dyDescent="0.2">
      <c r="B1047" s="48"/>
      <c r="E1047" s="48"/>
      <c r="H1047" s="48"/>
      <c r="K1047" s="70"/>
      <c r="N1047" s="48"/>
      <c r="Q1047" s="48"/>
      <c r="T1047" s="48"/>
      <c r="W1047" s="70"/>
    </row>
    <row r="1048" spans="2:23" x14ac:dyDescent="0.2">
      <c r="B1048" s="48"/>
      <c r="E1048" s="48"/>
      <c r="H1048" s="48"/>
      <c r="K1048" s="70"/>
      <c r="N1048" s="48"/>
      <c r="Q1048" s="48"/>
      <c r="T1048" s="48"/>
      <c r="W1048" s="70"/>
    </row>
    <row r="1049" spans="2:23" x14ac:dyDescent="0.2">
      <c r="B1049" s="48"/>
      <c r="E1049" s="48"/>
      <c r="H1049" s="48"/>
      <c r="K1049" s="70"/>
      <c r="N1049" s="48"/>
      <c r="Q1049" s="48"/>
      <c r="T1049" s="48"/>
      <c r="W1049" s="70"/>
    </row>
    <row r="1050" spans="2:23" x14ac:dyDescent="0.2">
      <c r="B1050" s="48"/>
      <c r="E1050" s="48"/>
      <c r="H1050" s="48"/>
      <c r="K1050" s="70"/>
      <c r="N1050" s="48"/>
      <c r="Q1050" s="48"/>
      <c r="T1050" s="48"/>
      <c r="W1050" s="70"/>
    </row>
    <row r="1051" spans="2:23" x14ac:dyDescent="0.2">
      <c r="B1051" s="48"/>
      <c r="E1051" s="48"/>
      <c r="H1051" s="48"/>
      <c r="K1051" s="70"/>
      <c r="N1051" s="48"/>
      <c r="Q1051" s="48"/>
      <c r="T1051" s="48"/>
      <c r="W1051" s="70"/>
    </row>
    <row r="1052" spans="2:23" x14ac:dyDescent="0.2">
      <c r="B1052" s="48"/>
      <c r="E1052" s="48"/>
      <c r="H1052" s="48"/>
      <c r="K1052" s="70"/>
      <c r="N1052" s="48"/>
      <c r="Q1052" s="48"/>
      <c r="T1052" s="48"/>
      <c r="W1052" s="70"/>
    </row>
    <row r="1053" spans="2:23" x14ac:dyDescent="0.2">
      <c r="B1053" s="48"/>
      <c r="E1053" s="48"/>
      <c r="H1053" s="48"/>
      <c r="K1053" s="70"/>
      <c r="N1053" s="48"/>
      <c r="Q1053" s="48"/>
      <c r="T1053" s="48"/>
      <c r="W1053" s="70"/>
    </row>
    <row r="1054" spans="2:23" x14ac:dyDescent="0.2">
      <c r="B1054" s="48"/>
      <c r="E1054" s="48"/>
      <c r="H1054" s="48"/>
      <c r="K1054" s="70"/>
      <c r="N1054" s="48"/>
      <c r="Q1054" s="48"/>
      <c r="T1054" s="48"/>
      <c r="W1054" s="70"/>
    </row>
    <row r="1055" spans="2:23" x14ac:dyDescent="0.2">
      <c r="B1055" s="48"/>
      <c r="E1055" s="48"/>
      <c r="H1055" s="48"/>
      <c r="K1055" s="70"/>
      <c r="N1055" s="48"/>
      <c r="Q1055" s="48"/>
      <c r="T1055" s="48"/>
      <c r="W1055" s="70"/>
    </row>
    <row r="1056" spans="2:23" x14ac:dyDescent="0.2">
      <c r="B1056" s="48"/>
      <c r="E1056" s="48"/>
      <c r="H1056" s="48"/>
      <c r="K1056" s="70"/>
      <c r="N1056" s="48"/>
      <c r="Q1056" s="48"/>
      <c r="T1056" s="48"/>
      <c r="W1056" s="70"/>
    </row>
    <row r="1057" spans="2:23" x14ac:dyDescent="0.2">
      <c r="B1057" s="48"/>
      <c r="E1057" s="48"/>
      <c r="H1057" s="48"/>
      <c r="K1057" s="70"/>
      <c r="N1057" s="48"/>
      <c r="Q1057" s="48"/>
      <c r="T1057" s="48"/>
      <c r="W1057" s="70"/>
    </row>
    <row r="1058" spans="2:23" x14ac:dyDescent="0.2">
      <c r="B1058" s="48"/>
      <c r="E1058" s="48"/>
      <c r="H1058" s="48"/>
      <c r="K1058" s="70"/>
      <c r="N1058" s="48"/>
      <c r="Q1058" s="48"/>
      <c r="T1058" s="48"/>
      <c r="W1058" s="70"/>
    </row>
    <row r="1059" spans="2:23" x14ac:dyDescent="0.2">
      <c r="B1059" s="48"/>
      <c r="E1059" s="48"/>
      <c r="H1059" s="48"/>
      <c r="K1059" s="70"/>
      <c r="N1059" s="48"/>
      <c r="Q1059" s="48"/>
      <c r="T1059" s="48"/>
      <c r="W1059" s="70"/>
    </row>
    <row r="1060" spans="2:23" x14ac:dyDescent="0.2">
      <c r="B1060" s="48"/>
      <c r="E1060" s="48"/>
      <c r="H1060" s="48"/>
      <c r="K1060" s="70"/>
      <c r="N1060" s="48"/>
      <c r="Q1060" s="48"/>
      <c r="T1060" s="48"/>
      <c r="W1060" s="70"/>
    </row>
    <row r="1061" spans="2:23" x14ac:dyDescent="0.2">
      <c r="B1061" s="48"/>
      <c r="E1061" s="48"/>
      <c r="H1061" s="48"/>
      <c r="K1061" s="70"/>
      <c r="N1061" s="48"/>
      <c r="Q1061" s="48"/>
      <c r="T1061" s="48"/>
      <c r="W1061" s="70"/>
    </row>
    <row r="1062" spans="2:23" x14ac:dyDescent="0.2">
      <c r="B1062" s="48"/>
      <c r="E1062" s="48"/>
      <c r="H1062" s="48"/>
      <c r="K1062" s="70"/>
      <c r="N1062" s="48"/>
      <c r="Q1062" s="48"/>
      <c r="T1062" s="48"/>
      <c r="W1062" s="70"/>
    </row>
    <row r="1063" spans="2:23" x14ac:dyDescent="0.2">
      <c r="B1063" s="48"/>
      <c r="E1063" s="48"/>
      <c r="H1063" s="48"/>
      <c r="K1063" s="70"/>
      <c r="N1063" s="48"/>
      <c r="Q1063" s="48"/>
      <c r="T1063" s="48"/>
      <c r="W1063" s="70"/>
    </row>
    <row r="1064" spans="2:23" x14ac:dyDescent="0.2">
      <c r="B1064" s="48"/>
      <c r="E1064" s="48"/>
      <c r="H1064" s="48"/>
      <c r="K1064" s="70"/>
      <c r="N1064" s="48"/>
      <c r="Q1064" s="48"/>
      <c r="T1064" s="48"/>
      <c r="W1064" s="70"/>
    </row>
    <row r="1065" spans="2:23" x14ac:dyDescent="0.2">
      <c r="B1065" s="48"/>
      <c r="E1065" s="48"/>
      <c r="H1065" s="48"/>
      <c r="K1065" s="70"/>
      <c r="N1065" s="48"/>
      <c r="Q1065" s="48"/>
      <c r="T1065" s="48"/>
      <c r="W1065" s="70"/>
    </row>
    <row r="1066" spans="2:23" x14ac:dyDescent="0.2">
      <c r="B1066" s="48"/>
      <c r="E1066" s="48"/>
      <c r="H1066" s="48"/>
      <c r="K1066" s="70"/>
      <c r="N1066" s="48"/>
      <c r="Q1066" s="48"/>
      <c r="T1066" s="48"/>
      <c r="W1066" s="70"/>
    </row>
    <row r="1067" spans="2:23" x14ac:dyDescent="0.2">
      <c r="B1067" s="48"/>
      <c r="E1067" s="48"/>
      <c r="H1067" s="48"/>
      <c r="K1067" s="70"/>
      <c r="N1067" s="48"/>
      <c r="Q1067" s="48"/>
      <c r="T1067" s="48"/>
      <c r="W1067" s="70"/>
    </row>
    <row r="1068" spans="2:23" x14ac:dyDescent="0.2">
      <c r="B1068" s="48"/>
      <c r="E1068" s="48"/>
      <c r="H1068" s="48"/>
      <c r="K1068" s="70"/>
      <c r="N1068" s="48"/>
      <c r="Q1068" s="48"/>
      <c r="T1068" s="48"/>
      <c r="W1068" s="70"/>
    </row>
    <row r="1069" spans="2:23" x14ac:dyDescent="0.2">
      <c r="B1069" s="48"/>
      <c r="E1069" s="48"/>
      <c r="H1069" s="48"/>
      <c r="K1069" s="70"/>
      <c r="N1069" s="48"/>
      <c r="Q1069" s="48"/>
      <c r="T1069" s="48"/>
      <c r="W1069" s="70"/>
    </row>
    <row r="1070" spans="2:23" x14ac:dyDescent="0.2">
      <c r="B1070" s="48"/>
      <c r="E1070" s="48"/>
      <c r="H1070" s="48"/>
      <c r="K1070" s="70"/>
      <c r="N1070" s="48"/>
      <c r="Q1070" s="48"/>
      <c r="T1070" s="48"/>
      <c r="W1070" s="70"/>
    </row>
    <row r="1071" spans="2:23" x14ac:dyDescent="0.2">
      <c r="B1071" s="48"/>
      <c r="E1071" s="48"/>
      <c r="H1071" s="48"/>
      <c r="K1071" s="70"/>
      <c r="N1071" s="48"/>
      <c r="Q1071" s="48"/>
      <c r="T1071" s="48"/>
      <c r="W1071" s="70"/>
    </row>
    <row r="1072" spans="2:23" x14ac:dyDescent="0.2">
      <c r="B1072" s="48"/>
      <c r="E1072" s="48"/>
      <c r="H1072" s="48"/>
      <c r="K1072" s="70"/>
      <c r="N1072" s="48"/>
      <c r="Q1072" s="48"/>
      <c r="T1072" s="48"/>
      <c r="W1072" s="70"/>
    </row>
    <row r="1073" spans="2:23" x14ac:dyDescent="0.2">
      <c r="B1073" s="48"/>
      <c r="E1073" s="48"/>
      <c r="H1073" s="48"/>
      <c r="K1073" s="70"/>
      <c r="N1073" s="48"/>
      <c r="Q1073" s="48"/>
      <c r="T1073" s="48"/>
      <c r="W1073" s="70"/>
    </row>
    <row r="1074" spans="2:23" x14ac:dyDescent="0.2">
      <c r="B1074" s="48"/>
      <c r="E1074" s="48"/>
      <c r="H1074" s="48"/>
      <c r="K1074" s="70"/>
      <c r="N1074" s="48"/>
      <c r="Q1074" s="48"/>
      <c r="T1074" s="48"/>
      <c r="W1074" s="70"/>
    </row>
    <row r="1075" spans="2:23" x14ac:dyDescent="0.2">
      <c r="B1075" s="48"/>
      <c r="E1075" s="48"/>
      <c r="H1075" s="48"/>
      <c r="K1075" s="70"/>
      <c r="N1075" s="48"/>
      <c r="Q1075" s="48"/>
      <c r="T1075" s="48"/>
      <c r="W1075" s="70"/>
    </row>
    <row r="1076" spans="2:23" x14ac:dyDescent="0.2">
      <c r="B1076" s="48"/>
      <c r="E1076" s="48"/>
      <c r="H1076" s="48"/>
      <c r="K1076" s="70"/>
      <c r="N1076" s="48"/>
      <c r="Q1076" s="48"/>
      <c r="T1076" s="48"/>
      <c r="W1076" s="70"/>
    </row>
    <row r="1077" spans="2:23" x14ac:dyDescent="0.2">
      <c r="B1077" s="48"/>
      <c r="E1077" s="48"/>
      <c r="H1077" s="48"/>
      <c r="K1077" s="70"/>
      <c r="N1077" s="48"/>
      <c r="Q1077" s="48"/>
      <c r="T1077" s="48"/>
      <c r="W1077" s="70"/>
    </row>
    <row r="1078" spans="2:23" x14ac:dyDescent="0.2">
      <c r="B1078" s="48"/>
      <c r="E1078" s="48"/>
      <c r="H1078" s="48"/>
      <c r="K1078" s="70"/>
      <c r="N1078" s="48"/>
      <c r="Q1078" s="48"/>
      <c r="T1078" s="48"/>
      <c r="W1078" s="70"/>
    </row>
    <row r="1079" spans="2:23" x14ac:dyDescent="0.2">
      <c r="B1079" s="48"/>
      <c r="E1079" s="48"/>
      <c r="H1079" s="48"/>
      <c r="K1079" s="70"/>
      <c r="N1079" s="48"/>
      <c r="Q1079" s="48"/>
      <c r="T1079" s="48"/>
      <c r="W1079" s="70"/>
    </row>
    <row r="1080" spans="2:23" x14ac:dyDescent="0.2">
      <c r="B1080" s="48"/>
      <c r="E1080" s="48"/>
      <c r="H1080" s="48"/>
      <c r="K1080" s="70"/>
      <c r="N1080" s="48"/>
      <c r="Q1080" s="48"/>
      <c r="T1080" s="48"/>
      <c r="W1080" s="70"/>
    </row>
    <row r="1081" spans="2:23" x14ac:dyDescent="0.2">
      <c r="B1081" s="48"/>
      <c r="E1081" s="48"/>
      <c r="H1081" s="48"/>
      <c r="K1081" s="70"/>
      <c r="N1081" s="48"/>
      <c r="Q1081" s="48"/>
      <c r="T1081" s="48"/>
      <c r="W1081" s="70"/>
    </row>
    <row r="1082" spans="2:23" x14ac:dyDescent="0.2">
      <c r="B1082" s="48"/>
      <c r="E1082" s="48"/>
      <c r="H1082" s="48"/>
      <c r="K1082" s="70"/>
      <c r="N1082" s="48"/>
      <c r="Q1082" s="48"/>
      <c r="T1082" s="48"/>
      <c r="W1082" s="70"/>
    </row>
    <row r="1083" spans="2:23" x14ac:dyDescent="0.2">
      <c r="B1083" s="48"/>
      <c r="E1083" s="48"/>
      <c r="H1083" s="48"/>
      <c r="K1083" s="70"/>
      <c r="N1083" s="48"/>
      <c r="Q1083" s="48"/>
      <c r="T1083" s="48"/>
      <c r="W1083" s="70"/>
    </row>
    <row r="1084" spans="2:23" x14ac:dyDescent="0.2">
      <c r="B1084" s="48"/>
      <c r="E1084" s="48"/>
      <c r="H1084" s="48"/>
      <c r="K1084" s="70"/>
      <c r="N1084" s="48"/>
      <c r="Q1084" s="48"/>
      <c r="T1084" s="48"/>
      <c r="W1084" s="70"/>
    </row>
    <row r="1085" spans="2:23" x14ac:dyDescent="0.2">
      <c r="B1085" s="48"/>
      <c r="E1085" s="48"/>
      <c r="H1085" s="48"/>
      <c r="K1085" s="70"/>
      <c r="N1085" s="48"/>
      <c r="Q1085" s="48"/>
      <c r="T1085" s="48"/>
      <c r="W1085" s="70"/>
    </row>
    <row r="1086" spans="2:23" x14ac:dyDescent="0.2">
      <c r="B1086" s="48"/>
      <c r="E1086" s="48"/>
      <c r="H1086" s="48"/>
      <c r="K1086" s="70"/>
      <c r="N1086" s="48"/>
      <c r="Q1086" s="48"/>
      <c r="T1086" s="48"/>
      <c r="W1086" s="70"/>
    </row>
    <row r="1087" spans="2:23" x14ac:dyDescent="0.2">
      <c r="B1087" s="48"/>
      <c r="E1087" s="48"/>
      <c r="H1087" s="48"/>
      <c r="K1087" s="70"/>
      <c r="N1087" s="48"/>
      <c r="Q1087" s="48"/>
      <c r="T1087" s="48"/>
      <c r="W1087" s="70"/>
    </row>
    <row r="1088" spans="2:23" x14ac:dyDescent="0.2">
      <c r="B1088" s="48"/>
      <c r="E1088" s="48"/>
      <c r="H1088" s="48"/>
      <c r="K1088" s="70"/>
      <c r="N1088" s="48"/>
      <c r="Q1088" s="48"/>
      <c r="T1088" s="48"/>
      <c r="W1088" s="70"/>
    </row>
    <row r="1089" spans="2:23" x14ac:dyDescent="0.2">
      <c r="B1089" s="48"/>
      <c r="E1089" s="48"/>
      <c r="H1089" s="48"/>
      <c r="K1089" s="70"/>
      <c r="N1089" s="48"/>
      <c r="Q1089" s="48"/>
      <c r="T1089" s="48"/>
      <c r="W1089" s="70"/>
    </row>
    <row r="1090" spans="2:23" x14ac:dyDescent="0.2">
      <c r="B1090" s="48"/>
      <c r="E1090" s="48"/>
      <c r="H1090" s="48"/>
      <c r="K1090" s="70"/>
      <c r="N1090" s="48"/>
      <c r="Q1090" s="48"/>
      <c r="T1090" s="48"/>
      <c r="W1090" s="70"/>
    </row>
    <row r="1091" spans="2:23" x14ac:dyDescent="0.2">
      <c r="B1091" s="48"/>
      <c r="E1091" s="48"/>
      <c r="H1091" s="48"/>
      <c r="K1091" s="70"/>
      <c r="N1091" s="48"/>
      <c r="Q1091" s="48"/>
      <c r="T1091" s="48"/>
      <c r="W1091" s="70"/>
    </row>
    <row r="1092" spans="2:23" x14ac:dyDescent="0.2">
      <c r="B1092" s="48"/>
      <c r="E1092" s="48"/>
      <c r="H1092" s="48"/>
      <c r="K1092" s="70"/>
      <c r="N1092" s="48"/>
      <c r="Q1092" s="48"/>
      <c r="T1092" s="48"/>
      <c r="W1092" s="70"/>
    </row>
    <row r="1093" spans="2:23" x14ac:dyDescent="0.2">
      <c r="B1093" s="48"/>
      <c r="E1093" s="48"/>
      <c r="H1093" s="48"/>
      <c r="K1093" s="70"/>
      <c r="N1093" s="48"/>
      <c r="Q1093" s="48"/>
      <c r="T1093" s="48"/>
      <c r="W1093" s="70"/>
    </row>
    <row r="1094" spans="2:23" x14ac:dyDescent="0.2">
      <c r="B1094" s="48"/>
      <c r="E1094" s="48"/>
      <c r="H1094" s="48"/>
      <c r="K1094" s="70"/>
      <c r="N1094" s="48"/>
      <c r="Q1094" s="48"/>
      <c r="T1094" s="48"/>
      <c r="W1094" s="70"/>
    </row>
    <row r="1095" spans="2:23" x14ac:dyDescent="0.2">
      <c r="B1095" s="48"/>
      <c r="E1095" s="48"/>
      <c r="H1095" s="48"/>
      <c r="K1095" s="70"/>
      <c r="N1095" s="48"/>
      <c r="Q1095" s="48"/>
      <c r="T1095" s="48"/>
      <c r="W1095" s="70"/>
    </row>
    <row r="1096" spans="2:23" x14ac:dyDescent="0.2">
      <c r="B1096" s="48"/>
      <c r="E1096" s="48"/>
      <c r="H1096" s="48"/>
      <c r="K1096" s="70"/>
      <c r="N1096" s="48"/>
      <c r="Q1096" s="48"/>
      <c r="T1096" s="48"/>
      <c r="W1096" s="70"/>
    </row>
    <row r="1097" spans="2:23" x14ac:dyDescent="0.2">
      <c r="B1097" s="48"/>
      <c r="E1097" s="48"/>
      <c r="H1097" s="48"/>
      <c r="K1097" s="70"/>
      <c r="N1097" s="48"/>
      <c r="Q1097" s="48"/>
      <c r="T1097" s="48"/>
      <c r="W1097" s="70"/>
    </row>
    <row r="1098" spans="2:23" x14ac:dyDescent="0.2">
      <c r="B1098" s="48"/>
      <c r="E1098" s="48"/>
      <c r="H1098" s="48"/>
      <c r="K1098" s="70"/>
      <c r="N1098" s="48"/>
      <c r="Q1098" s="48"/>
      <c r="T1098" s="48"/>
      <c r="W1098" s="70"/>
    </row>
    <row r="1099" spans="2:23" x14ac:dyDescent="0.2">
      <c r="B1099" s="48"/>
      <c r="E1099" s="48"/>
      <c r="H1099" s="48"/>
      <c r="K1099" s="70"/>
      <c r="N1099" s="48"/>
      <c r="Q1099" s="48"/>
      <c r="T1099" s="48"/>
      <c r="W1099" s="70"/>
    </row>
    <row r="1100" spans="2:23" x14ac:dyDescent="0.2">
      <c r="B1100" s="48"/>
      <c r="E1100" s="48"/>
      <c r="H1100" s="48"/>
      <c r="K1100" s="70"/>
      <c r="N1100" s="48"/>
      <c r="Q1100" s="48"/>
      <c r="T1100" s="48"/>
      <c r="W1100" s="70"/>
    </row>
    <row r="1101" spans="2:23" x14ac:dyDescent="0.2">
      <c r="B1101" s="48"/>
      <c r="E1101" s="48"/>
      <c r="H1101" s="48"/>
      <c r="K1101" s="70"/>
      <c r="N1101" s="48"/>
      <c r="Q1101" s="48"/>
      <c r="T1101" s="48"/>
      <c r="W1101" s="70"/>
    </row>
    <row r="1102" spans="2:23" x14ac:dyDescent="0.2">
      <c r="B1102" s="48"/>
      <c r="E1102" s="48"/>
      <c r="H1102" s="48"/>
      <c r="K1102" s="70"/>
      <c r="N1102" s="48"/>
      <c r="Q1102" s="48"/>
      <c r="T1102" s="48"/>
      <c r="W1102" s="70"/>
    </row>
    <row r="1103" spans="2:23" x14ac:dyDescent="0.2">
      <c r="B1103" s="48"/>
      <c r="E1103" s="48"/>
      <c r="H1103" s="48"/>
      <c r="K1103" s="70"/>
      <c r="N1103" s="48"/>
      <c r="Q1103" s="48"/>
      <c r="T1103" s="48"/>
      <c r="W1103" s="70"/>
    </row>
    <row r="1104" spans="2:23" x14ac:dyDescent="0.2">
      <c r="B1104" s="48"/>
      <c r="E1104" s="48"/>
      <c r="H1104" s="48"/>
      <c r="K1104" s="70"/>
      <c r="N1104" s="48"/>
      <c r="Q1104" s="48"/>
      <c r="T1104" s="48"/>
      <c r="W1104" s="70"/>
    </row>
    <row r="1105" spans="2:23" x14ac:dyDescent="0.2">
      <c r="B1105" s="48"/>
      <c r="E1105" s="48"/>
      <c r="H1105" s="48"/>
      <c r="K1105" s="70"/>
      <c r="N1105" s="48"/>
      <c r="Q1105" s="48"/>
      <c r="T1105" s="48"/>
      <c r="W1105" s="70"/>
    </row>
    <row r="1106" spans="2:23" x14ac:dyDescent="0.2">
      <c r="B1106" s="48"/>
      <c r="E1106" s="48"/>
      <c r="H1106" s="48"/>
      <c r="K1106" s="70"/>
      <c r="N1106" s="48"/>
      <c r="Q1106" s="48"/>
      <c r="T1106" s="48"/>
      <c r="W1106" s="70"/>
    </row>
    <row r="1107" spans="2:23" x14ac:dyDescent="0.2">
      <c r="B1107" s="48"/>
      <c r="E1107" s="48"/>
      <c r="H1107" s="48"/>
      <c r="K1107" s="70"/>
      <c r="N1107" s="48"/>
      <c r="Q1107" s="48"/>
      <c r="T1107" s="48"/>
      <c r="W1107" s="70"/>
    </row>
    <row r="1108" spans="2:23" x14ac:dyDescent="0.2">
      <c r="B1108" s="48"/>
      <c r="E1108" s="48"/>
      <c r="H1108" s="48"/>
      <c r="K1108" s="70"/>
      <c r="N1108" s="48"/>
      <c r="Q1108" s="48"/>
      <c r="T1108" s="48"/>
      <c r="W1108" s="70"/>
    </row>
    <row r="1109" spans="2:23" x14ac:dyDescent="0.2">
      <c r="B1109" s="48"/>
      <c r="E1109" s="48"/>
      <c r="H1109" s="48"/>
      <c r="K1109" s="70"/>
      <c r="N1109" s="48"/>
      <c r="Q1109" s="48"/>
      <c r="T1109" s="48"/>
      <c r="W1109" s="70"/>
    </row>
    <row r="1110" spans="2:23" x14ac:dyDescent="0.2">
      <c r="B1110" s="48"/>
      <c r="E1110" s="48"/>
      <c r="H1110" s="48"/>
      <c r="K1110" s="70"/>
      <c r="N1110" s="48"/>
      <c r="Q1110" s="48"/>
      <c r="T1110" s="48"/>
      <c r="W1110" s="70"/>
    </row>
    <row r="1111" spans="2:23" x14ac:dyDescent="0.2">
      <c r="B1111" s="48"/>
      <c r="E1111" s="48"/>
      <c r="H1111" s="48"/>
      <c r="K1111" s="70"/>
      <c r="N1111" s="48"/>
      <c r="Q1111" s="48"/>
      <c r="T1111" s="48"/>
      <c r="W1111" s="70"/>
    </row>
    <row r="1112" spans="2:23" x14ac:dyDescent="0.2">
      <c r="B1112" s="48"/>
      <c r="E1112" s="48"/>
      <c r="H1112" s="48"/>
      <c r="K1112" s="70"/>
      <c r="N1112" s="48"/>
      <c r="Q1112" s="48"/>
      <c r="T1112" s="48"/>
      <c r="W1112" s="70"/>
    </row>
    <row r="1113" spans="2:23" x14ac:dyDescent="0.2">
      <c r="B1113" s="48"/>
      <c r="E1113" s="48"/>
      <c r="H1113" s="48"/>
      <c r="K1113" s="70"/>
      <c r="N1113" s="48"/>
      <c r="Q1113" s="48"/>
      <c r="T1113" s="48"/>
      <c r="W1113" s="70"/>
    </row>
    <row r="1114" spans="2:23" x14ac:dyDescent="0.2">
      <c r="B1114" s="48"/>
      <c r="E1114" s="48"/>
      <c r="H1114" s="48"/>
      <c r="K1114" s="70"/>
      <c r="N1114" s="48"/>
      <c r="Q1114" s="48"/>
      <c r="T1114" s="48"/>
      <c r="W1114" s="70"/>
    </row>
    <row r="1115" spans="2:23" x14ac:dyDescent="0.2">
      <c r="B1115" s="48"/>
      <c r="E1115" s="48"/>
      <c r="H1115" s="48"/>
      <c r="K1115" s="70"/>
      <c r="N1115" s="48"/>
      <c r="Q1115" s="48"/>
      <c r="T1115" s="48"/>
      <c r="W1115" s="70"/>
    </row>
    <row r="1116" spans="2:23" x14ac:dyDescent="0.2">
      <c r="B1116" s="48"/>
      <c r="E1116" s="48"/>
      <c r="H1116" s="48"/>
      <c r="K1116" s="70"/>
      <c r="N1116" s="48"/>
      <c r="Q1116" s="48"/>
      <c r="T1116" s="48"/>
      <c r="W1116" s="70"/>
    </row>
    <row r="1117" spans="2:23" x14ac:dyDescent="0.2">
      <c r="B1117" s="48"/>
      <c r="E1117" s="48"/>
      <c r="H1117" s="48"/>
      <c r="K1117" s="70"/>
      <c r="N1117" s="48"/>
      <c r="Q1117" s="48"/>
      <c r="T1117" s="48"/>
      <c r="W1117" s="70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AC89"/>
  <sheetViews>
    <sheetView workbookViewId="0"/>
  </sheetViews>
  <sheetFormatPr baseColWidth="10" defaultRowHeight="14.25" x14ac:dyDescent="0.2"/>
  <cols>
    <col min="1" max="1" width="30.875" bestFit="1" customWidth="1"/>
    <col min="4" max="4" width="23.875" bestFit="1" customWidth="1"/>
    <col min="5" max="5" width="5.875" bestFit="1" customWidth="1"/>
    <col min="7" max="7" width="20.25" bestFit="1" customWidth="1"/>
    <col min="8" max="8" width="5.875" bestFit="1" customWidth="1"/>
    <col min="19" max="19" width="12.625" bestFit="1" customWidth="1"/>
    <col min="22" max="22" width="23.5" bestFit="1" customWidth="1"/>
    <col min="25" max="25" width="18.625" bestFit="1" customWidth="1"/>
  </cols>
  <sheetData>
    <row r="1" spans="1:29" x14ac:dyDescent="0.2">
      <c r="A1" s="39"/>
      <c r="B1" s="39" t="s">
        <v>36</v>
      </c>
      <c r="C1" s="66"/>
      <c r="D1" s="39"/>
      <c r="E1" s="39" t="s">
        <v>36</v>
      </c>
      <c r="F1" s="38"/>
      <c r="G1" s="68"/>
      <c r="H1" s="39" t="s">
        <v>36</v>
      </c>
      <c r="I1" s="38"/>
      <c r="J1" s="39"/>
      <c r="K1" s="68" t="s">
        <v>36</v>
      </c>
      <c r="L1" s="38"/>
      <c r="M1" s="39"/>
      <c r="N1" s="39" t="s">
        <v>36</v>
      </c>
      <c r="O1" s="66"/>
      <c r="P1" s="39"/>
      <c r="Q1" s="39" t="s">
        <v>36</v>
      </c>
      <c r="R1" s="38"/>
      <c r="S1" s="66"/>
      <c r="T1" s="38" t="s">
        <v>36</v>
      </c>
      <c r="U1" s="38"/>
      <c r="V1" s="39"/>
      <c r="W1" s="68" t="s">
        <v>36</v>
      </c>
      <c r="X1" s="38"/>
      <c r="Y1" s="39"/>
      <c r="Z1" s="39" t="s">
        <v>36</v>
      </c>
      <c r="AA1" s="68"/>
      <c r="AB1" s="38"/>
      <c r="AC1" s="39" t="s">
        <v>36</v>
      </c>
    </row>
    <row r="2" spans="1:29" x14ac:dyDescent="0.2">
      <c r="A2" s="42" t="s">
        <v>508</v>
      </c>
      <c r="B2" s="63">
        <v>0.14141988273061815</v>
      </c>
      <c r="C2" s="52"/>
      <c r="D2" s="42" t="s">
        <v>512</v>
      </c>
      <c r="E2" s="42">
        <v>9.2838893989801786E-4</v>
      </c>
      <c r="F2" s="64"/>
      <c r="G2" s="51" t="s">
        <v>515</v>
      </c>
      <c r="H2" s="42">
        <v>0.14234827167051617</v>
      </c>
      <c r="I2" s="41"/>
      <c r="J2" s="63" t="s">
        <v>518</v>
      </c>
      <c r="K2" s="51">
        <v>0.90251274504395151</v>
      </c>
      <c r="L2" s="41"/>
      <c r="M2" s="42" t="s">
        <v>521</v>
      </c>
      <c r="N2" s="63">
        <v>9.2838893989801786E-4</v>
      </c>
      <c r="O2" s="52"/>
      <c r="P2" s="42" t="s">
        <v>524</v>
      </c>
      <c r="Q2" s="42">
        <v>9.6558866016150185E-2</v>
      </c>
      <c r="R2" s="64"/>
      <c r="S2" s="51" t="s">
        <v>526</v>
      </c>
      <c r="T2" s="42">
        <v>0.15405452825750762</v>
      </c>
      <c r="U2" s="41"/>
      <c r="V2" s="63" t="s">
        <v>506</v>
      </c>
      <c r="W2" s="51">
        <v>9.2838893989801786E-4</v>
      </c>
      <c r="X2" s="42"/>
      <c r="Y2" s="41" t="s">
        <v>531</v>
      </c>
      <c r="Z2" s="64">
        <v>0.99907161106010145</v>
      </c>
      <c r="AA2" s="51"/>
      <c r="AB2" s="41" t="s">
        <v>533</v>
      </c>
      <c r="AC2" s="42">
        <v>0.85765172832948333</v>
      </c>
    </row>
    <row r="3" spans="1:29" x14ac:dyDescent="0.2">
      <c r="A3" s="42" t="s">
        <v>509</v>
      </c>
      <c r="B3" s="63">
        <v>0.76109286231333328</v>
      </c>
      <c r="C3" s="52"/>
      <c r="D3" s="42" t="s">
        <v>513</v>
      </c>
      <c r="E3" s="42">
        <v>9.6558866016150185E-2</v>
      </c>
      <c r="F3" s="64"/>
      <c r="G3" s="51" t="s">
        <v>516</v>
      </c>
      <c r="H3" s="42">
        <v>9.6558866016150185E-2</v>
      </c>
      <c r="I3" s="41"/>
      <c r="J3" s="63" t="s">
        <v>519</v>
      </c>
      <c r="K3" s="51">
        <v>9.2838893989801786E-4</v>
      </c>
      <c r="L3" s="41"/>
      <c r="M3" s="42" t="s">
        <v>522</v>
      </c>
      <c r="N3" s="63">
        <v>0.85765172832948333</v>
      </c>
      <c r="O3" s="52"/>
      <c r="P3" s="42" t="s">
        <v>525</v>
      </c>
      <c r="Q3" s="42">
        <v>0.90344113398384951</v>
      </c>
      <c r="R3" s="64"/>
      <c r="S3" s="51" t="s">
        <v>527</v>
      </c>
      <c r="T3" s="42">
        <v>0.16327801071165046</v>
      </c>
      <c r="U3" s="41"/>
      <c r="V3" s="63" t="s">
        <v>507</v>
      </c>
      <c r="W3" s="51">
        <v>0.99907161106010145</v>
      </c>
      <c r="X3" s="42"/>
      <c r="Y3" s="41" t="s">
        <v>532</v>
      </c>
      <c r="Z3" s="64">
        <v>9.2838893989801786E-4</v>
      </c>
      <c r="AA3" s="51"/>
      <c r="AB3" s="41" t="s">
        <v>534</v>
      </c>
      <c r="AC3" s="42">
        <v>0.14234827167051617</v>
      </c>
    </row>
    <row r="4" spans="1:29" x14ac:dyDescent="0.2">
      <c r="A4" s="42" t="s">
        <v>510</v>
      </c>
      <c r="B4" s="42">
        <v>9.2838893989801786E-4</v>
      </c>
      <c r="C4" s="52"/>
      <c r="D4" s="42" t="s">
        <v>514</v>
      </c>
      <c r="E4" s="42">
        <v>0.90251274504395151</v>
      </c>
      <c r="F4" s="64"/>
      <c r="G4" s="51" t="s">
        <v>517</v>
      </c>
      <c r="H4" s="42">
        <v>0.76109286231333328</v>
      </c>
      <c r="I4" s="41"/>
      <c r="J4" s="63" t="s">
        <v>520</v>
      </c>
      <c r="K4" s="51">
        <v>9.6558866016150185E-2</v>
      </c>
      <c r="L4" s="41"/>
      <c r="M4" s="42" t="s">
        <v>523</v>
      </c>
      <c r="N4" s="63">
        <v>0.14141988273061815</v>
      </c>
      <c r="O4" s="52"/>
      <c r="P4" s="42"/>
      <c r="Q4" s="42"/>
      <c r="R4" s="64"/>
      <c r="S4" s="51" t="s">
        <v>528</v>
      </c>
      <c r="T4" s="42">
        <v>0.32819255362426958</v>
      </c>
      <c r="U4" s="41"/>
      <c r="V4" s="42"/>
      <c r="W4" s="51"/>
      <c r="X4" s="42"/>
      <c r="Y4" s="41"/>
      <c r="Z4" s="64"/>
      <c r="AA4" s="51"/>
      <c r="AB4" s="41"/>
      <c r="AC4" s="42"/>
    </row>
    <row r="5" spans="1:29" x14ac:dyDescent="0.2">
      <c r="A5" s="42" t="s">
        <v>511</v>
      </c>
      <c r="B5" s="42">
        <v>9.6558866016150185E-2</v>
      </c>
      <c r="C5" s="52"/>
      <c r="D5" s="42"/>
      <c r="E5" s="42"/>
      <c r="F5" s="64"/>
      <c r="G5" s="51"/>
      <c r="H5" s="42"/>
      <c r="I5" s="41"/>
      <c r="J5" s="63"/>
      <c r="K5" s="51"/>
      <c r="L5" s="41"/>
      <c r="M5" s="42"/>
      <c r="N5" s="63"/>
      <c r="O5" s="52"/>
      <c r="P5" s="42"/>
      <c r="Q5" s="42"/>
      <c r="R5" s="64"/>
      <c r="S5" s="51" t="s">
        <v>529</v>
      </c>
      <c r="T5" s="42">
        <v>0.35354651846667423</v>
      </c>
      <c r="U5" s="41"/>
      <c r="V5" s="42"/>
      <c r="W5" s="51"/>
      <c r="X5" s="42"/>
      <c r="Y5" s="41"/>
      <c r="Z5" s="64"/>
      <c r="AA5" s="51"/>
      <c r="AB5" s="41"/>
      <c r="AC5" s="42"/>
    </row>
    <row r="6" spans="1:29" x14ac:dyDescent="0.2">
      <c r="A6" s="42"/>
      <c r="B6" s="42"/>
      <c r="C6" s="52"/>
      <c r="D6" s="42"/>
      <c r="E6" s="42"/>
      <c r="F6" s="41"/>
      <c r="G6" s="69"/>
      <c r="H6" s="42"/>
      <c r="I6" s="41"/>
      <c r="J6" s="42"/>
      <c r="K6" s="51"/>
      <c r="L6" s="41"/>
      <c r="M6" s="42"/>
      <c r="N6" s="63"/>
      <c r="O6" s="52"/>
      <c r="P6" s="42"/>
      <c r="Q6" s="42"/>
      <c r="R6" s="64"/>
      <c r="S6" s="51" t="s">
        <v>530</v>
      </c>
      <c r="T6" s="42">
        <v>9.2838893989801786E-4</v>
      </c>
      <c r="U6" s="41"/>
      <c r="V6" s="42"/>
      <c r="W6" s="69"/>
      <c r="X6" s="42"/>
      <c r="Y6" s="41"/>
      <c r="Z6" s="64"/>
      <c r="AA6" s="51"/>
      <c r="AB6" s="41"/>
      <c r="AC6" s="42"/>
    </row>
    <row r="7" spans="1:29" x14ac:dyDescent="0.2">
      <c r="A7" s="42"/>
      <c r="B7" s="42"/>
      <c r="C7" s="52"/>
      <c r="D7" s="42"/>
      <c r="E7" s="42"/>
      <c r="F7" s="41"/>
      <c r="G7" s="69"/>
      <c r="H7" s="42"/>
      <c r="I7" s="41"/>
      <c r="J7" s="42"/>
      <c r="K7" s="51"/>
      <c r="L7" s="41"/>
      <c r="M7" s="42"/>
      <c r="N7" s="63"/>
      <c r="O7" s="52"/>
      <c r="P7" s="42"/>
      <c r="Q7" s="42"/>
      <c r="R7" s="64"/>
      <c r="S7" s="51"/>
      <c r="T7" s="42"/>
      <c r="U7" s="41"/>
      <c r="V7" s="42"/>
      <c r="W7" s="69"/>
      <c r="X7" s="42"/>
      <c r="Y7" s="41"/>
      <c r="Z7" s="64"/>
      <c r="AA7" s="51"/>
      <c r="AB7" s="41"/>
      <c r="AC7" s="42"/>
    </row>
    <row r="8" spans="1:29" x14ac:dyDescent="0.2">
      <c r="A8" s="42"/>
      <c r="B8" s="42"/>
      <c r="C8" s="52"/>
      <c r="D8" s="42"/>
      <c r="E8" s="42"/>
      <c r="F8" s="41"/>
      <c r="G8" s="69"/>
      <c r="H8" s="42"/>
      <c r="I8" s="41"/>
      <c r="J8" s="42"/>
      <c r="K8" s="69"/>
      <c r="L8" s="41"/>
      <c r="M8" s="42"/>
      <c r="N8" s="42"/>
      <c r="O8" s="67"/>
      <c r="P8" s="42"/>
      <c r="Q8" s="42"/>
      <c r="R8" s="64"/>
      <c r="S8" s="51"/>
      <c r="T8" s="42"/>
      <c r="U8" s="41"/>
      <c r="V8" s="42"/>
      <c r="W8" s="69"/>
      <c r="X8" s="42"/>
      <c r="Y8" s="41"/>
      <c r="Z8" s="64"/>
      <c r="AA8" s="51"/>
      <c r="AB8" s="41"/>
      <c r="AC8" s="42"/>
    </row>
    <row r="9" spans="1:29" x14ac:dyDescent="0.2">
      <c r="A9" s="42"/>
      <c r="B9" s="42"/>
      <c r="C9" s="67"/>
      <c r="D9" s="42"/>
      <c r="E9" s="42"/>
      <c r="F9" s="41"/>
      <c r="G9" s="69"/>
      <c r="H9" s="42"/>
      <c r="I9" s="41"/>
      <c r="J9" s="42"/>
      <c r="K9" s="69"/>
      <c r="L9" s="41"/>
      <c r="M9" s="42"/>
      <c r="N9" s="42"/>
      <c r="O9" s="67"/>
      <c r="P9" s="42"/>
      <c r="Q9" s="42"/>
      <c r="R9" s="41"/>
      <c r="S9" s="69"/>
      <c r="T9" s="42"/>
      <c r="U9" s="41"/>
      <c r="V9" s="42"/>
      <c r="W9" s="69"/>
      <c r="X9" s="42"/>
      <c r="Y9" s="41"/>
      <c r="Z9" s="64"/>
      <c r="AA9" s="51"/>
      <c r="AB9" s="41"/>
      <c r="AC9" s="42"/>
    </row>
    <row r="10" spans="1:29" x14ac:dyDescent="0.2">
      <c r="A10" s="42"/>
      <c r="B10" s="42"/>
      <c r="C10" s="67"/>
      <c r="D10" s="42"/>
      <c r="E10" s="42"/>
      <c r="F10" s="41"/>
      <c r="G10" s="69"/>
      <c r="H10" s="42"/>
      <c r="I10" s="41"/>
      <c r="J10" s="42"/>
      <c r="K10" s="69"/>
      <c r="L10" s="41"/>
      <c r="M10" s="42"/>
      <c r="N10" s="42"/>
      <c r="O10" s="67"/>
      <c r="P10" s="42"/>
      <c r="Q10" s="42"/>
      <c r="R10" s="41"/>
      <c r="S10" s="69"/>
      <c r="T10" s="42"/>
      <c r="U10" s="41"/>
      <c r="V10" s="42"/>
      <c r="W10" s="69"/>
      <c r="X10" s="42"/>
      <c r="Y10" s="41"/>
      <c r="Z10" s="64"/>
      <c r="AA10" s="51"/>
      <c r="AB10" s="41"/>
      <c r="AC10" s="42"/>
    </row>
    <row r="11" spans="1:29" x14ac:dyDescent="0.2">
      <c r="A11" s="42"/>
      <c r="B11" s="42"/>
      <c r="C11" s="52"/>
      <c r="D11" s="42"/>
      <c r="E11" s="42"/>
      <c r="F11" s="64"/>
      <c r="G11" s="51"/>
      <c r="H11" s="42"/>
      <c r="I11" s="41"/>
      <c r="J11" s="63"/>
      <c r="K11" s="51"/>
      <c r="L11" s="41"/>
      <c r="M11" s="42"/>
      <c r="N11" s="63"/>
      <c r="O11" s="52"/>
      <c r="P11" s="42"/>
      <c r="Q11" s="42"/>
      <c r="R11" s="64"/>
      <c r="S11" s="51"/>
      <c r="T11" s="42"/>
      <c r="U11" s="41"/>
      <c r="V11" s="42"/>
      <c r="W11" s="51"/>
      <c r="X11" s="42"/>
      <c r="Y11" s="41"/>
      <c r="Z11" s="64"/>
      <c r="AA11" s="51"/>
      <c r="AB11" s="41"/>
      <c r="AC11" s="42"/>
    </row>
    <row r="12" spans="1:29" x14ac:dyDescent="0.2">
      <c r="A12" s="42"/>
      <c r="B12" s="42"/>
      <c r="C12" s="52"/>
      <c r="D12" s="42"/>
      <c r="E12" s="42"/>
      <c r="F12" s="64"/>
      <c r="G12" s="51"/>
      <c r="H12" s="42"/>
      <c r="I12" s="41"/>
      <c r="J12" s="63"/>
      <c r="K12" s="51"/>
      <c r="L12" s="41"/>
      <c r="M12" s="42"/>
      <c r="N12" s="63"/>
      <c r="O12" s="52"/>
      <c r="P12" s="42"/>
      <c r="Q12" s="42"/>
      <c r="R12" s="64"/>
      <c r="S12" s="51"/>
      <c r="T12" s="42"/>
      <c r="U12" s="41"/>
      <c r="V12" s="42"/>
      <c r="W12" s="51"/>
      <c r="X12" s="42"/>
      <c r="Y12" s="41"/>
      <c r="Z12" s="64"/>
      <c r="AA12" s="51"/>
      <c r="AB12" s="41"/>
      <c r="AC12" s="42"/>
    </row>
    <row r="13" spans="1:29" x14ac:dyDescent="0.2">
      <c r="A13" s="42"/>
      <c r="B13" s="42"/>
      <c r="C13" s="52"/>
      <c r="D13" s="42"/>
      <c r="E13" s="42"/>
      <c r="F13" s="41"/>
      <c r="G13" s="69"/>
      <c r="H13" s="42"/>
      <c r="I13" s="41"/>
      <c r="J13" s="42"/>
      <c r="K13" s="51"/>
      <c r="L13" s="41"/>
      <c r="M13" s="42"/>
      <c r="N13" s="63"/>
      <c r="O13" s="52"/>
      <c r="P13" s="42"/>
      <c r="Q13" s="42"/>
      <c r="R13" s="64"/>
      <c r="S13" s="51"/>
      <c r="T13" s="42"/>
      <c r="U13" s="41"/>
      <c r="V13" s="42"/>
      <c r="W13" s="69"/>
      <c r="X13" s="42"/>
      <c r="Y13" s="41"/>
      <c r="Z13" s="64"/>
      <c r="AA13" s="51"/>
      <c r="AB13" s="41"/>
      <c r="AC13" s="42"/>
    </row>
    <row r="14" spans="1:29" x14ac:dyDescent="0.2">
      <c r="A14" s="42"/>
      <c r="B14" s="42"/>
      <c r="C14" s="52"/>
      <c r="D14" s="42"/>
      <c r="E14" s="42"/>
      <c r="F14" s="41"/>
      <c r="G14" s="69"/>
      <c r="H14" s="42"/>
      <c r="I14" s="41"/>
      <c r="J14" s="42"/>
      <c r="K14" s="51"/>
      <c r="L14" s="41"/>
      <c r="M14" s="42"/>
      <c r="N14" s="63"/>
      <c r="O14" s="52"/>
      <c r="P14" s="42"/>
      <c r="Q14" s="42"/>
      <c r="R14" s="64"/>
      <c r="S14" s="51"/>
      <c r="T14" s="42"/>
      <c r="U14" s="41"/>
      <c r="V14" s="42"/>
      <c r="W14" s="69"/>
      <c r="X14" s="42"/>
      <c r="Y14" s="41"/>
      <c r="Z14" s="64"/>
      <c r="AA14" s="51"/>
      <c r="AB14" s="41"/>
      <c r="AC14" s="42"/>
    </row>
    <row r="15" spans="1:29" x14ac:dyDescent="0.2">
      <c r="A15" s="42"/>
      <c r="B15" s="42"/>
      <c r="C15" s="52"/>
      <c r="D15" s="42"/>
      <c r="E15" s="42"/>
      <c r="F15" s="41"/>
      <c r="G15" s="69"/>
      <c r="H15" s="42"/>
      <c r="I15" s="41"/>
      <c r="J15" s="42"/>
      <c r="K15" s="69"/>
      <c r="L15" s="41"/>
      <c r="M15" s="42"/>
      <c r="N15" s="42"/>
      <c r="O15" s="67"/>
      <c r="P15" s="42"/>
      <c r="Q15" s="42"/>
      <c r="R15" s="64"/>
      <c r="S15" s="51"/>
      <c r="T15" s="42"/>
      <c r="U15" s="41"/>
      <c r="V15" s="42"/>
      <c r="W15" s="69"/>
      <c r="X15" s="42"/>
      <c r="Y15" s="41"/>
      <c r="Z15" s="64"/>
      <c r="AA15" s="51"/>
      <c r="AB15" s="41"/>
      <c r="AC15" s="42"/>
    </row>
    <row r="16" spans="1:29" x14ac:dyDescent="0.2">
      <c r="A16" s="42"/>
      <c r="B16" s="42"/>
      <c r="C16" s="52"/>
      <c r="D16" s="42"/>
      <c r="E16" s="42"/>
      <c r="F16" s="64"/>
      <c r="G16" s="51"/>
      <c r="H16" s="42"/>
      <c r="I16" s="41"/>
      <c r="J16" s="63"/>
      <c r="K16" s="51"/>
      <c r="L16" s="41"/>
      <c r="M16" s="42"/>
      <c r="N16" s="63"/>
      <c r="O16" s="52"/>
      <c r="P16" s="42"/>
      <c r="Q16" s="42"/>
      <c r="R16" s="64"/>
      <c r="S16" s="51"/>
      <c r="T16" s="42"/>
      <c r="U16" s="41"/>
      <c r="V16" s="42"/>
      <c r="W16" s="51"/>
      <c r="X16" s="42"/>
      <c r="Y16" s="41"/>
      <c r="Z16" s="64"/>
      <c r="AA16" s="51"/>
      <c r="AB16" s="41"/>
      <c r="AC16" s="42"/>
    </row>
    <row r="17" spans="1:29" x14ac:dyDescent="0.2">
      <c r="A17" s="42"/>
      <c r="B17" s="42"/>
      <c r="C17" s="52"/>
      <c r="D17" s="42"/>
      <c r="E17" s="42"/>
      <c r="F17" s="64"/>
      <c r="G17" s="51"/>
      <c r="H17" s="42"/>
      <c r="I17" s="41"/>
      <c r="J17" s="63"/>
      <c r="K17" s="51"/>
      <c r="L17" s="41"/>
      <c r="M17" s="42"/>
      <c r="N17" s="63"/>
      <c r="O17" s="52"/>
      <c r="P17" s="42"/>
      <c r="Q17" s="42"/>
      <c r="R17" s="64"/>
      <c r="S17" s="51"/>
      <c r="T17" s="42"/>
      <c r="U17" s="41"/>
      <c r="V17" s="42"/>
      <c r="W17" s="51"/>
      <c r="X17" s="42"/>
      <c r="Y17" s="41"/>
      <c r="Z17" s="64"/>
      <c r="AA17" s="51"/>
      <c r="AB17" s="41"/>
      <c r="AC17" s="42"/>
    </row>
    <row r="18" spans="1:29" x14ac:dyDescent="0.2">
      <c r="A18" s="42"/>
      <c r="B18" s="42"/>
      <c r="C18" s="52"/>
      <c r="D18" s="42"/>
      <c r="E18" s="42"/>
      <c r="F18" s="41"/>
      <c r="G18" s="69"/>
      <c r="H18" s="42"/>
      <c r="I18" s="41"/>
      <c r="J18" s="42"/>
      <c r="K18" s="51"/>
      <c r="L18" s="41"/>
      <c r="M18" s="42"/>
      <c r="N18" s="63"/>
      <c r="O18" s="52"/>
      <c r="P18" s="42"/>
      <c r="Q18" s="42"/>
      <c r="R18" s="64"/>
      <c r="S18" s="51"/>
      <c r="T18" s="42"/>
      <c r="U18" s="41"/>
      <c r="V18" s="42"/>
      <c r="W18" s="69"/>
      <c r="X18" s="42"/>
      <c r="Y18" s="41"/>
      <c r="Z18" s="64"/>
      <c r="AA18" s="51"/>
      <c r="AB18" s="41"/>
      <c r="AC18" s="42"/>
    </row>
    <row r="19" spans="1:29" x14ac:dyDescent="0.2">
      <c r="A19" s="42"/>
      <c r="B19" s="42"/>
      <c r="C19" s="52"/>
      <c r="D19" s="42"/>
      <c r="E19" s="42"/>
      <c r="F19" s="41"/>
      <c r="G19" s="69"/>
      <c r="H19" s="42"/>
      <c r="I19" s="41"/>
      <c r="J19" s="42"/>
      <c r="K19" s="51"/>
      <c r="L19" s="41"/>
      <c r="M19" s="42"/>
      <c r="N19" s="63"/>
      <c r="O19" s="52"/>
      <c r="P19" s="42"/>
      <c r="Q19" s="42"/>
      <c r="R19" s="64"/>
      <c r="S19" s="51"/>
      <c r="T19" s="42"/>
      <c r="U19" s="41"/>
      <c r="V19" s="42"/>
      <c r="W19" s="69"/>
      <c r="X19" s="42"/>
      <c r="Y19" s="41"/>
      <c r="Z19" s="64"/>
      <c r="AA19" s="51"/>
      <c r="AB19" s="41"/>
      <c r="AC19" s="42"/>
    </row>
    <row r="20" spans="1:29" x14ac:dyDescent="0.2">
      <c r="A20" s="42"/>
      <c r="B20" s="42"/>
      <c r="C20" s="52"/>
      <c r="D20" s="42"/>
      <c r="E20" s="42"/>
      <c r="F20" s="41"/>
      <c r="G20" s="69"/>
      <c r="H20" s="42"/>
      <c r="I20" s="41"/>
      <c r="J20" s="42"/>
      <c r="K20" s="69"/>
      <c r="L20" s="41"/>
      <c r="M20" s="42"/>
      <c r="N20" s="42"/>
      <c r="O20" s="67"/>
      <c r="P20" s="42"/>
      <c r="Q20" s="42"/>
      <c r="R20" s="64"/>
      <c r="S20" s="51"/>
      <c r="T20" s="42"/>
      <c r="U20" s="41"/>
      <c r="V20" s="42"/>
      <c r="W20" s="69"/>
      <c r="X20" s="42"/>
      <c r="Y20" s="41"/>
      <c r="Z20" s="64"/>
      <c r="AA20" s="51"/>
      <c r="AB20" s="41"/>
      <c r="AC20" s="42"/>
    </row>
    <row r="21" spans="1:29" x14ac:dyDescent="0.2">
      <c r="A21" s="42"/>
      <c r="B21" s="42"/>
      <c r="C21" s="52"/>
      <c r="D21" s="42"/>
      <c r="E21" s="42"/>
      <c r="F21" s="64"/>
      <c r="G21" s="51"/>
      <c r="H21" s="42"/>
      <c r="I21" s="41"/>
      <c r="J21" s="63"/>
      <c r="K21" s="51"/>
      <c r="L21" s="41"/>
      <c r="M21" s="42"/>
      <c r="N21" s="63"/>
      <c r="O21" s="52"/>
      <c r="P21" s="42"/>
      <c r="Q21" s="42"/>
      <c r="R21" s="64"/>
      <c r="S21" s="51"/>
      <c r="T21" s="42"/>
      <c r="U21" s="41"/>
      <c r="V21" s="42"/>
      <c r="W21" s="51"/>
      <c r="X21" s="42"/>
      <c r="Y21" s="41"/>
      <c r="Z21" s="64"/>
      <c r="AA21" s="51"/>
      <c r="AB21" s="41"/>
      <c r="AC21" s="42"/>
    </row>
    <row r="22" spans="1:29" x14ac:dyDescent="0.2">
      <c r="A22" s="42"/>
      <c r="B22" s="42"/>
      <c r="C22" s="52"/>
      <c r="D22" s="42"/>
      <c r="E22" s="42"/>
      <c r="F22" s="64"/>
      <c r="G22" s="51"/>
      <c r="H22" s="42"/>
      <c r="I22" s="41"/>
      <c r="J22" s="63"/>
      <c r="K22" s="51"/>
      <c r="L22" s="41"/>
      <c r="M22" s="42"/>
      <c r="N22" s="63"/>
      <c r="O22" s="52"/>
      <c r="P22" s="42"/>
      <c r="Q22" s="42"/>
      <c r="R22" s="64"/>
      <c r="S22" s="51"/>
      <c r="T22" s="42"/>
      <c r="U22" s="41"/>
      <c r="V22" s="42"/>
      <c r="W22" s="51"/>
      <c r="X22" s="42"/>
      <c r="Y22" s="41"/>
      <c r="Z22" s="64"/>
      <c r="AA22" s="51"/>
      <c r="AB22" s="41"/>
      <c r="AC22" s="42"/>
    </row>
    <row r="23" spans="1:29" x14ac:dyDescent="0.2">
      <c r="A23" s="42"/>
      <c r="B23" s="42"/>
      <c r="C23" s="52"/>
      <c r="D23" s="42"/>
      <c r="E23" s="42"/>
      <c r="F23" s="41"/>
      <c r="G23" s="69"/>
      <c r="H23" s="42"/>
      <c r="I23" s="41"/>
      <c r="J23" s="42"/>
      <c r="K23" s="51"/>
      <c r="L23" s="41"/>
      <c r="M23" s="42"/>
      <c r="N23" s="63"/>
      <c r="O23" s="52"/>
      <c r="P23" s="42"/>
      <c r="Q23" s="42"/>
      <c r="R23" s="64"/>
      <c r="S23" s="51"/>
      <c r="T23" s="42"/>
      <c r="U23" s="41"/>
      <c r="V23" s="42"/>
      <c r="W23" s="69"/>
      <c r="X23" s="42"/>
      <c r="Y23" s="41"/>
      <c r="Z23" s="64"/>
      <c r="AA23" s="51"/>
      <c r="AB23" s="41"/>
      <c r="AC23" s="42"/>
    </row>
    <row r="24" spans="1:29" x14ac:dyDescent="0.2">
      <c r="A24" s="42"/>
      <c r="B24" s="42"/>
      <c r="C24" s="52"/>
      <c r="D24" s="42"/>
      <c r="E24" s="42"/>
      <c r="F24" s="41"/>
      <c r="G24" s="69"/>
      <c r="H24" s="42"/>
      <c r="I24" s="41"/>
      <c r="J24" s="42"/>
      <c r="K24" s="51"/>
      <c r="L24" s="41"/>
      <c r="M24" s="42"/>
      <c r="N24" s="63"/>
      <c r="O24" s="52"/>
      <c r="P24" s="42"/>
      <c r="Q24" s="42"/>
      <c r="R24" s="64"/>
      <c r="S24" s="51"/>
      <c r="T24" s="42"/>
      <c r="U24" s="41"/>
      <c r="V24" s="42"/>
      <c r="W24" s="69"/>
      <c r="X24" s="42"/>
      <c r="Y24" s="41"/>
      <c r="Z24" s="64"/>
      <c r="AA24" s="51"/>
      <c r="AB24" s="41"/>
      <c r="AC24" s="42"/>
    </row>
    <row r="25" spans="1:29" x14ac:dyDescent="0.2">
      <c r="A25" s="42"/>
      <c r="B25" s="42"/>
      <c r="C25" s="52"/>
      <c r="D25" s="42"/>
      <c r="E25" s="42"/>
      <c r="F25" s="41"/>
      <c r="G25" s="69"/>
      <c r="H25" s="42"/>
      <c r="I25" s="41"/>
      <c r="J25" s="42"/>
      <c r="K25" s="69"/>
      <c r="L25" s="41"/>
      <c r="M25" s="42"/>
      <c r="N25" s="42"/>
      <c r="O25" s="67"/>
      <c r="P25" s="42"/>
      <c r="Q25" s="42"/>
      <c r="R25" s="64"/>
      <c r="S25" s="51"/>
      <c r="T25" s="42"/>
      <c r="U25" s="41"/>
      <c r="V25" s="42"/>
      <c r="W25" s="69"/>
      <c r="X25" s="42"/>
      <c r="Y25" s="41"/>
      <c r="Z25" s="64"/>
      <c r="AA25" s="51"/>
      <c r="AB25" s="41"/>
      <c r="AC25" s="42"/>
    </row>
    <row r="26" spans="1:29" x14ac:dyDescent="0.2">
      <c r="A26" s="42"/>
      <c r="B26" s="42"/>
      <c r="C26" s="52"/>
      <c r="D26" s="42"/>
      <c r="E26" s="42"/>
      <c r="F26" s="64"/>
      <c r="G26" s="51"/>
      <c r="H26" s="42"/>
      <c r="I26" s="41"/>
      <c r="J26" s="63"/>
      <c r="K26" s="51"/>
      <c r="L26" s="41"/>
      <c r="M26" s="42"/>
      <c r="N26" s="63"/>
      <c r="O26" s="52"/>
      <c r="P26" s="42"/>
      <c r="Q26" s="42"/>
      <c r="R26" s="64"/>
      <c r="S26" s="51"/>
      <c r="T26" s="42"/>
      <c r="U26" s="41"/>
      <c r="V26" s="42"/>
      <c r="W26" s="51"/>
      <c r="X26" s="42"/>
      <c r="Y26" s="41"/>
      <c r="Z26" s="64"/>
      <c r="AA26" s="51"/>
      <c r="AB26" s="41"/>
      <c r="AC26" s="42"/>
    </row>
    <row r="27" spans="1:29" x14ac:dyDescent="0.2">
      <c r="A27" s="42"/>
      <c r="B27" s="42"/>
      <c r="C27" s="52"/>
      <c r="D27" s="42"/>
      <c r="E27" s="42"/>
      <c r="F27" s="64"/>
      <c r="G27" s="51"/>
      <c r="H27" s="42"/>
      <c r="I27" s="41"/>
      <c r="J27" s="63"/>
      <c r="K27" s="51"/>
      <c r="L27" s="41"/>
      <c r="M27" s="42"/>
      <c r="N27" s="63"/>
      <c r="O27" s="52"/>
      <c r="P27" s="42"/>
      <c r="Q27" s="42"/>
      <c r="R27" s="64"/>
      <c r="S27" s="51"/>
      <c r="T27" s="42"/>
      <c r="U27" s="41"/>
      <c r="V27" s="42"/>
      <c r="W27" s="51"/>
      <c r="X27" s="42"/>
      <c r="Y27" s="41"/>
      <c r="Z27" s="64"/>
      <c r="AA27" s="51"/>
      <c r="AB27" s="41"/>
      <c r="AC27" s="42"/>
    </row>
    <row r="28" spans="1:29" x14ac:dyDescent="0.2">
      <c r="A28" s="42"/>
      <c r="B28" s="42"/>
      <c r="C28" s="52"/>
      <c r="D28" s="42"/>
      <c r="E28" s="42"/>
      <c r="F28" s="41"/>
      <c r="G28" s="69"/>
      <c r="H28" s="42"/>
      <c r="I28" s="41"/>
      <c r="J28" s="42"/>
      <c r="K28" s="51"/>
      <c r="L28" s="41"/>
      <c r="M28" s="42"/>
      <c r="N28" s="63"/>
      <c r="O28" s="52"/>
      <c r="P28" s="42"/>
      <c r="Q28" s="42"/>
      <c r="R28" s="64"/>
      <c r="S28" s="51"/>
      <c r="T28" s="42"/>
      <c r="U28" s="41"/>
      <c r="V28" s="42"/>
      <c r="W28" s="69"/>
      <c r="X28" s="42"/>
      <c r="Y28" s="41"/>
      <c r="Z28" s="64"/>
      <c r="AA28" s="51"/>
      <c r="AB28" s="41"/>
      <c r="AC28" s="42"/>
    </row>
    <row r="29" spans="1:29" x14ac:dyDescent="0.2">
      <c r="A29" s="42"/>
      <c r="B29" s="42"/>
      <c r="C29" s="52"/>
      <c r="D29" s="42"/>
      <c r="E29" s="42"/>
      <c r="F29" s="41"/>
      <c r="G29" s="69"/>
      <c r="H29" s="42"/>
      <c r="I29" s="41"/>
      <c r="J29" s="42"/>
      <c r="K29" s="51"/>
      <c r="L29" s="41"/>
      <c r="M29" s="42"/>
      <c r="N29" s="63"/>
      <c r="O29" s="52"/>
      <c r="P29" s="42"/>
      <c r="Q29" s="42"/>
      <c r="R29" s="64"/>
      <c r="S29" s="51"/>
      <c r="T29" s="42"/>
      <c r="U29" s="41"/>
      <c r="V29" s="42"/>
      <c r="W29" s="69"/>
      <c r="X29" s="42"/>
      <c r="Y29" s="41"/>
      <c r="Z29" s="64"/>
      <c r="AA29" s="51"/>
      <c r="AB29" s="41"/>
      <c r="AC29" s="42"/>
    </row>
    <row r="30" spans="1:29" x14ac:dyDescent="0.2">
      <c r="A30" s="42"/>
      <c r="B30" s="42"/>
      <c r="C30" s="52"/>
      <c r="D30" s="42"/>
      <c r="E30" s="42"/>
      <c r="F30" s="41"/>
      <c r="G30" s="69"/>
      <c r="H30" s="42"/>
      <c r="I30" s="41"/>
      <c r="J30" s="42"/>
      <c r="K30" s="69"/>
      <c r="L30" s="41"/>
      <c r="M30" s="42"/>
      <c r="N30" s="42"/>
      <c r="O30" s="67"/>
      <c r="P30" s="42"/>
      <c r="Q30" s="42"/>
      <c r="R30" s="64"/>
      <c r="S30" s="51"/>
      <c r="T30" s="42"/>
      <c r="U30" s="41"/>
      <c r="V30" s="42"/>
      <c r="W30" s="69"/>
      <c r="X30" s="42"/>
      <c r="Y30" s="41"/>
      <c r="Z30" s="64"/>
      <c r="AA30" s="51"/>
      <c r="AB30" s="41"/>
      <c r="AC30" s="42"/>
    </row>
    <row r="31" spans="1:29" x14ac:dyDescent="0.2">
      <c r="A31" s="42"/>
      <c r="B31" s="42"/>
      <c r="C31" s="52"/>
      <c r="D31" s="42"/>
      <c r="E31" s="42"/>
      <c r="F31" s="64"/>
      <c r="G31" s="51"/>
      <c r="H31" s="42"/>
      <c r="I31" s="41"/>
      <c r="J31" s="63"/>
      <c r="K31" s="51"/>
      <c r="L31" s="41"/>
      <c r="M31" s="42"/>
      <c r="N31" s="63"/>
      <c r="O31" s="52"/>
      <c r="P31" s="42"/>
      <c r="Q31" s="42"/>
      <c r="R31" s="64"/>
      <c r="S31" s="51"/>
      <c r="T31" s="42"/>
      <c r="U31" s="41"/>
      <c r="V31" s="42"/>
      <c r="W31" s="51"/>
      <c r="X31" s="42"/>
      <c r="Y31" s="41"/>
      <c r="Z31" s="64"/>
      <c r="AA31" s="51"/>
      <c r="AB31" s="41"/>
      <c r="AC31" s="42"/>
    </row>
    <row r="32" spans="1:29" x14ac:dyDescent="0.2">
      <c r="A32" s="42"/>
      <c r="B32" s="42"/>
      <c r="C32" s="52"/>
      <c r="D32" s="42"/>
      <c r="E32" s="42"/>
      <c r="F32" s="64"/>
      <c r="G32" s="51"/>
      <c r="H32" s="42"/>
      <c r="I32" s="41"/>
      <c r="J32" s="63"/>
      <c r="K32" s="51"/>
      <c r="L32" s="41"/>
      <c r="M32" s="42"/>
      <c r="N32" s="63"/>
      <c r="O32" s="52"/>
      <c r="P32" s="42"/>
      <c r="Q32" s="42"/>
      <c r="R32" s="64"/>
      <c r="S32" s="51"/>
      <c r="T32" s="42"/>
      <c r="U32" s="41"/>
      <c r="V32" s="42"/>
      <c r="W32" s="51"/>
      <c r="X32" s="42"/>
      <c r="Y32" s="41"/>
      <c r="Z32" s="64"/>
      <c r="AA32" s="51"/>
      <c r="AB32" s="41"/>
      <c r="AC32" s="42"/>
    </row>
    <row r="33" spans="1:29" x14ac:dyDescent="0.2">
      <c r="A33" s="42"/>
      <c r="B33" s="42"/>
      <c r="C33" s="52"/>
      <c r="D33" s="42"/>
      <c r="E33" s="42"/>
      <c r="F33" s="41"/>
      <c r="G33" s="69"/>
      <c r="H33" s="42"/>
      <c r="I33" s="41"/>
      <c r="J33" s="42"/>
      <c r="K33" s="51"/>
      <c r="L33" s="41"/>
      <c r="M33" s="42"/>
      <c r="N33" s="63"/>
      <c r="O33" s="52"/>
      <c r="P33" s="42"/>
      <c r="Q33" s="42"/>
      <c r="R33" s="64"/>
      <c r="S33" s="51"/>
      <c r="T33" s="42"/>
      <c r="U33" s="41"/>
      <c r="V33" s="42"/>
      <c r="W33" s="69"/>
      <c r="X33" s="42"/>
      <c r="Y33" s="41"/>
      <c r="Z33" s="64"/>
      <c r="AA33" s="51"/>
      <c r="AB33" s="41"/>
      <c r="AC33" s="42"/>
    </row>
    <row r="34" spans="1:29" x14ac:dyDescent="0.2">
      <c r="A34" s="42"/>
      <c r="B34" s="42"/>
      <c r="C34" s="52"/>
      <c r="D34" s="42"/>
      <c r="E34" s="42"/>
      <c r="F34" s="41"/>
      <c r="G34" s="69"/>
      <c r="H34" s="42"/>
      <c r="I34" s="41"/>
      <c r="J34" s="42"/>
      <c r="K34" s="51"/>
      <c r="L34" s="41"/>
      <c r="M34" s="42"/>
      <c r="N34" s="63"/>
      <c r="O34" s="52"/>
      <c r="P34" s="42"/>
      <c r="Q34" s="42"/>
      <c r="R34" s="64"/>
      <c r="S34" s="51"/>
      <c r="T34" s="42"/>
      <c r="U34" s="41"/>
      <c r="V34" s="42"/>
      <c r="W34" s="69"/>
      <c r="X34" s="42"/>
      <c r="Y34" s="41"/>
      <c r="Z34" s="64"/>
      <c r="AA34" s="51"/>
      <c r="AB34" s="41"/>
      <c r="AC34" s="42"/>
    </row>
    <row r="35" spans="1:29" x14ac:dyDescent="0.2">
      <c r="A35" s="42"/>
      <c r="B35" s="42"/>
      <c r="C35" s="52"/>
      <c r="D35" s="42"/>
      <c r="E35" s="42"/>
      <c r="F35" s="41"/>
      <c r="G35" s="69"/>
      <c r="H35" s="42"/>
      <c r="I35" s="41"/>
      <c r="J35" s="42"/>
      <c r="K35" s="69"/>
      <c r="L35" s="41"/>
      <c r="M35" s="42"/>
      <c r="N35" s="42"/>
      <c r="O35" s="67"/>
      <c r="P35" s="42"/>
      <c r="Q35" s="42"/>
      <c r="R35" s="64"/>
      <c r="S35" s="51"/>
      <c r="T35" s="42"/>
      <c r="U35" s="41"/>
      <c r="V35" s="42"/>
      <c r="W35" s="69"/>
      <c r="X35" s="42"/>
      <c r="Y35" s="41"/>
      <c r="Z35" s="64"/>
      <c r="AA35" s="51"/>
      <c r="AB35" s="41"/>
      <c r="AC35" s="42"/>
    </row>
    <row r="36" spans="1:29" x14ac:dyDescent="0.2">
      <c r="A36" s="42"/>
      <c r="B36" s="42"/>
      <c r="C36" s="52"/>
      <c r="D36" s="42"/>
      <c r="E36" s="42"/>
      <c r="F36" s="64"/>
      <c r="G36" s="51"/>
      <c r="H36" s="42"/>
      <c r="I36" s="41"/>
      <c r="J36" s="63"/>
      <c r="K36" s="51"/>
      <c r="L36" s="41"/>
      <c r="M36" s="42"/>
      <c r="N36" s="63"/>
      <c r="O36" s="52"/>
      <c r="P36" s="42"/>
      <c r="Q36" s="42"/>
      <c r="R36" s="64"/>
      <c r="S36" s="51"/>
      <c r="T36" s="42"/>
      <c r="U36" s="41"/>
      <c r="V36" s="42"/>
      <c r="W36" s="51"/>
      <c r="X36" s="42"/>
      <c r="Y36" s="41"/>
      <c r="Z36" s="64"/>
      <c r="AA36" s="51"/>
      <c r="AB36" s="41"/>
      <c r="AC36" s="42"/>
    </row>
    <row r="37" spans="1:29" x14ac:dyDescent="0.2">
      <c r="A37" s="42"/>
      <c r="B37" s="42"/>
      <c r="C37" s="52"/>
      <c r="D37" s="42"/>
      <c r="E37" s="42"/>
      <c r="F37" s="64"/>
      <c r="G37" s="51"/>
      <c r="H37" s="42"/>
      <c r="I37" s="41"/>
      <c r="J37" s="63"/>
      <c r="K37" s="51"/>
      <c r="L37" s="41"/>
      <c r="M37" s="42"/>
      <c r="N37" s="63"/>
      <c r="O37" s="52"/>
      <c r="P37" s="42"/>
      <c r="Q37" s="42"/>
      <c r="R37" s="64"/>
      <c r="S37" s="51"/>
      <c r="T37" s="42"/>
      <c r="U37" s="41"/>
      <c r="V37" s="42"/>
      <c r="W37" s="51"/>
      <c r="X37" s="42"/>
      <c r="Y37" s="41"/>
      <c r="Z37" s="64"/>
      <c r="AA37" s="51"/>
      <c r="AB37" s="41"/>
      <c r="AC37" s="42"/>
    </row>
    <row r="38" spans="1:29" x14ac:dyDescent="0.2">
      <c r="A38" s="42"/>
      <c r="B38" s="42"/>
      <c r="C38" s="52"/>
      <c r="D38" s="42"/>
      <c r="E38" s="42"/>
      <c r="F38" s="41"/>
      <c r="G38" s="69"/>
      <c r="H38" s="42"/>
      <c r="I38" s="41"/>
      <c r="J38" s="42"/>
      <c r="K38" s="51"/>
      <c r="L38" s="41"/>
      <c r="M38" s="42"/>
      <c r="N38" s="63"/>
      <c r="O38" s="52"/>
      <c r="P38" s="42"/>
      <c r="Q38" s="42"/>
      <c r="R38" s="64"/>
      <c r="S38" s="51"/>
      <c r="T38" s="42"/>
      <c r="U38" s="41"/>
      <c r="V38" s="42"/>
      <c r="W38" s="69"/>
      <c r="X38" s="42"/>
      <c r="Y38" s="41"/>
      <c r="Z38" s="64"/>
      <c r="AA38" s="51"/>
      <c r="AB38" s="41"/>
      <c r="AC38" s="42"/>
    </row>
    <row r="39" spans="1:29" x14ac:dyDescent="0.2">
      <c r="A39" s="42"/>
      <c r="B39" s="42"/>
      <c r="C39" s="52"/>
      <c r="D39" s="42"/>
      <c r="E39" s="42"/>
      <c r="F39" s="41"/>
      <c r="G39" s="69"/>
      <c r="H39" s="42"/>
      <c r="I39" s="41"/>
      <c r="J39" s="42"/>
      <c r="K39" s="51"/>
      <c r="L39" s="41"/>
      <c r="M39" s="42"/>
      <c r="N39" s="63"/>
      <c r="O39" s="52"/>
      <c r="P39" s="42"/>
      <c r="Q39" s="42"/>
      <c r="R39" s="64"/>
      <c r="S39" s="51"/>
      <c r="T39" s="42"/>
      <c r="U39" s="41"/>
      <c r="V39" s="42"/>
      <c r="W39" s="69"/>
      <c r="X39" s="42"/>
      <c r="Y39" s="41"/>
      <c r="Z39" s="64"/>
      <c r="AA39" s="51"/>
      <c r="AB39" s="41"/>
      <c r="AC39" s="42"/>
    </row>
    <row r="40" spans="1:29" x14ac:dyDescent="0.2">
      <c r="A40" s="42"/>
      <c r="B40" s="42"/>
      <c r="C40" s="52"/>
      <c r="D40" s="42"/>
      <c r="E40" s="42"/>
      <c r="F40" s="41"/>
      <c r="G40" s="69"/>
      <c r="H40" s="42"/>
      <c r="I40" s="41"/>
      <c r="J40" s="42"/>
      <c r="K40" s="69"/>
      <c r="L40" s="41"/>
      <c r="M40" s="42"/>
      <c r="N40" s="42"/>
      <c r="O40" s="67"/>
      <c r="P40" s="42"/>
      <c r="Q40" s="42"/>
      <c r="R40" s="64"/>
      <c r="S40" s="51"/>
      <c r="T40" s="42"/>
      <c r="U40" s="41"/>
      <c r="V40" s="42"/>
      <c r="W40" s="69"/>
      <c r="X40" s="42"/>
      <c r="Y40" s="41"/>
      <c r="Z40" s="64"/>
      <c r="AA40" s="51"/>
      <c r="AB40" s="41"/>
      <c r="AC40" s="42"/>
    </row>
    <row r="41" spans="1:29" x14ac:dyDescent="0.2">
      <c r="A41" s="42"/>
      <c r="B41" s="42"/>
      <c r="C41" s="52"/>
      <c r="D41" s="42"/>
      <c r="E41" s="42"/>
      <c r="F41" s="64"/>
      <c r="G41" s="51"/>
      <c r="H41" s="42"/>
      <c r="I41" s="41"/>
      <c r="J41" s="63"/>
      <c r="K41" s="51"/>
      <c r="L41" s="41"/>
      <c r="M41" s="42"/>
      <c r="N41" s="63"/>
      <c r="O41" s="52"/>
      <c r="P41" s="42"/>
      <c r="Q41" s="42"/>
      <c r="R41" s="64"/>
      <c r="S41" s="51"/>
      <c r="T41" s="42"/>
      <c r="U41" s="41"/>
      <c r="V41" s="42"/>
      <c r="W41" s="51"/>
      <c r="X41" s="42"/>
      <c r="Y41" s="41"/>
      <c r="Z41" s="64"/>
      <c r="AA41" s="51"/>
      <c r="AB41" s="41"/>
      <c r="AC41" s="42"/>
    </row>
    <row r="42" spans="1:29" x14ac:dyDescent="0.2">
      <c r="A42" s="42"/>
      <c r="B42" s="42"/>
      <c r="C42" s="52"/>
      <c r="D42" s="42"/>
      <c r="E42" s="42"/>
      <c r="F42" s="64"/>
      <c r="G42" s="51"/>
      <c r="H42" s="42"/>
      <c r="I42" s="41"/>
      <c r="J42" s="63"/>
      <c r="K42" s="51"/>
      <c r="L42" s="41"/>
      <c r="M42" s="42"/>
      <c r="N42" s="63"/>
      <c r="O42" s="52"/>
      <c r="P42" s="42"/>
      <c r="Q42" s="42"/>
      <c r="R42" s="64"/>
      <c r="S42" s="51"/>
      <c r="T42" s="42"/>
      <c r="U42" s="41"/>
      <c r="V42" s="42"/>
      <c r="W42" s="51"/>
      <c r="X42" s="42"/>
      <c r="Y42" s="41"/>
      <c r="Z42" s="64"/>
      <c r="AA42" s="51"/>
      <c r="AB42" s="41"/>
      <c r="AC42" s="42"/>
    </row>
    <row r="43" spans="1:29" x14ac:dyDescent="0.2">
      <c r="A43" s="42"/>
      <c r="B43" s="42"/>
      <c r="C43" s="52"/>
      <c r="D43" s="42"/>
      <c r="E43" s="42"/>
      <c r="F43" s="41"/>
      <c r="G43" s="69"/>
      <c r="H43" s="42"/>
      <c r="I43" s="41"/>
      <c r="J43" s="42"/>
      <c r="K43" s="51"/>
      <c r="L43" s="41"/>
      <c r="M43" s="42"/>
      <c r="N43" s="63"/>
      <c r="O43" s="52"/>
      <c r="P43" s="42"/>
      <c r="Q43" s="42"/>
      <c r="R43" s="64"/>
      <c r="S43" s="51"/>
      <c r="T43" s="42"/>
      <c r="U43" s="41"/>
      <c r="V43" s="42"/>
      <c r="W43" s="69"/>
      <c r="X43" s="42"/>
      <c r="Y43" s="41"/>
      <c r="Z43" s="64"/>
      <c r="AA43" s="51"/>
      <c r="AB43" s="41"/>
      <c r="AC43" s="42"/>
    </row>
    <row r="44" spans="1:29" x14ac:dyDescent="0.2">
      <c r="A44" s="42"/>
      <c r="B44" s="42"/>
      <c r="C44" s="52"/>
      <c r="D44" s="42"/>
      <c r="E44" s="42"/>
      <c r="F44" s="41"/>
      <c r="G44" s="69"/>
      <c r="H44" s="42"/>
      <c r="I44" s="41"/>
      <c r="J44" s="42"/>
      <c r="K44" s="51"/>
      <c r="L44" s="41"/>
      <c r="M44" s="42"/>
      <c r="N44" s="63"/>
      <c r="O44" s="52"/>
      <c r="P44" s="42"/>
      <c r="Q44" s="42"/>
      <c r="R44" s="64"/>
      <c r="S44" s="51"/>
      <c r="T44" s="42"/>
      <c r="U44" s="41"/>
      <c r="V44" s="42"/>
      <c r="W44" s="69"/>
      <c r="X44" s="42"/>
      <c r="Y44" s="41"/>
      <c r="Z44" s="64"/>
      <c r="AA44" s="51"/>
      <c r="AB44" s="41"/>
      <c r="AC44" s="42"/>
    </row>
    <row r="45" spans="1:29" x14ac:dyDescent="0.2">
      <c r="A45" s="42"/>
      <c r="B45" s="42"/>
      <c r="C45" s="52"/>
      <c r="D45" s="42"/>
      <c r="E45" s="42"/>
      <c r="F45" s="41"/>
      <c r="G45" s="69"/>
      <c r="H45" s="42"/>
      <c r="I45" s="41"/>
      <c r="J45" s="42"/>
      <c r="K45" s="69"/>
      <c r="L45" s="41"/>
      <c r="M45" s="42"/>
      <c r="N45" s="42"/>
      <c r="O45" s="67"/>
      <c r="P45" s="42"/>
      <c r="Q45" s="42"/>
      <c r="R45" s="64"/>
      <c r="S45" s="51"/>
      <c r="T45" s="42"/>
      <c r="U45" s="41"/>
      <c r="V45" s="42"/>
      <c r="W45" s="69"/>
      <c r="X45" s="42"/>
      <c r="Y45" s="41"/>
      <c r="Z45" s="64"/>
      <c r="AA45" s="51"/>
      <c r="AB45" s="41"/>
      <c r="AC45" s="42"/>
    </row>
    <row r="46" spans="1:29" x14ac:dyDescent="0.2">
      <c r="A46" s="42"/>
      <c r="B46" s="42"/>
      <c r="C46" s="52"/>
      <c r="D46" s="42"/>
      <c r="E46" s="42"/>
      <c r="F46" s="64"/>
      <c r="G46" s="51"/>
      <c r="H46" s="42"/>
      <c r="I46" s="41"/>
      <c r="J46" s="63"/>
      <c r="K46" s="51"/>
      <c r="L46" s="41"/>
      <c r="M46" s="42"/>
      <c r="N46" s="63"/>
      <c r="O46" s="52"/>
      <c r="P46" s="42"/>
      <c r="Q46" s="42"/>
      <c r="R46" s="64"/>
      <c r="S46" s="51"/>
      <c r="T46" s="42"/>
      <c r="U46" s="41"/>
      <c r="V46" s="42"/>
      <c r="W46" s="51"/>
      <c r="X46" s="42"/>
      <c r="Y46" s="41"/>
      <c r="Z46" s="64"/>
      <c r="AA46" s="51"/>
      <c r="AB46" s="41"/>
      <c r="AC46" s="42"/>
    </row>
    <row r="47" spans="1:29" x14ac:dyDescent="0.2">
      <c r="A47" s="42"/>
      <c r="B47" s="42"/>
      <c r="C47" s="52"/>
      <c r="D47" s="42"/>
      <c r="E47" s="42"/>
      <c r="F47" s="64"/>
      <c r="G47" s="51"/>
      <c r="H47" s="42"/>
      <c r="I47" s="41"/>
      <c r="J47" s="63"/>
      <c r="K47" s="51"/>
      <c r="L47" s="41"/>
      <c r="M47" s="42"/>
      <c r="N47" s="63"/>
      <c r="O47" s="52"/>
      <c r="P47" s="42"/>
      <c r="Q47" s="42"/>
      <c r="R47" s="64"/>
      <c r="S47" s="51"/>
      <c r="T47" s="42"/>
      <c r="U47" s="41"/>
      <c r="V47" s="42"/>
      <c r="W47" s="51"/>
      <c r="X47" s="42"/>
      <c r="Y47" s="41"/>
      <c r="Z47" s="64"/>
      <c r="AA47" s="51"/>
      <c r="AB47" s="41"/>
      <c r="AC47" s="42"/>
    </row>
    <row r="48" spans="1:29" x14ac:dyDescent="0.2">
      <c r="A48" s="42"/>
      <c r="B48" s="42"/>
      <c r="C48" s="52"/>
      <c r="D48" s="42"/>
      <c r="E48" s="42"/>
      <c r="F48" s="41"/>
      <c r="G48" s="69"/>
      <c r="H48" s="42"/>
      <c r="I48" s="41"/>
      <c r="J48" s="42"/>
      <c r="K48" s="51"/>
      <c r="L48" s="41"/>
      <c r="M48" s="42"/>
      <c r="N48" s="63"/>
      <c r="O48" s="52"/>
      <c r="P48" s="42"/>
      <c r="Q48" s="42"/>
      <c r="R48" s="64"/>
      <c r="S48" s="51"/>
      <c r="T48" s="42"/>
      <c r="U48" s="41"/>
      <c r="V48" s="42"/>
      <c r="W48" s="69"/>
      <c r="X48" s="42"/>
      <c r="Y48" s="41"/>
      <c r="Z48" s="64"/>
      <c r="AA48" s="51"/>
      <c r="AB48" s="41"/>
      <c r="AC48" s="42"/>
    </row>
    <row r="49" spans="1:29" x14ac:dyDescent="0.2">
      <c r="A49" s="42"/>
      <c r="B49" s="42"/>
      <c r="C49" s="52"/>
      <c r="D49" s="42"/>
      <c r="E49" s="42"/>
      <c r="F49" s="41"/>
      <c r="G49" s="69"/>
      <c r="H49" s="42"/>
      <c r="I49" s="41"/>
      <c r="J49" s="42"/>
      <c r="K49" s="51"/>
      <c r="L49" s="41"/>
      <c r="M49" s="42"/>
      <c r="N49" s="63"/>
      <c r="O49" s="52"/>
      <c r="P49" s="42"/>
      <c r="Q49" s="42"/>
      <c r="R49" s="64"/>
      <c r="S49" s="51"/>
      <c r="T49" s="42"/>
      <c r="U49" s="41"/>
      <c r="V49" s="42"/>
      <c r="W49" s="69"/>
      <c r="X49" s="42"/>
      <c r="Y49" s="41"/>
      <c r="Z49" s="64"/>
      <c r="AA49" s="51"/>
      <c r="AB49" s="41"/>
      <c r="AC49" s="42"/>
    </row>
    <row r="50" spans="1:29" x14ac:dyDescent="0.2">
      <c r="A50" s="42"/>
      <c r="B50" s="42"/>
      <c r="C50" s="52"/>
      <c r="D50" s="42"/>
      <c r="E50" s="42"/>
      <c r="F50" s="41"/>
      <c r="G50" s="69"/>
      <c r="H50" s="42"/>
      <c r="I50" s="41"/>
      <c r="J50" s="42"/>
      <c r="K50" s="69"/>
      <c r="L50" s="41"/>
      <c r="M50" s="42"/>
      <c r="N50" s="42"/>
      <c r="O50" s="67"/>
      <c r="P50" s="42"/>
      <c r="Q50" s="42"/>
      <c r="R50" s="64"/>
      <c r="S50" s="51"/>
      <c r="T50" s="42"/>
      <c r="U50" s="41"/>
      <c r="V50" s="42"/>
      <c r="W50" s="69"/>
      <c r="X50" s="42"/>
      <c r="Y50" s="41"/>
      <c r="Z50" s="64"/>
      <c r="AA50" s="51"/>
      <c r="AB50" s="41"/>
      <c r="AC50" s="42"/>
    </row>
    <row r="51" spans="1:29" x14ac:dyDescent="0.2">
      <c r="A51" s="42"/>
      <c r="B51" s="42"/>
      <c r="C51" s="52"/>
      <c r="D51" s="42"/>
      <c r="E51" s="42"/>
      <c r="F51" s="64"/>
      <c r="G51" s="51"/>
      <c r="H51" s="42"/>
      <c r="I51" s="41"/>
      <c r="J51" s="63"/>
      <c r="K51" s="51"/>
      <c r="L51" s="41"/>
      <c r="M51" s="42"/>
      <c r="N51" s="63"/>
      <c r="O51" s="52"/>
      <c r="P51" s="42"/>
      <c r="Q51" s="42"/>
      <c r="R51" s="64"/>
      <c r="S51" s="51"/>
      <c r="T51" s="42"/>
      <c r="U51" s="41"/>
      <c r="V51" s="42"/>
      <c r="W51" s="51"/>
      <c r="X51" s="42"/>
      <c r="Y51" s="41"/>
      <c r="Z51" s="64"/>
      <c r="AA51" s="51"/>
      <c r="AB51" s="41"/>
      <c r="AC51" s="42"/>
    </row>
    <row r="52" spans="1:29" x14ac:dyDescent="0.2">
      <c r="A52" s="42"/>
      <c r="B52" s="42"/>
      <c r="C52" s="52"/>
      <c r="D52" s="42"/>
      <c r="E52" s="42"/>
      <c r="F52" s="64"/>
      <c r="G52" s="51"/>
      <c r="H52" s="42"/>
      <c r="I52" s="41"/>
      <c r="J52" s="63"/>
      <c r="K52" s="51"/>
      <c r="L52" s="41"/>
      <c r="M52" s="42"/>
      <c r="N52" s="63"/>
      <c r="O52" s="52"/>
      <c r="P52" s="42"/>
      <c r="Q52" s="42"/>
      <c r="R52" s="64"/>
      <c r="S52" s="51"/>
      <c r="T52" s="42"/>
      <c r="U52" s="41"/>
      <c r="V52" s="42"/>
      <c r="W52" s="51"/>
      <c r="X52" s="42"/>
      <c r="Y52" s="41"/>
      <c r="Z52" s="64"/>
      <c r="AA52" s="51"/>
      <c r="AB52" s="41"/>
      <c r="AC52" s="42"/>
    </row>
    <row r="53" spans="1:29" x14ac:dyDescent="0.2">
      <c r="A53" s="42"/>
      <c r="B53" s="42"/>
      <c r="C53" s="52"/>
      <c r="D53" s="42"/>
      <c r="E53" s="42"/>
      <c r="F53" s="41"/>
      <c r="G53" s="69"/>
      <c r="H53" s="42"/>
      <c r="I53" s="41"/>
      <c r="J53" s="42"/>
      <c r="K53" s="51"/>
      <c r="L53" s="41"/>
      <c r="M53" s="42"/>
      <c r="N53" s="63"/>
      <c r="O53" s="52"/>
      <c r="P53" s="42"/>
      <c r="Q53" s="42"/>
      <c r="R53" s="64"/>
      <c r="S53" s="51"/>
      <c r="T53" s="42"/>
      <c r="U53" s="41"/>
      <c r="V53" s="42"/>
      <c r="W53" s="69"/>
      <c r="X53" s="42"/>
      <c r="Y53" s="41"/>
      <c r="Z53" s="64"/>
      <c r="AA53" s="51"/>
      <c r="AB53" s="41"/>
      <c r="AC53" s="42"/>
    </row>
    <row r="54" spans="1:29" x14ac:dyDescent="0.2">
      <c r="A54" s="42"/>
      <c r="B54" s="42"/>
      <c r="C54" s="52"/>
      <c r="D54" s="42"/>
      <c r="E54" s="42"/>
      <c r="F54" s="41"/>
      <c r="G54" s="69"/>
      <c r="H54" s="42"/>
      <c r="I54" s="41"/>
      <c r="J54" s="42"/>
      <c r="K54" s="51"/>
      <c r="L54" s="41"/>
      <c r="M54" s="42"/>
      <c r="N54" s="63"/>
      <c r="O54" s="52"/>
      <c r="P54" s="42"/>
      <c r="Q54" s="42"/>
      <c r="R54" s="64"/>
      <c r="S54" s="51"/>
      <c r="T54" s="42"/>
      <c r="U54" s="41"/>
      <c r="V54" s="42"/>
      <c r="W54" s="69"/>
      <c r="X54" s="42"/>
      <c r="Y54" s="41"/>
      <c r="Z54" s="64"/>
      <c r="AA54" s="51"/>
      <c r="AB54" s="41"/>
      <c r="AC54" s="42"/>
    </row>
    <row r="55" spans="1:29" x14ac:dyDescent="0.2">
      <c r="A55" s="42"/>
      <c r="B55" s="42"/>
      <c r="C55" s="52"/>
      <c r="D55" s="42"/>
      <c r="E55" s="42"/>
      <c r="F55" s="41"/>
      <c r="G55" s="69"/>
      <c r="H55" s="42"/>
      <c r="I55" s="41"/>
      <c r="J55" s="42"/>
      <c r="K55" s="69"/>
      <c r="L55" s="41"/>
      <c r="M55" s="42"/>
      <c r="N55" s="42"/>
      <c r="O55" s="67"/>
      <c r="P55" s="42"/>
      <c r="Q55" s="42"/>
      <c r="R55" s="64"/>
      <c r="S55" s="51"/>
      <c r="T55" s="42"/>
      <c r="U55" s="41"/>
      <c r="V55" s="42"/>
      <c r="W55" s="69"/>
      <c r="X55" s="42"/>
      <c r="Y55" s="41"/>
      <c r="Z55" s="64"/>
      <c r="AA55" s="51"/>
      <c r="AB55" s="41"/>
      <c r="AC55" s="42"/>
    </row>
    <row r="56" spans="1:29" x14ac:dyDescent="0.2">
      <c r="A56" s="42"/>
      <c r="B56" s="42"/>
      <c r="C56" s="52"/>
      <c r="D56" s="42"/>
      <c r="E56" s="42"/>
      <c r="F56" s="64"/>
      <c r="G56" s="51"/>
      <c r="H56" s="42"/>
      <c r="I56" s="41"/>
      <c r="J56" s="63"/>
      <c r="K56" s="51"/>
      <c r="L56" s="41"/>
      <c r="M56" s="42"/>
      <c r="N56" s="63"/>
      <c r="O56" s="52"/>
      <c r="P56" s="42"/>
      <c r="Q56" s="42"/>
      <c r="R56" s="64"/>
      <c r="S56" s="51"/>
      <c r="T56" s="42"/>
      <c r="U56" s="41"/>
      <c r="V56" s="42"/>
      <c r="W56" s="51"/>
      <c r="X56" s="42"/>
      <c r="Y56" s="41"/>
      <c r="Z56" s="64"/>
      <c r="AA56" s="51"/>
      <c r="AB56" s="41"/>
      <c r="AC56" s="42"/>
    </row>
    <row r="57" spans="1:29" x14ac:dyDescent="0.2">
      <c r="A57" s="42"/>
      <c r="B57" s="42"/>
      <c r="C57" s="52"/>
      <c r="D57" s="42"/>
      <c r="E57" s="42"/>
      <c r="F57" s="64"/>
      <c r="G57" s="51"/>
      <c r="H57" s="42"/>
      <c r="I57" s="41"/>
      <c r="J57" s="63"/>
      <c r="K57" s="51"/>
      <c r="L57" s="41"/>
      <c r="M57" s="42"/>
      <c r="N57" s="63"/>
      <c r="O57" s="52"/>
      <c r="P57" s="42"/>
      <c r="Q57" s="42"/>
      <c r="R57" s="64"/>
      <c r="S57" s="51"/>
      <c r="T57" s="42"/>
      <c r="U57" s="41"/>
      <c r="V57" s="42"/>
      <c r="W57" s="51"/>
      <c r="X57" s="42"/>
      <c r="Y57" s="41"/>
      <c r="Z57" s="64"/>
      <c r="AA57" s="51"/>
      <c r="AB57" s="41"/>
      <c r="AC57" s="42"/>
    </row>
    <row r="58" spans="1:29" x14ac:dyDescent="0.2">
      <c r="A58" s="42"/>
      <c r="B58" s="42"/>
      <c r="C58" s="52"/>
      <c r="D58" s="42"/>
      <c r="E58" s="42"/>
      <c r="F58" s="41"/>
      <c r="G58" s="69"/>
      <c r="H58" s="42"/>
      <c r="I58" s="41"/>
      <c r="J58" s="42"/>
      <c r="K58" s="51"/>
      <c r="L58" s="41"/>
      <c r="M58" s="42"/>
      <c r="N58" s="63"/>
      <c r="O58" s="52"/>
      <c r="P58" s="42"/>
      <c r="Q58" s="42"/>
      <c r="R58" s="64"/>
      <c r="S58" s="51"/>
      <c r="T58" s="42"/>
      <c r="U58" s="41"/>
      <c r="V58" s="42"/>
      <c r="W58" s="69"/>
      <c r="X58" s="42"/>
      <c r="Y58" s="41"/>
      <c r="Z58" s="64"/>
      <c r="AA58" s="51"/>
      <c r="AB58" s="41"/>
      <c r="AC58" s="42"/>
    </row>
    <row r="59" spans="1:29" x14ac:dyDescent="0.2">
      <c r="A59" s="42"/>
      <c r="B59" s="42"/>
      <c r="C59" s="52"/>
      <c r="D59" s="42"/>
      <c r="E59" s="42"/>
      <c r="F59" s="41"/>
      <c r="G59" s="69"/>
      <c r="H59" s="42"/>
      <c r="I59" s="41"/>
      <c r="J59" s="42"/>
      <c r="K59" s="51"/>
      <c r="L59" s="41"/>
      <c r="M59" s="42"/>
      <c r="N59" s="63"/>
      <c r="O59" s="52"/>
      <c r="P59" s="42"/>
      <c r="Q59" s="42"/>
      <c r="R59" s="64"/>
      <c r="S59" s="51"/>
      <c r="T59" s="42"/>
      <c r="U59" s="41"/>
      <c r="V59" s="42"/>
      <c r="W59" s="69"/>
      <c r="X59" s="42"/>
      <c r="Y59" s="41"/>
      <c r="Z59" s="64"/>
      <c r="AA59" s="51"/>
      <c r="AB59" s="41"/>
      <c r="AC59" s="42"/>
    </row>
    <row r="60" spans="1:29" x14ac:dyDescent="0.2">
      <c r="A60" s="42"/>
      <c r="B60" s="42"/>
      <c r="C60" s="52"/>
      <c r="D60" s="42"/>
      <c r="E60" s="42"/>
      <c r="F60" s="41"/>
      <c r="G60" s="69"/>
      <c r="H60" s="42"/>
      <c r="I60" s="41"/>
      <c r="J60" s="42"/>
      <c r="K60" s="69"/>
      <c r="L60" s="41"/>
      <c r="M60" s="42"/>
      <c r="N60" s="42"/>
      <c r="O60" s="67"/>
      <c r="P60" s="42"/>
      <c r="Q60" s="42"/>
      <c r="R60" s="64"/>
      <c r="S60" s="51"/>
      <c r="T60" s="42"/>
      <c r="U60" s="41"/>
      <c r="V60" s="42"/>
      <c r="W60" s="69"/>
      <c r="X60" s="42"/>
      <c r="Y60" s="41"/>
      <c r="Z60" s="64"/>
      <c r="AA60" s="51"/>
      <c r="AB60" s="41"/>
      <c r="AC60" s="42"/>
    </row>
    <row r="61" spans="1:29" x14ac:dyDescent="0.2">
      <c r="A61" s="42"/>
      <c r="B61" s="42"/>
      <c r="C61" s="52"/>
      <c r="D61" s="42"/>
      <c r="E61" s="42"/>
      <c r="F61" s="64"/>
      <c r="G61" s="51"/>
      <c r="H61" s="42"/>
      <c r="I61" s="41"/>
      <c r="J61" s="63"/>
      <c r="K61" s="51"/>
      <c r="L61" s="41"/>
      <c r="M61" s="42"/>
      <c r="N61" s="63"/>
      <c r="O61" s="52"/>
      <c r="P61" s="42"/>
      <c r="Q61" s="42"/>
      <c r="R61" s="64"/>
      <c r="S61" s="51"/>
      <c r="T61" s="42"/>
      <c r="U61" s="41"/>
      <c r="V61" s="42"/>
      <c r="W61" s="51"/>
      <c r="X61" s="42"/>
      <c r="Y61" s="41"/>
      <c r="Z61" s="64"/>
      <c r="AA61" s="51"/>
      <c r="AB61" s="41"/>
      <c r="AC61" s="42"/>
    </row>
    <row r="62" spans="1:29" x14ac:dyDescent="0.2">
      <c r="A62" s="42"/>
      <c r="B62" s="42"/>
      <c r="C62" s="52"/>
      <c r="D62" s="42"/>
      <c r="E62" s="42"/>
      <c r="F62" s="64"/>
      <c r="G62" s="51"/>
      <c r="H62" s="42"/>
      <c r="I62" s="41"/>
      <c r="J62" s="63"/>
      <c r="K62" s="51"/>
      <c r="L62" s="41"/>
      <c r="M62" s="42"/>
      <c r="N62" s="63"/>
      <c r="O62" s="52"/>
      <c r="P62" s="42"/>
      <c r="Q62" s="42"/>
      <c r="R62" s="64"/>
      <c r="S62" s="51"/>
      <c r="T62" s="42"/>
      <c r="U62" s="41"/>
      <c r="V62" s="42"/>
      <c r="W62" s="51"/>
      <c r="X62" s="42"/>
      <c r="Y62" s="41"/>
      <c r="Z62" s="64"/>
      <c r="AA62" s="51"/>
      <c r="AB62" s="41"/>
      <c r="AC62" s="42"/>
    </row>
    <row r="63" spans="1:29" x14ac:dyDescent="0.2">
      <c r="A63" s="42"/>
      <c r="B63" s="42"/>
      <c r="C63" s="52"/>
      <c r="D63" s="42"/>
      <c r="E63" s="42"/>
      <c r="F63" s="41"/>
      <c r="G63" s="69"/>
      <c r="H63" s="42"/>
      <c r="I63" s="41"/>
      <c r="J63" s="42"/>
      <c r="K63" s="51"/>
      <c r="L63" s="41"/>
      <c r="M63" s="42"/>
      <c r="N63" s="63"/>
      <c r="O63" s="52"/>
      <c r="P63" s="42"/>
      <c r="Q63" s="42"/>
      <c r="R63" s="64"/>
      <c r="S63" s="51"/>
      <c r="T63" s="42"/>
      <c r="U63" s="41"/>
      <c r="V63" s="42"/>
      <c r="W63" s="69"/>
      <c r="X63" s="42"/>
      <c r="Y63" s="41"/>
      <c r="Z63" s="64"/>
      <c r="AA63" s="51"/>
      <c r="AB63" s="41"/>
      <c r="AC63" s="42"/>
    </row>
    <row r="64" spans="1:29" x14ac:dyDescent="0.2">
      <c r="A64" s="42"/>
      <c r="B64" s="42"/>
      <c r="C64" s="52"/>
      <c r="D64" s="42"/>
      <c r="E64" s="42"/>
      <c r="F64" s="41"/>
      <c r="G64" s="69"/>
      <c r="H64" s="42"/>
      <c r="I64" s="41"/>
      <c r="J64" s="42"/>
      <c r="K64" s="51"/>
      <c r="L64" s="41"/>
      <c r="M64" s="42"/>
      <c r="N64" s="63"/>
      <c r="O64" s="52"/>
      <c r="P64" s="42"/>
      <c r="Q64" s="42"/>
      <c r="R64" s="64"/>
      <c r="S64" s="51"/>
      <c r="T64" s="42"/>
      <c r="U64" s="41"/>
      <c r="V64" s="42"/>
      <c r="W64" s="69"/>
      <c r="X64" s="42"/>
      <c r="Y64" s="41"/>
      <c r="Z64" s="64"/>
      <c r="AA64" s="51"/>
      <c r="AB64" s="41"/>
      <c r="AC64" s="42"/>
    </row>
    <row r="65" spans="1:29" x14ac:dyDescent="0.2">
      <c r="A65" s="42"/>
      <c r="B65" s="42"/>
      <c r="C65" s="52"/>
      <c r="D65" s="42"/>
      <c r="E65" s="42"/>
      <c r="F65" s="41"/>
      <c r="G65" s="69"/>
      <c r="H65" s="42"/>
      <c r="I65" s="41"/>
      <c r="J65" s="42"/>
      <c r="K65" s="69"/>
      <c r="L65" s="41"/>
      <c r="M65" s="42"/>
      <c r="N65" s="42"/>
      <c r="O65" s="67"/>
      <c r="P65" s="42"/>
      <c r="Q65" s="42"/>
      <c r="R65" s="64"/>
      <c r="S65" s="51"/>
      <c r="T65" s="42"/>
      <c r="U65" s="41"/>
      <c r="V65" s="42"/>
      <c r="W65" s="69"/>
      <c r="X65" s="42"/>
      <c r="Y65" s="41"/>
      <c r="Z65" s="64"/>
      <c r="AA65" s="51"/>
      <c r="AB65" s="41"/>
      <c r="AC65" s="42"/>
    </row>
    <row r="66" spans="1:29" x14ac:dyDescent="0.2">
      <c r="A66" s="42"/>
      <c r="B66" s="42"/>
      <c r="C66" s="52"/>
      <c r="D66" s="42"/>
      <c r="E66" s="42"/>
      <c r="F66" s="64"/>
      <c r="G66" s="51"/>
      <c r="H66" s="42"/>
      <c r="I66" s="41"/>
      <c r="J66" s="63"/>
      <c r="K66" s="51"/>
      <c r="L66" s="41"/>
      <c r="M66" s="42"/>
      <c r="N66" s="63"/>
      <c r="O66" s="52"/>
      <c r="P66" s="42"/>
      <c r="Q66" s="42"/>
      <c r="R66" s="64"/>
      <c r="S66" s="51"/>
      <c r="T66" s="42"/>
      <c r="U66" s="41"/>
      <c r="V66" s="42"/>
      <c r="W66" s="51"/>
      <c r="X66" s="42"/>
      <c r="Y66" s="41"/>
      <c r="Z66" s="64"/>
      <c r="AA66" s="51"/>
      <c r="AB66" s="41"/>
      <c r="AC66" s="42"/>
    </row>
    <row r="67" spans="1:29" x14ac:dyDescent="0.2">
      <c r="A67" s="42"/>
      <c r="B67" s="42"/>
      <c r="C67" s="52"/>
      <c r="D67" s="42"/>
      <c r="E67" s="42"/>
      <c r="F67" s="64"/>
      <c r="G67" s="51"/>
      <c r="H67" s="42"/>
      <c r="I67" s="41"/>
      <c r="J67" s="63"/>
      <c r="K67" s="51"/>
      <c r="L67" s="41"/>
      <c r="M67" s="42"/>
      <c r="N67" s="63"/>
      <c r="O67" s="52"/>
      <c r="P67" s="42"/>
      <c r="Q67" s="42"/>
      <c r="R67" s="64"/>
      <c r="S67" s="51"/>
      <c r="T67" s="42"/>
      <c r="U67" s="41"/>
      <c r="V67" s="42"/>
      <c r="W67" s="51"/>
      <c r="X67" s="42"/>
      <c r="Y67" s="41"/>
      <c r="Z67" s="64"/>
      <c r="AA67" s="51"/>
      <c r="AB67" s="41"/>
      <c r="AC67" s="42"/>
    </row>
    <row r="68" spans="1:29" x14ac:dyDescent="0.2">
      <c r="A68" s="42"/>
      <c r="B68" s="42"/>
      <c r="C68" s="52"/>
      <c r="D68" s="42"/>
      <c r="E68" s="42"/>
      <c r="F68" s="41"/>
      <c r="G68" s="69"/>
      <c r="H68" s="42"/>
      <c r="I68" s="41"/>
      <c r="J68" s="42"/>
      <c r="K68" s="51"/>
      <c r="L68" s="41"/>
      <c r="M68" s="42"/>
      <c r="N68" s="63"/>
      <c r="O68" s="52"/>
      <c r="P68" s="42"/>
      <c r="Q68" s="42"/>
      <c r="R68" s="64"/>
      <c r="S68" s="51"/>
      <c r="T68" s="42"/>
      <c r="U68" s="41"/>
      <c r="V68" s="42"/>
      <c r="W68" s="69"/>
      <c r="X68" s="42"/>
      <c r="Y68" s="41"/>
      <c r="Z68" s="64"/>
      <c r="AA68" s="51"/>
      <c r="AB68" s="41"/>
      <c r="AC68" s="42"/>
    </row>
    <row r="69" spans="1:29" x14ac:dyDescent="0.2">
      <c r="A69" s="42"/>
      <c r="B69" s="42"/>
      <c r="C69" s="52"/>
      <c r="D69" s="42"/>
      <c r="E69" s="42"/>
      <c r="F69" s="41"/>
      <c r="G69" s="69"/>
      <c r="H69" s="42"/>
      <c r="I69" s="41"/>
      <c r="J69" s="42"/>
      <c r="K69" s="51"/>
      <c r="L69" s="41"/>
      <c r="M69" s="42"/>
      <c r="N69" s="63"/>
      <c r="O69" s="52"/>
      <c r="P69" s="42"/>
      <c r="Q69" s="42"/>
      <c r="R69" s="64"/>
      <c r="S69" s="51"/>
      <c r="T69" s="42"/>
      <c r="U69" s="41"/>
      <c r="V69" s="42"/>
      <c r="W69" s="69"/>
      <c r="X69" s="42"/>
      <c r="Y69" s="41"/>
      <c r="Z69" s="64"/>
      <c r="AA69" s="51"/>
      <c r="AB69" s="41"/>
      <c r="AC69" s="42"/>
    </row>
    <row r="70" spans="1:29" x14ac:dyDescent="0.2">
      <c r="A70" s="42"/>
      <c r="B70" s="42"/>
      <c r="C70" s="52"/>
      <c r="D70" s="42"/>
      <c r="E70" s="42"/>
      <c r="F70" s="41"/>
      <c r="G70" s="69"/>
      <c r="H70" s="42"/>
      <c r="I70" s="41"/>
      <c r="J70" s="42"/>
      <c r="K70" s="69"/>
      <c r="L70" s="41"/>
      <c r="M70" s="42"/>
      <c r="N70" s="42"/>
      <c r="O70" s="67"/>
      <c r="P70" s="42"/>
      <c r="Q70" s="42"/>
      <c r="R70" s="64"/>
      <c r="S70" s="51"/>
      <c r="T70" s="42"/>
      <c r="U70" s="41"/>
      <c r="V70" s="42"/>
      <c r="W70" s="69"/>
      <c r="X70" s="42"/>
      <c r="Y70" s="41"/>
      <c r="Z70" s="64"/>
      <c r="AA70" s="51"/>
      <c r="AB70" s="41"/>
      <c r="AC70" s="42"/>
    </row>
    <row r="71" spans="1:29" x14ac:dyDescent="0.2">
      <c r="A71" s="42"/>
      <c r="B71" s="42"/>
      <c r="C71" s="52"/>
      <c r="D71" s="42"/>
      <c r="E71" s="42"/>
      <c r="F71" s="64"/>
      <c r="G71" s="51"/>
      <c r="H71" s="42"/>
      <c r="I71" s="41"/>
      <c r="J71" s="63"/>
      <c r="K71" s="51"/>
      <c r="L71" s="41"/>
      <c r="M71" s="42"/>
      <c r="N71" s="63"/>
      <c r="O71" s="52"/>
      <c r="P71" s="42"/>
      <c r="Q71" s="42"/>
      <c r="R71" s="64"/>
      <c r="S71" s="51"/>
      <c r="T71" s="42"/>
      <c r="U71" s="41"/>
      <c r="V71" s="42"/>
      <c r="W71" s="51"/>
      <c r="X71" s="42"/>
      <c r="Y71" s="41"/>
      <c r="Z71" s="64"/>
      <c r="AA71" s="51"/>
      <c r="AB71" s="41"/>
      <c r="AC71" s="42"/>
    </row>
    <row r="72" spans="1:29" x14ac:dyDescent="0.2">
      <c r="A72" s="42"/>
      <c r="B72" s="42"/>
      <c r="C72" s="52"/>
      <c r="D72" s="42"/>
      <c r="E72" s="42"/>
      <c r="F72" s="64"/>
      <c r="G72" s="51"/>
      <c r="H72" s="42"/>
      <c r="I72" s="41"/>
      <c r="J72" s="63"/>
      <c r="K72" s="51"/>
      <c r="L72" s="41"/>
      <c r="M72" s="42"/>
      <c r="N72" s="63"/>
      <c r="O72" s="52"/>
      <c r="P72" s="42"/>
      <c r="Q72" s="42"/>
      <c r="R72" s="64"/>
      <c r="S72" s="51"/>
      <c r="T72" s="42"/>
      <c r="U72" s="41"/>
      <c r="V72" s="42"/>
      <c r="W72" s="51"/>
      <c r="X72" s="42"/>
      <c r="Y72" s="41"/>
      <c r="Z72" s="64"/>
      <c r="AA72" s="51"/>
      <c r="AB72" s="41"/>
      <c r="AC72" s="42"/>
    </row>
    <row r="73" spans="1:29" x14ac:dyDescent="0.2">
      <c r="A73" s="42"/>
      <c r="B73" s="42"/>
      <c r="C73" s="52"/>
      <c r="D73" s="42"/>
      <c r="E73" s="42"/>
      <c r="F73" s="41"/>
      <c r="G73" s="69"/>
      <c r="H73" s="42"/>
      <c r="I73" s="41"/>
      <c r="J73" s="42"/>
      <c r="K73" s="51"/>
      <c r="L73" s="41"/>
      <c r="M73" s="42"/>
      <c r="N73" s="63"/>
      <c r="O73" s="52"/>
      <c r="P73" s="42"/>
      <c r="Q73" s="42"/>
      <c r="R73" s="64"/>
      <c r="S73" s="51"/>
      <c r="T73" s="42"/>
      <c r="U73" s="41"/>
      <c r="V73" s="42"/>
      <c r="W73" s="69"/>
      <c r="X73" s="42"/>
      <c r="Y73" s="41"/>
      <c r="Z73" s="64"/>
      <c r="AA73" s="51"/>
      <c r="AB73" s="41"/>
      <c r="AC73" s="42"/>
    </row>
    <row r="74" spans="1:29" x14ac:dyDescent="0.2">
      <c r="A74" s="42"/>
      <c r="B74" s="42"/>
      <c r="C74" s="52"/>
      <c r="D74" s="42"/>
      <c r="E74" s="42"/>
      <c r="F74" s="41"/>
      <c r="G74" s="69"/>
      <c r="H74" s="42"/>
      <c r="I74" s="41"/>
      <c r="J74" s="42"/>
      <c r="K74" s="51"/>
      <c r="L74" s="41"/>
      <c r="M74" s="42"/>
      <c r="N74" s="63"/>
      <c r="O74" s="52"/>
      <c r="P74" s="42"/>
      <c r="Q74" s="42"/>
      <c r="R74" s="64"/>
      <c r="S74" s="51"/>
      <c r="T74" s="42"/>
      <c r="U74" s="41"/>
      <c r="V74" s="42"/>
      <c r="W74" s="69"/>
      <c r="X74" s="42"/>
      <c r="Y74" s="41"/>
      <c r="Z74" s="64"/>
      <c r="AA74" s="51"/>
      <c r="AB74" s="41"/>
      <c r="AC74" s="42"/>
    </row>
    <row r="75" spans="1:29" x14ac:dyDescent="0.2">
      <c r="A75" s="42"/>
      <c r="B75" s="42"/>
      <c r="C75" s="52"/>
      <c r="D75" s="42"/>
      <c r="E75" s="42"/>
      <c r="F75" s="41"/>
      <c r="G75" s="69"/>
      <c r="H75" s="42"/>
      <c r="I75" s="41"/>
      <c r="J75" s="42"/>
      <c r="K75" s="69"/>
      <c r="L75" s="41"/>
      <c r="M75" s="42"/>
      <c r="N75" s="42"/>
      <c r="O75" s="67"/>
      <c r="P75" s="42"/>
      <c r="Q75" s="42"/>
      <c r="R75" s="64"/>
      <c r="S75" s="51"/>
      <c r="T75" s="42"/>
      <c r="U75" s="41"/>
      <c r="V75" s="42"/>
      <c r="W75" s="69"/>
      <c r="X75" s="42"/>
      <c r="Y75" s="41"/>
      <c r="Z75" s="64"/>
      <c r="AA75" s="51"/>
      <c r="AB75" s="41"/>
      <c r="AC75" s="42"/>
    </row>
    <row r="76" spans="1:29" x14ac:dyDescent="0.2">
      <c r="A76" s="42"/>
      <c r="B76" s="42"/>
      <c r="C76" s="52"/>
      <c r="D76" s="42"/>
      <c r="E76" s="42"/>
      <c r="F76" s="64"/>
      <c r="G76" s="51"/>
      <c r="H76" s="42"/>
      <c r="I76" s="41"/>
      <c r="J76" s="63"/>
      <c r="K76" s="51"/>
      <c r="L76" s="41"/>
      <c r="M76" s="42"/>
      <c r="N76" s="63"/>
      <c r="O76" s="52"/>
      <c r="P76" s="42"/>
      <c r="Q76" s="42"/>
      <c r="R76" s="64"/>
      <c r="S76" s="51"/>
      <c r="T76" s="42"/>
      <c r="U76" s="41"/>
      <c r="V76" s="42"/>
      <c r="W76" s="51"/>
      <c r="X76" s="42"/>
      <c r="Y76" s="41"/>
      <c r="Z76" s="64"/>
      <c r="AA76" s="51"/>
      <c r="AB76" s="41"/>
      <c r="AC76" s="42"/>
    </row>
    <row r="77" spans="1:29" x14ac:dyDescent="0.2">
      <c r="A77" s="42"/>
      <c r="B77" s="42"/>
      <c r="C77" s="52"/>
      <c r="D77" s="42"/>
      <c r="E77" s="42"/>
      <c r="F77" s="64"/>
      <c r="G77" s="51"/>
      <c r="H77" s="42"/>
      <c r="I77" s="41"/>
      <c r="J77" s="63"/>
      <c r="K77" s="51"/>
      <c r="L77" s="41"/>
      <c r="M77" s="42"/>
      <c r="N77" s="63"/>
      <c r="O77" s="52"/>
      <c r="P77" s="42"/>
      <c r="Q77" s="42"/>
      <c r="R77" s="64"/>
      <c r="S77" s="51"/>
      <c r="T77" s="42"/>
      <c r="U77" s="41"/>
      <c r="V77" s="42"/>
      <c r="W77" s="51"/>
      <c r="X77" s="42"/>
      <c r="Y77" s="41"/>
      <c r="Z77" s="64"/>
      <c r="AA77" s="51"/>
      <c r="AB77" s="41"/>
      <c r="AC77" s="42"/>
    </row>
    <row r="78" spans="1:29" x14ac:dyDescent="0.2">
      <c r="A78" s="42"/>
      <c r="B78" s="42"/>
      <c r="C78" s="52"/>
      <c r="D78" s="42"/>
      <c r="E78" s="42"/>
      <c r="F78" s="41"/>
      <c r="G78" s="69"/>
      <c r="H78" s="42"/>
      <c r="I78" s="41"/>
      <c r="J78" s="42"/>
      <c r="K78" s="51"/>
      <c r="L78" s="41"/>
      <c r="M78" s="42"/>
      <c r="N78" s="63"/>
      <c r="O78" s="52"/>
      <c r="P78" s="42"/>
      <c r="Q78" s="42"/>
      <c r="R78" s="64"/>
      <c r="S78" s="51"/>
      <c r="T78" s="42"/>
      <c r="U78" s="41"/>
      <c r="V78" s="42"/>
      <c r="W78" s="69"/>
      <c r="X78" s="42"/>
      <c r="Y78" s="41"/>
      <c r="Z78" s="64"/>
      <c r="AA78" s="51"/>
      <c r="AB78" s="41"/>
      <c r="AC78" s="42"/>
    </row>
    <row r="79" spans="1:29" x14ac:dyDescent="0.2">
      <c r="A79" s="42"/>
      <c r="B79" s="42"/>
      <c r="C79" s="52"/>
      <c r="D79" s="42"/>
      <c r="E79" s="42"/>
      <c r="F79" s="41"/>
      <c r="G79" s="69"/>
      <c r="H79" s="42"/>
      <c r="I79" s="41"/>
      <c r="J79" s="42"/>
      <c r="K79" s="51"/>
      <c r="L79" s="41"/>
      <c r="M79" s="42"/>
      <c r="N79" s="63"/>
      <c r="O79" s="52"/>
      <c r="P79" s="42"/>
      <c r="Q79" s="42"/>
      <c r="R79" s="64"/>
      <c r="S79" s="51"/>
      <c r="T79" s="42"/>
      <c r="U79" s="41"/>
      <c r="V79" s="42"/>
      <c r="W79" s="69"/>
      <c r="X79" s="42"/>
      <c r="Y79" s="41"/>
      <c r="Z79" s="64"/>
      <c r="AA79" s="51"/>
      <c r="AB79" s="41"/>
      <c r="AC79" s="42"/>
    </row>
    <row r="80" spans="1:29" x14ac:dyDescent="0.2">
      <c r="A80" s="42"/>
      <c r="B80" s="42"/>
      <c r="C80" s="52"/>
      <c r="D80" s="42"/>
      <c r="E80" s="42"/>
      <c r="F80" s="41"/>
      <c r="G80" s="69"/>
      <c r="H80" s="42"/>
      <c r="I80" s="41"/>
      <c r="J80" s="42"/>
      <c r="K80" s="69"/>
      <c r="L80" s="41"/>
      <c r="M80" s="42"/>
      <c r="N80" s="42"/>
      <c r="O80" s="67"/>
      <c r="P80" s="42"/>
      <c r="Q80" s="42"/>
      <c r="R80" s="64"/>
      <c r="S80" s="51"/>
      <c r="T80" s="42"/>
      <c r="U80" s="41"/>
      <c r="V80" s="42"/>
      <c r="W80" s="69"/>
      <c r="X80" s="42"/>
      <c r="Y80" s="41"/>
      <c r="Z80" s="64"/>
      <c r="AA80" s="51"/>
      <c r="AB80" s="41"/>
      <c r="AC80" s="42"/>
    </row>
    <row r="81" spans="1:29" x14ac:dyDescent="0.2">
      <c r="A81" s="42"/>
      <c r="B81" s="42"/>
      <c r="C81" s="52"/>
      <c r="D81" s="42"/>
      <c r="E81" s="42"/>
      <c r="F81" s="64"/>
      <c r="G81" s="51"/>
      <c r="H81" s="42"/>
      <c r="I81" s="41"/>
      <c r="J81" s="63"/>
      <c r="K81" s="51"/>
      <c r="L81" s="41"/>
      <c r="M81" s="42"/>
      <c r="N81" s="63"/>
      <c r="O81" s="52"/>
      <c r="P81" s="42"/>
      <c r="Q81" s="42"/>
      <c r="R81" s="64"/>
      <c r="S81" s="51"/>
      <c r="T81" s="42"/>
      <c r="U81" s="41"/>
      <c r="V81" s="42"/>
      <c r="W81" s="51"/>
      <c r="X81" s="42"/>
      <c r="Y81" s="41"/>
      <c r="Z81" s="64"/>
      <c r="AA81" s="51"/>
      <c r="AB81" s="41"/>
      <c r="AC81" s="42"/>
    </row>
    <row r="82" spans="1:29" x14ac:dyDescent="0.2">
      <c r="A82" s="42"/>
      <c r="B82" s="42"/>
      <c r="C82" s="52"/>
      <c r="D82" s="42"/>
      <c r="E82" s="42"/>
      <c r="F82" s="64"/>
      <c r="G82" s="51"/>
      <c r="H82" s="42"/>
      <c r="I82" s="41"/>
      <c r="J82" s="63"/>
      <c r="K82" s="51"/>
      <c r="L82" s="41"/>
      <c r="M82" s="42"/>
      <c r="N82" s="63"/>
      <c r="O82" s="52"/>
      <c r="P82" s="42"/>
      <c r="Q82" s="42"/>
      <c r="R82" s="64"/>
      <c r="S82" s="51"/>
      <c r="T82" s="42"/>
      <c r="U82" s="41"/>
      <c r="V82" s="42"/>
      <c r="W82" s="51"/>
      <c r="X82" s="42"/>
      <c r="Y82" s="41"/>
      <c r="Z82" s="64"/>
      <c r="AA82" s="51"/>
      <c r="AB82" s="41"/>
      <c r="AC82" s="42"/>
    </row>
    <row r="83" spans="1:29" x14ac:dyDescent="0.2">
      <c r="A83" s="42"/>
      <c r="B83" s="42"/>
      <c r="C83" s="52"/>
      <c r="D83" s="42"/>
      <c r="E83" s="42"/>
      <c r="F83" s="41"/>
      <c r="G83" s="69"/>
      <c r="H83" s="42"/>
      <c r="I83" s="41"/>
      <c r="J83" s="42"/>
      <c r="K83" s="51"/>
      <c r="L83" s="41"/>
      <c r="M83" s="42"/>
      <c r="N83" s="63"/>
      <c r="O83" s="52"/>
      <c r="P83" s="42"/>
      <c r="Q83" s="42"/>
      <c r="R83" s="64"/>
      <c r="S83" s="51"/>
      <c r="T83" s="42"/>
      <c r="U83" s="41"/>
      <c r="V83" s="42"/>
      <c r="W83" s="69"/>
      <c r="X83" s="42"/>
      <c r="Y83" s="41"/>
      <c r="Z83" s="64"/>
      <c r="AA83" s="51"/>
      <c r="AB83" s="41"/>
      <c r="AC83" s="42"/>
    </row>
    <row r="84" spans="1:29" x14ac:dyDescent="0.2">
      <c r="A84" s="42"/>
      <c r="B84" s="42"/>
      <c r="C84" s="52"/>
      <c r="D84" s="42"/>
      <c r="E84" s="42"/>
      <c r="F84" s="41"/>
      <c r="G84" s="69"/>
      <c r="H84" s="42"/>
      <c r="I84" s="41"/>
      <c r="J84" s="42"/>
      <c r="K84" s="51"/>
      <c r="L84" s="41"/>
      <c r="M84" s="42"/>
      <c r="N84" s="63"/>
      <c r="O84" s="52"/>
      <c r="P84" s="42"/>
      <c r="Q84" s="42"/>
      <c r="R84" s="64"/>
      <c r="S84" s="51"/>
      <c r="T84" s="42"/>
      <c r="U84" s="41"/>
      <c r="V84" s="42"/>
      <c r="W84" s="69"/>
      <c r="X84" s="42"/>
      <c r="Y84" s="41"/>
      <c r="Z84" s="64"/>
      <c r="AA84" s="51"/>
      <c r="AB84" s="41"/>
      <c r="AC84" s="42"/>
    </row>
    <row r="85" spans="1:29" x14ac:dyDescent="0.2">
      <c r="A85" s="42"/>
      <c r="B85" s="42"/>
      <c r="C85" s="52"/>
      <c r="D85" s="42"/>
      <c r="E85" s="42"/>
      <c r="F85" s="41"/>
      <c r="G85" s="69"/>
      <c r="H85" s="42"/>
      <c r="I85" s="41"/>
      <c r="J85" s="42"/>
      <c r="K85" s="69"/>
      <c r="L85" s="41"/>
      <c r="M85" s="42"/>
      <c r="N85" s="42"/>
      <c r="O85" s="67"/>
      <c r="P85" s="42"/>
      <c r="Q85" s="42"/>
      <c r="R85" s="64"/>
      <c r="S85" s="51"/>
      <c r="T85" s="42"/>
      <c r="U85" s="41"/>
      <c r="V85" s="42"/>
      <c r="W85" s="69"/>
      <c r="X85" s="42"/>
      <c r="Y85" s="41"/>
      <c r="Z85" s="64"/>
      <c r="AA85" s="51"/>
      <c r="AB85" s="41"/>
      <c r="AC85" s="42"/>
    </row>
    <row r="86" spans="1:29" x14ac:dyDescent="0.2">
      <c r="A86" s="42"/>
      <c r="B86" s="42"/>
      <c r="C86" s="52"/>
      <c r="D86" s="42"/>
      <c r="E86" s="42"/>
      <c r="F86" s="64"/>
      <c r="G86" s="51"/>
      <c r="H86" s="42"/>
      <c r="I86" s="41"/>
      <c r="J86" s="63"/>
      <c r="K86" s="51"/>
      <c r="L86" s="41"/>
      <c r="M86" s="42"/>
      <c r="N86" s="63"/>
      <c r="O86" s="52"/>
      <c r="P86" s="42"/>
      <c r="Q86" s="42"/>
      <c r="R86" s="64"/>
      <c r="S86" s="51"/>
      <c r="T86" s="42"/>
      <c r="U86" s="41"/>
      <c r="V86" s="42"/>
      <c r="W86" s="51"/>
      <c r="X86" s="42"/>
      <c r="Y86" s="41"/>
      <c r="Z86" s="64"/>
      <c r="AA86" s="51"/>
      <c r="AB86" s="41"/>
      <c r="AC86" s="42"/>
    </row>
    <row r="87" spans="1:29" x14ac:dyDescent="0.2">
      <c r="A87" s="42"/>
      <c r="B87" s="42"/>
      <c r="C87" s="52"/>
      <c r="D87" s="42"/>
      <c r="E87" s="42"/>
      <c r="F87" s="64"/>
      <c r="G87" s="51"/>
      <c r="H87" s="42"/>
      <c r="I87" s="41"/>
      <c r="J87" s="63"/>
      <c r="K87" s="51"/>
      <c r="L87" s="41"/>
      <c r="M87" s="42"/>
      <c r="N87" s="63"/>
      <c r="O87" s="52"/>
      <c r="P87" s="42"/>
      <c r="Q87" s="42"/>
      <c r="R87" s="64"/>
      <c r="S87" s="51"/>
      <c r="T87" s="42"/>
      <c r="U87" s="41"/>
      <c r="V87" s="42"/>
      <c r="W87" s="51"/>
      <c r="X87" s="42"/>
      <c r="Y87" s="41"/>
      <c r="Z87" s="64"/>
      <c r="AA87" s="51"/>
      <c r="AB87" s="41"/>
      <c r="AC87" s="42"/>
    </row>
    <row r="88" spans="1:29" x14ac:dyDescent="0.2">
      <c r="A88" s="42"/>
      <c r="B88" s="42"/>
      <c r="C88" s="52"/>
      <c r="D88" s="42"/>
      <c r="E88" s="42"/>
      <c r="F88" s="41"/>
      <c r="G88" s="69"/>
      <c r="H88" s="42"/>
      <c r="I88" s="41"/>
      <c r="J88" s="42"/>
      <c r="K88" s="51"/>
      <c r="L88" s="41"/>
      <c r="M88" s="42"/>
      <c r="N88" s="63"/>
      <c r="O88" s="52"/>
      <c r="P88" s="42"/>
      <c r="Q88" s="42"/>
      <c r="R88" s="64"/>
      <c r="S88" s="51"/>
      <c r="T88" s="42"/>
      <c r="U88" s="41"/>
      <c r="V88" s="42"/>
      <c r="W88" s="69"/>
      <c r="X88" s="42"/>
      <c r="Y88" s="41"/>
      <c r="Z88" s="64"/>
      <c r="AA88" s="51"/>
      <c r="AB88" s="41"/>
      <c r="AC88" s="42"/>
    </row>
    <row r="89" spans="1:29" x14ac:dyDescent="0.2">
      <c r="A89" s="42"/>
      <c r="B89" s="42"/>
      <c r="C89" s="52"/>
      <c r="D89" s="42"/>
      <c r="E89" s="42"/>
      <c r="F89" s="41"/>
      <c r="G89" s="69"/>
      <c r="H89" s="42"/>
      <c r="I89" s="41"/>
      <c r="J89" s="42"/>
      <c r="K89" s="51"/>
      <c r="L89" s="41"/>
      <c r="M89" s="42"/>
      <c r="N89" s="63"/>
      <c r="O89" s="52"/>
      <c r="P89" s="42"/>
      <c r="Q89" s="42"/>
      <c r="R89" s="64"/>
      <c r="S89" s="51"/>
      <c r="T89" s="42"/>
      <c r="U89" s="41"/>
      <c r="V89" s="42"/>
      <c r="W89" s="69"/>
      <c r="X89" s="42"/>
      <c r="Y89" s="41"/>
      <c r="Z89" s="64"/>
      <c r="AA89" s="51"/>
      <c r="AB89" s="41"/>
      <c r="AC89" s="42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1000"/>
  <sheetViews>
    <sheetView workbookViewId="0"/>
  </sheetViews>
  <sheetFormatPr baseColWidth="10" defaultRowHeight="14.25" x14ac:dyDescent="0.2"/>
  <cols>
    <col min="1" max="1" width="11" customWidth="1"/>
  </cols>
  <sheetData>
    <row r="1" spans="1:27" x14ac:dyDescent="0.2">
      <c r="A1" s="87" t="s">
        <v>103</v>
      </c>
      <c r="B1" s="87" t="s">
        <v>104</v>
      </c>
      <c r="C1" s="87" t="s">
        <v>89</v>
      </c>
      <c r="D1" s="87" t="s">
        <v>105</v>
      </c>
      <c r="E1" s="87" t="s">
        <v>18</v>
      </c>
      <c r="F1" s="87" t="s">
        <v>19</v>
      </c>
      <c r="G1" s="87" t="s">
        <v>106</v>
      </c>
      <c r="H1" s="87" t="s">
        <v>107</v>
      </c>
      <c r="I1" s="87" t="s">
        <v>108</v>
      </c>
      <c r="J1" s="87" t="s">
        <v>109</v>
      </c>
      <c r="K1" s="87" t="s">
        <v>110</v>
      </c>
      <c r="L1" s="87" t="s">
        <v>111</v>
      </c>
      <c r="M1" s="87" t="s">
        <v>88</v>
      </c>
      <c r="N1" s="87" t="s">
        <v>112</v>
      </c>
      <c r="O1" s="87" t="s">
        <v>113</v>
      </c>
      <c r="P1" s="87" t="s">
        <v>114</v>
      </c>
      <c r="Q1" s="87" t="s">
        <v>115</v>
      </c>
      <c r="R1" s="87" t="s">
        <v>116</v>
      </c>
      <c r="S1" s="87" t="s">
        <v>117</v>
      </c>
      <c r="T1" s="87" t="s">
        <v>118</v>
      </c>
      <c r="U1" s="87" t="s">
        <v>119</v>
      </c>
      <c r="V1" s="87" t="s">
        <v>120</v>
      </c>
      <c r="W1" s="87" t="s">
        <v>121</v>
      </c>
      <c r="X1" s="87" t="s">
        <v>122</v>
      </c>
      <c r="Y1" s="87" t="s">
        <v>123</v>
      </c>
      <c r="Z1" s="87" t="s">
        <v>124</v>
      </c>
      <c r="AA1" s="87" t="s">
        <v>125</v>
      </c>
    </row>
    <row r="2" spans="1:27" x14ac:dyDescent="0.2">
      <c r="A2" s="44" t="s">
        <v>126</v>
      </c>
      <c r="B2" s="44" t="s">
        <v>127</v>
      </c>
      <c r="C2" s="185">
        <v>14951448</v>
      </c>
      <c r="D2" s="185">
        <v>0</v>
      </c>
      <c r="E2" s="44" t="s">
        <v>99</v>
      </c>
      <c r="F2" s="185">
        <v>1.22</v>
      </c>
      <c r="G2" s="185">
        <v>2.2000000000000002</v>
      </c>
      <c r="H2" s="44" t="s">
        <v>128</v>
      </c>
      <c r="I2" s="44" t="s">
        <v>129</v>
      </c>
      <c r="J2" s="44" t="s">
        <v>130</v>
      </c>
      <c r="K2" s="44" t="s">
        <v>131</v>
      </c>
      <c r="L2" s="44" t="s">
        <v>132</v>
      </c>
      <c r="M2" s="185">
        <v>1000</v>
      </c>
      <c r="N2" s="44" t="s">
        <v>133</v>
      </c>
      <c r="O2" s="44" t="s">
        <v>102</v>
      </c>
      <c r="P2" s="185">
        <v>101.32</v>
      </c>
      <c r="Q2" s="44" t="s">
        <v>134</v>
      </c>
      <c r="R2" s="44" t="s">
        <v>135</v>
      </c>
      <c r="S2" s="44">
        <v>7.4375487472569987E-4</v>
      </c>
      <c r="T2" s="44" t="s">
        <v>136</v>
      </c>
      <c r="U2" s="44" t="s">
        <v>137</v>
      </c>
      <c r="V2" s="44" t="s">
        <v>138</v>
      </c>
      <c r="W2" s="44" t="s">
        <v>139</v>
      </c>
      <c r="X2" s="44" t="s">
        <v>140</v>
      </c>
      <c r="Y2" s="44" t="s">
        <v>141</v>
      </c>
      <c r="Z2" s="44" t="s">
        <v>97</v>
      </c>
      <c r="AA2" s="44" t="s">
        <v>142</v>
      </c>
    </row>
    <row r="3" spans="1:27" x14ac:dyDescent="0.2">
      <c r="A3" s="41" t="s">
        <v>143</v>
      </c>
      <c r="B3" s="41" t="s">
        <v>144</v>
      </c>
      <c r="C3" s="94">
        <v>27407993</v>
      </c>
      <c r="D3" s="140">
        <v>0</v>
      </c>
      <c r="E3" s="41" t="s">
        <v>99</v>
      </c>
      <c r="F3" s="126">
        <v>1.81</v>
      </c>
      <c r="G3" s="127">
        <v>1.98</v>
      </c>
      <c r="H3" s="41" t="s">
        <v>145</v>
      </c>
      <c r="I3" s="95" t="s">
        <v>129</v>
      </c>
      <c r="J3" s="41" t="s">
        <v>146</v>
      </c>
      <c r="K3" s="41" t="s">
        <v>147</v>
      </c>
      <c r="L3" s="95" t="s">
        <v>148</v>
      </c>
      <c r="M3" s="128">
        <v>1000</v>
      </c>
      <c r="N3" s="41" t="s">
        <v>133</v>
      </c>
      <c r="O3" s="42" t="s">
        <v>102</v>
      </c>
      <c r="P3" s="52">
        <v>102.69</v>
      </c>
      <c r="Q3" s="41" t="s">
        <v>134</v>
      </c>
      <c r="R3" s="42" t="s">
        <v>135</v>
      </c>
      <c r="S3" s="129">
        <v>1.3634016183715356E-3</v>
      </c>
      <c r="T3" s="41" t="s">
        <v>136</v>
      </c>
      <c r="U3" s="42" t="s">
        <v>137</v>
      </c>
      <c r="V3" s="41" t="s">
        <v>138</v>
      </c>
      <c r="W3" s="41" t="s">
        <v>139</v>
      </c>
      <c r="X3" s="42" t="s">
        <v>140</v>
      </c>
      <c r="Y3" s="41" t="s">
        <v>141</v>
      </c>
      <c r="Z3" s="41" t="s">
        <v>97</v>
      </c>
      <c r="AA3" s="94" t="s">
        <v>142</v>
      </c>
    </row>
    <row r="4" spans="1:27" x14ac:dyDescent="0.2">
      <c r="A4" s="44" t="s">
        <v>149</v>
      </c>
      <c r="B4" s="44" t="s">
        <v>150</v>
      </c>
      <c r="C4" s="91">
        <v>298660875</v>
      </c>
      <c r="D4" s="139">
        <v>0.01</v>
      </c>
      <c r="E4" s="44" t="s">
        <v>99</v>
      </c>
      <c r="F4" s="122">
        <v>4.3899999999999997</v>
      </c>
      <c r="G4" s="123">
        <v>2.12</v>
      </c>
      <c r="H4" s="44" t="s">
        <v>128</v>
      </c>
      <c r="I4" s="93" t="s">
        <v>129</v>
      </c>
      <c r="J4" s="44" t="s">
        <v>151</v>
      </c>
      <c r="K4" s="44" t="s">
        <v>152</v>
      </c>
      <c r="L4" s="93" t="s">
        <v>153</v>
      </c>
      <c r="M4" s="124">
        <v>10000</v>
      </c>
      <c r="N4" s="44" t="s">
        <v>133</v>
      </c>
      <c r="O4" s="92" t="s">
        <v>102</v>
      </c>
      <c r="P4" s="110">
        <v>115.99</v>
      </c>
      <c r="Q4" s="44" t="s">
        <v>134</v>
      </c>
      <c r="R4" s="92" t="s">
        <v>135</v>
      </c>
      <c r="S4" s="125">
        <v>1.4856787226969113E-2</v>
      </c>
      <c r="T4" s="44" t="s">
        <v>136</v>
      </c>
      <c r="U4" s="92" t="s">
        <v>137</v>
      </c>
      <c r="V4" s="44" t="s">
        <v>138</v>
      </c>
      <c r="W4" s="44" t="s">
        <v>139</v>
      </c>
      <c r="X4" s="92" t="s">
        <v>140</v>
      </c>
      <c r="Y4" s="44" t="s">
        <v>141</v>
      </c>
      <c r="Z4" s="44" t="s">
        <v>97</v>
      </c>
      <c r="AA4" s="91" t="s">
        <v>142</v>
      </c>
    </row>
    <row r="5" spans="1:27" x14ac:dyDescent="0.2">
      <c r="A5" s="41" t="s">
        <v>154</v>
      </c>
      <c r="B5" s="41" t="s">
        <v>155</v>
      </c>
      <c r="C5" s="94">
        <v>119629565</v>
      </c>
      <c r="D5" s="140">
        <v>0.01</v>
      </c>
      <c r="E5" s="41" t="s">
        <v>99</v>
      </c>
      <c r="F5" s="126">
        <v>6.58</v>
      </c>
      <c r="G5" s="127">
        <v>2.34</v>
      </c>
      <c r="H5" s="41" t="s">
        <v>156</v>
      </c>
      <c r="I5" s="95" t="s">
        <v>129</v>
      </c>
      <c r="J5" s="41" t="s">
        <v>157</v>
      </c>
      <c r="K5" s="41" t="s">
        <v>158</v>
      </c>
      <c r="L5" s="95" t="s">
        <v>159</v>
      </c>
      <c r="M5" s="128">
        <v>4000</v>
      </c>
      <c r="N5" s="41" t="s">
        <v>133</v>
      </c>
      <c r="O5" s="42" t="s">
        <v>102</v>
      </c>
      <c r="P5" s="52">
        <v>112.71</v>
      </c>
      <c r="Q5" s="41" t="s">
        <v>134</v>
      </c>
      <c r="R5" s="42" t="s">
        <v>135</v>
      </c>
      <c r="S5" s="129">
        <v>5.9509334567504745E-3</v>
      </c>
      <c r="T5" s="41" t="s">
        <v>160</v>
      </c>
      <c r="U5" s="42" t="s">
        <v>161</v>
      </c>
      <c r="V5" s="41" t="s">
        <v>162</v>
      </c>
      <c r="W5" s="41" t="s">
        <v>163</v>
      </c>
      <c r="X5" s="42" t="s">
        <v>140</v>
      </c>
      <c r="Y5" s="41" t="s">
        <v>164</v>
      </c>
      <c r="Z5" s="41" t="s">
        <v>97</v>
      </c>
      <c r="AA5" s="94" t="s">
        <v>165</v>
      </c>
    </row>
    <row r="6" spans="1:27" x14ac:dyDescent="0.2">
      <c r="A6" s="44" t="s">
        <v>166</v>
      </c>
      <c r="B6" s="44" t="s">
        <v>155</v>
      </c>
      <c r="C6" s="91">
        <v>67896211</v>
      </c>
      <c r="D6" s="139">
        <v>0</v>
      </c>
      <c r="E6" s="44" t="s">
        <v>99</v>
      </c>
      <c r="F6" s="122">
        <v>2.41</v>
      </c>
      <c r="G6" s="123">
        <v>2.02</v>
      </c>
      <c r="H6" s="44" t="s">
        <v>156</v>
      </c>
      <c r="I6" s="93" t="s">
        <v>129</v>
      </c>
      <c r="J6" s="44" t="s">
        <v>157</v>
      </c>
      <c r="K6" s="44" t="s">
        <v>158</v>
      </c>
      <c r="L6" s="93" t="s">
        <v>159</v>
      </c>
      <c r="M6" s="124">
        <v>2500</v>
      </c>
      <c r="N6" s="44" t="s">
        <v>133</v>
      </c>
      <c r="O6" s="92" t="s">
        <v>102</v>
      </c>
      <c r="P6" s="110">
        <v>102.32</v>
      </c>
      <c r="Q6" s="44" t="s">
        <v>134</v>
      </c>
      <c r="R6" s="92" t="s">
        <v>135</v>
      </c>
      <c r="S6" s="125">
        <v>3.3774747373401348E-3</v>
      </c>
      <c r="T6" s="44" t="s">
        <v>136</v>
      </c>
      <c r="U6" s="92" t="s">
        <v>137</v>
      </c>
      <c r="V6" s="44" t="s">
        <v>138</v>
      </c>
      <c r="W6" s="44" t="s">
        <v>139</v>
      </c>
      <c r="X6" s="92" t="s">
        <v>140</v>
      </c>
      <c r="Y6" s="44" t="s">
        <v>141</v>
      </c>
      <c r="Z6" s="44" t="s">
        <v>97</v>
      </c>
      <c r="AA6" s="91" t="s">
        <v>142</v>
      </c>
    </row>
    <row r="7" spans="1:27" x14ac:dyDescent="0.2">
      <c r="A7" s="41" t="s">
        <v>167</v>
      </c>
      <c r="B7" s="41" t="s">
        <v>168</v>
      </c>
      <c r="C7" s="94">
        <v>62644397</v>
      </c>
      <c r="D7" s="140">
        <v>0</v>
      </c>
      <c r="E7" s="41" t="s">
        <v>99</v>
      </c>
      <c r="F7" s="126">
        <v>8.24</v>
      </c>
      <c r="G7" s="127">
        <v>2.5</v>
      </c>
      <c r="H7" s="41" t="s">
        <v>156</v>
      </c>
      <c r="I7" s="95" t="s">
        <v>129</v>
      </c>
      <c r="J7" s="41" t="s">
        <v>169</v>
      </c>
      <c r="K7" s="41" t="s">
        <v>170</v>
      </c>
      <c r="L7" s="95" t="s">
        <v>171</v>
      </c>
      <c r="M7" s="128">
        <v>2000</v>
      </c>
      <c r="N7" s="41" t="s">
        <v>133</v>
      </c>
      <c r="O7" s="42" t="s">
        <v>102</v>
      </c>
      <c r="P7" s="52">
        <v>118.64</v>
      </c>
      <c r="Q7" s="41" t="s">
        <v>134</v>
      </c>
      <c r="R7" s="42" t="s">
        <v>135</v>
      </c>
      <c r="S7" s="129">
        <v>3.1162249731933661E-3</v>
      </c>
      <c r="T7" s="41" t="s">
        <v>160</v>
      </c>
      <c r="U7" s="42" t="s">
        <v>161</v>
      </c>
      <c r="V7" s="41" t="s">
        <v>162</v>
      </c>
      <c r="W7" s="41" t="s">
        <v>163</v>
      </c>
      <c r="X7" s="42" t="s">
        <v>140</v>
      </c>
      <c r="Y7" s="41" t="s">
        <v>164</v>
      </c>
      <c r="Z7" s="41" t="s">
        <v>97</v>
      </c>
      <c r="AA7" s="94" t="s">
        <v>165</v>
      </c>
    </row>
    <row r="8" spans="1:27" x14ac:dyDescent="0.2">
      <c r="A8" s="44" t="s">
        <v>172</v>
      </c>
      <c r="B8" s="44" t="s">
        <v>173</v>
      </c>
      <c r="C8" s="91">
        <v>193898527</v>
      </c>
      <c r="D8" s="139">
        <v>0.01</v>
      </c>
      <c r="E8" s="44" t="s">
        <v>100</v>
      </c>
      <c r="F8" s="122">
        <v>1.65</v>
      </c>
      <c r="G8" s="123">
        <v>4.6500000000000004</v>
      </c>
      <c r="H8" s="44" t="s">
        <v>156</v>
      </c>
      <c r="I8" s="93" t="s">
        <v>129</v>
      </c>
      <c r="J8" s="44" t="s">
        <v>174</v>
      </c>
      <c r="K8" s="44" t="s">
        <v>175</v>
      </c>
      <c r="L8" s="93" t="s">
        <v>176</v>
      </c>
      <c r="M8" s="124">
        <v>180000000</v>
      </c>
      <c r="N8" s="44" t="s">
        <v>133</v>
      </c>
      <c r="O8" s="92" t="s">
        <v>102</v>
      </c>
      <c r="P8" s="110">
        <v>102.91</v>
      </c>
      <c r="Q8" s="44" t="s">
        <v>134</v>
      </c>
      <c r="R8" s="92" t="s">
        <v>135</v>
      </c>
      <c r="S8" s="125">
        <v>9.6454186014881451E-3</v>
      </c>
      <c r="T8" s="44" t="s">
        <v>136</v>
      </c>
      <c r="U8" s="92" t="s">
        <v>177</v>
      </c>
      <c r="V8" s="44" t="s">
        <v>138</v>
      </c>
      <c r="W8" s="44" t="s">
        <v>178</v>
      </c>
      <c r="X8" s="92" t="s">
        <v>179</v>
      </c>
      <c r="Y8" s="44" t="s">
        <v>141</v>
      </c>
      <c r="Z8" s="44" t="s">
        <v>97</v>
      </c>
      <c r="AA8" s="91" t="s">
        <v>142</v>
      </c>
    </row>
    <row r="9" spans="1:27" x14ac:dyDescent="0.2">
      <c r="A9" s="41" t="s">
        <v>180</v>
      </c>
      <c r="B9" s="41" t="s">
        <v>181</v>
      </c>
      <c r="C9" s="94">
        <v>238109182</v>
      </c>
      <c r="D9" s="140">
        <v>0.01</v>
      </c>
      <c r="E9" s="41" t="s">
        <v>99</v>
      </c>
      <c r="F9" s="126">
        <v>0.27</v>
      </c>
      <c r="G9" s="127">
        <v>4</v>
      </c>
      <c r="H9" s="41" t="s">
        <v>145</v>
      </c>
      <c r="I9" s="95" t="s">
        <v>129</v>
      </c>
      <c r="J9" s="41" t="s">
        <v>182</v>
      </c>
      <c r="K9" s="41" t="s">
        <v>183</v>
      </c>
      <c r="L9" s="95" t="s">
        <v>184</v>
      </c>
      <c r="M9" s="128">
        <v>9000</v>
      </c>
      <c r="N9" s="41" t="s">
        <v>133</v>
      </c>
      <c r="O9" s="42" t="s">
        <v>102</v>
      </c>
      <c r="P9" s="52">
        <v>99.74</v>
      </c>
      <c r="Q9" s="41" t="s">
        <v>134</v>
      </c>
      <c r="R9" s="42" t="s">
        <v>135</v>
      </c>
      <c r="S9" s="129">
        <v>1.1844663127574592E-2</v>
      </c>
      <c r="T9" s="41" t="s">
        <v>136</v>
      </c>
      <c r="U9" s="42" t="s">
        <v>137</v>
      </c>
      <c r="V9" s="41" t="s">
        <v>138</v>
      </c>
      <c r="W9" s="41" t="s">
        <v>139</v>
      </c>
      <c r="X9" s="42" t="s">
        <v>140</v>
      </c>
      <c r="Y9" s="41" t="s">
        <v>141</v>
      </c>
      <c r="Z9" s="41" t="s">
        <v>97</v>
      </c>
      <c r="AA9" s="94" t="s">
        <v>142</v>
      </c>
    </row>
    <row r="10" spans="1:27" x14ac:dyDescent="0.2">
      <c r="A10" s="44" t="s">
        <v>185</v>
      </c>
      <c r="B10" s="44" t="s">
        <v>181</v>
      </c>
      <c r="C10" s="91">
        <v>712175381</v>
      </c>
      <c r="D10" s="139">
        <v>0.04</v>
      </c>
      <c r="E10" s="44" t="s">
        <v>99</v>
      </c>
      <c r="F10" s="122">
        <v>1.23</v>
      </c>
      <c r="G10" s="123">
        <v>1.97</v>
      </c>
      <c r="H10" s="44" t="s">
        <v>145</v>
      </c>
      <c r="I10" s="93" t="s">
        <v>129</v>
      </c>
      <c r="J10" s="44" t="s">
        <v>182</v>
      </c>
      <c r="K10" s="44" t="s">
        <v>183</v>
      </c>
      <c r="L10" s="93" t="s">
        <v>184</v>
      </c>
      <c r="M10" s="124">
        <v>26500</v>
      </c>
      <c r="N10" s="44" t="s">
        <v>133</v>
      </c>
      <c r="O10" s="92" t="s">
        <v>102</v>
      </c>
      <c r="P10" s="110">
        <v>101.25</v>
      </c>
      <c r="Q10" s="44" t="s">
        <v>134</v>
      </c>
      <c r="R10" s="92" t="s">
        <v>135</v>
      </c>
      <c r="S10" s="125">
        <v>3.5426930640990929E-2</v>
      </c>
      <c r="T10" s="44" t="s">
        <v>136</v>
      </c>
      <c r="U10" s="92" t="s">
        <v>137</v>
      </c>
      <c r="V10" s="44" t="s">
        <v>138</v>
      </c>
      <c r="W10" s="44" t="s">
        <v>139</v>
      </c>
      <c r="X10" s="92" t="s">
        <v>140</v>
      </c>
      <c r="Y10" s="44" t="s">
        <v>141</v>
      </c>
      <c r="Z10" s="44" t="s">
        <v>97</v>
      </c>
      <c r="AA10" s="91" t="s">
        <v>142</v>
      </c>
    </row>
    <row r="11" spans="1:27" x14ac:dyDescent="0.2">
      <c r="A11" s="41" t="s">
        <v>186</v>
      </c>
      <c r="B11" s="41" t="s">
        <v>181</v>
      </c>
      <c r="C11" s="94">
        <v>54212965</v>
      </c>
      <c r="D11" s="140">
        <v>0</v>
      </c>
      <c r="E11" s="41" t="s">
        <v>99</v>
      </c>
      <c r="F11" s="126">
        <v>2.2599999999999998</v>
      </c>
      <c r="G11" s="127">
        <v>1.94</v>
      </c>
      <c r="H11" s="41" t="s">
        <v>145</v>
      </c>
      <c r="I11" s="95" t="s">
        <v>129</v>
      </c>
      <c r="J11" s="41" t="s">
        <v>182</v>
      </c>
      <c r="K11" s="41" t="s">
        <v>183</v>
      </c>
      <c r="L11" s="95" t="s">
        <v>184</v>
      </c>
      <c r="M11" s="128">
        <v>2000</v>
      </c>
      <c r="N11" s="41" t="s">
        <v>133</v>
      </c>
      <c r="O11" s="42" t="s">
        <v>102</v>
      </c>
      <c r="P11" s="52">
        <v>102.38</v>
      </c>
      <c r="Q11" s="41" t="s">
        <v>134</v>
      </c>
      <c r="R11" s="42" t="s">
        <v>135</v>
      </c>
      <c r="S11" s="129">
        <v>2.6968061549679837E-3</v>
      </c>
      <c r="T11" s="41" t="s">
        <v>136</v>
      </c>
      <c r="U11" s="42" t="s">
        <v>137</v>
      </c>
      <c r="V11" s="41" t="s">
        <v>138</v>
      </c>
      <c r="W11" s="41" t="s">
        <v>139</v>
      </c>
      <c r="X11" s="42" t="s">
        <v>140</v>
      </c>
      <c r="Y11" s="41" t="s">
        <v>141</v>
      </c>
      <c r="Z11" s="41" t="s">
        <v>97</v>
      </c>
      <c r="AA11" s="94" t="s">
        <v>142</v>
      </c>
    </row>
    <row r="12" spans="1:27" x14ac:dyDescent="0.2">
      <c r="A12" s="44" t="s">
        <v>187</v>
      </c>
      <c r="B12" s="44" t="s">
        <v>181</v>
      </c>
      <c r="C12" s="91">
        <v>70292914</v>
      </c>
      <c r="D12" s="139">
        <v>0</v>
      </c>
      <c r="E12" s="44" t="s">
        <v>99</v>
      </c>
      <c r="F12" s="122">
        <v>6.39</v>
      </c>
      <c r="G12" s="123">
        <v>2.15</v>
      </c>
      <c r="H12" s="44" t="s">
        <v>145</v>
      </c>
      <c r="I12" s="93" t="s">
        <v>129</v>
      </c>
      <c r="J12" s="44" t="s">
        <v>182</v>
      </c>
      <c r="K12" s="44" t="s">
        <v>183</v>
      </c>
      <c r="L12" s="93" t="s">
        <v>184</v>
      </c>
      <c r="M12" s="124">
        <v>2500</v>
      </c>
      <c r="N12" s="44" t="s">
        <v>133</v>
      </c>
      <c r="O12" s="92" t="s">
        <v>102</v>
      </c>
      <c r="P12" s="110">
        <v>105.41</v>
      </c>
      <c r="Q12" s="44" t="s">
        <v>134</v>
      </c>
      <c r="R12" s="92" t="s">
        <v>135</v>
      </c>
      <c r="S12" s="125">
        <v>3.496697941642468E-3</v>
      </c>
      <c r="T12" s="44" t="s">
        <v>160</v>
      </c>
      <c r="U12" s="92" t="s">
        <v>161</v>
      </c>
      <c r="V12" s="44" t="s">
        <v>162</v>
      </c>
      <c r="W12" s="44" t="s">
        <v>163</v>
      </c>
      <c r="X12" s="92" t="s">
        <v>140</v>
      </c>
      <c r="Y12" s="44" t="s">
        <v>164</v>
      </c>
      <c r="Z12" s="44" t="s">
        <v>97</v>
      </c>
      <c r="AA12" s="91" t="s">
        <v>165</v>
      </c>
    </row>
    <row r="13" spans="1:27" x14ac:dyDescent="0.2">
      <c r="A13" s="41" t="s">
        <v>188</v>
      </c>
      <c r="B13" s="41" t="s">
        <v>181</v>
      </c>
      <c r="C13" s="94">
        <v>120236171</v>
      </c>
      <c r="D13" s="140">
        <v>0.01</v>
      </c>
      <c r="E13" s="41" t="s">
        <v>99</v>
      </c>
      <c r="F13" s="126">
        <v>0.77</v>
      </c>
      <c r="G13" s="127">
        <v>2.02</v>
      </c>
      <c r="H13" s="41" t="s">
        <v>145</v>
      </c>
      <c r="I13" s="95" t="s">
        <v>129</v>
      </c>
      <c r="J13" s="41" t="s">
        <v>182</v>
      </c>
      <c r="K13" s="41" t="s">
        <v>183</v>
      </c>
      <c r="L13" s="95" t="s">
        <v>184</v>
      </c>
      <c r="M13" s="128">
        <v>4500</v>
      </c>
      <c r="N13" s="41" t="s">
        <v>133</v>
      </c>
      <c r="O13" s="42" t="s">
        <v>102</v>
      </c>
      <c r="P13" s="52">
        <v>100.73</v>
      </c>
      <c r="Q13" s="41" t="s">
        <v>134</v>
      </c>
      <c r="R13" s="42" t="s">
        <v>135</v>
      </c>
      <c r="S13" s="129">
        <v>5.9811088731742124E-3</v>
      </c>
      <c r="T13" s="41" t="s">
        <v>136</v>
      </c>
      <c r="U13" s="42" t="s">
        <v>137</v>
      </c>
      <c r="V13" s="41" t="s">
        <v>138</v>
      </c>
      <c r="W13" s="41" t="s">
        <v>139</v>
      </c>
      <c r="X13" s="42" t="s">
        <v>140</v>
      </c>
      <c r="Y13" s="41" t="s">
        <v>141</v>
      </c>
      <c r="Z13" s="41" t="s">
        <v>97</v>
      </c>
      <c r="AA13" s="94" t="s">
        <v>142</v>
      </c>
    </row>
    <row r="14" spans="1:27" x14ac:dyDescent="0.2">
      <c r="A14" s="44" t="s">
        <v>189</v>
      </c>
      <c r="B14" s="44" t="s">
        <v>181</v>
      </c>
      <c r="C14" s="91">
        <v>40309567</v>
      </c>
      <c r="D14" s="139">
        <v>0</v>
      </c>
      <c r="E14" s="44" t="s">
        <v>99</v>
      </c>
      <c r="F14" s="122">
        <v>1.25</v>
      </c>
      <c r="G14" s="123">
        <v>1.94</v>
      </c>
      <c r="H14" s="44" t="s">
        <v>145</v>
      </c>
      <c r="I14" s="93" t="s">
        <v>129</v>
      </c>
      <c r="J14" s="44" t="s">
        <v>182</v>
      </c>
      <c r="K14" s="44" t="s">
        <v>183</v>
      </c>
      <c r="L14" s="93" t="s">
        <v>184</v>
      </c>
      <c r="M14" s="124">
        <v>1500</v>
      </c>
      <c r="N14" s="44" t="s">
        <v>133</v>
      </c>
      <c r="O14" s="92" t="s">
        <v>102</v>
      </c>
      <c r="P14" s="110">
        <v>101.31</v>
      </c>
      <c r="Q14" s="44" t="s">
        <v>134</v>
      </c>
      <c r="R14" s="92" t="s">
        <v>135</v>
      </c>
      <c r="S14" s="125">
        <v>2.0051861835945393E-3</v>
      </c>
      <c r="T14" s="44" t="s">
        <v>136</v>
      </c>
      <c r="U14" s="92" t="s">
        <v>137</v>
      </c>
      <c r="V14" s="44" t="s">
        <v>138</v>
      </c>
      <c r="W14" s="44" t="s">
        <v>139</v>
      </c>
      <c r="X14" s="92" t="s">
        <v>140</v>
      </c>
      <c r="Y14" s="44" t="s">
        <v>141</v>
      </c>
      <c r="Z14" s="44" t="s">
        <v>97</v>
      </c>
      <c r="AA14" s="91" t="s">
        <v>142</v>
      </c>
    </row>
    <row r="15" spans="1:27" x14ac:dyDescent="0.2">
      <c r="A15" s="41" t="s">
        <v>190</v>
      </c>
      <c r="B15" s="41" t="s">
        <v>181</v>
      </c>
      <c r="C15" s="94">
        <v>217825495</v>
      </c>
      <c r="D15" s="140">
        <v>0.01</v>
      </c>
      <c r="E15" s="41" t="s">
        <v>99</v>
      </c>
      <c r="F15" s="126">
        <v>2.73</v>
      </c>
      <c r="G15" s="127">
        <v>1.95</v>
      </c>
      <c r="H15" s="41" t="s">
        <v>145</v>
      </c>
      <c r="I15" s="95" t="s">
        <v>129</v>
      </c>
      <c r="J15" s="41" t="s">
        <v>182</v>
      </c>
      <c r="K15" s="41" t="s">
        <v>183</v>
      </c>
      <c r="L15" s="95" t="s">
        <v>184</v>
      </c>
      <c r="M15" s="128">
        <v>8000</v>
      </c>
      <c r="N15" s="41" t="s">
        <v>133</v>
      </c>
      <c r="O15" s="42" t="s">
        <v>102</v>
      </c>
      <c r="P15" s="52">
        <v>102.84</v>
      </c>
      <c r="Q15" s="41" t="s">
        <v>134</v>
      </c>
      <c r="R15" s="42" t="s">
        <v>135</v>
      </c>
      <c r="S15" s="129">
        <v>1.0835657773467062E-2</v>
      </c>
      <c r="T15" s="41" t="s">
        <v>136</v>
      </c>
      <c r="U15" s="42" t="s">
        <v>137</v>
      </c>
      <c r="V15" s="41" t="s">
        <v>138</v>
      </c>
      <c r="W15" s="41" t="s">
        <v>139</v>
      </c>
      <c r="X15" s="42" t="s">
        <v>140</v>
      </c>
      <c r="Y15" s="41" t="s">
        <v>141</v>
      </c>
      <c r="Z15" s="41" t="s">
        <v>97</v>
      </c>
      <c r="AA15" s="94" t="s">
        <v>142</v>
      </c>
    </row>
    <row r="16" spans="1:27" x14ac:dyDescent="0.2">
      <c r="A16" s="44" t="s">
        <v>191</v>
      </c>
      <c r="B16" s="44" t="s">
        <v>181</v>
      </c>
      <c r="C16" s="91">
        <v>13690890</v>
      </c>
      <c r="D16" s="139">
        <v>0</v>
      </c>
      <c r="E16" s="44" t="s">
        <v>99</v>
      </c>
      <c r="F16" s="122">
        <v>3.19</v>
      </c>
      <c r="G16" s="123">
        <v>1.92</v>
      </c>
      <c r="H16" s="44" t="s">
        <v>145</v>
      </c>
      <c r="I16" s="93" t="s">
        <v>129</v>
      </c>
      <c r="J16" s="44" t="s">
        <v>182</v>
      </c>
      <c r="K16" s="44" t="s">
        <v>183</v>
      </c>
      <c r="L16" s="93" t="s">
        <v>184</v>
      </c>
      <c r="M16" s="124">
        <v>500</v>
      </c>
      <c r="N16" s="44" t="s">
        <v>133</v>
      </c>
      <c r="O16" s="92" t="s">
        <v>102</v>
      </c>
      <c r="P16" s="110">
        <v>103.42</v>
      </c>
      <c r="Q16" s="44" t="s">
        <v>134</v>
      </c>
      <c r="R16" s="92" t="s">
        <v>135</v>
      </c>
      <c r="S16" s="125">
        <v>6.8104883064391733E-4</v>
      </c>
      <c r="T16" s="44" t="s">
        <v>136</v>
      </c>
      <c r="U16" s="92" t="s">
        <v>137</v>
      </c>
      <c r="V16" s="44" t="s">
        <v>138</v>
      </c>
      <c r="W16" s="44" t="s">
        <v>139</v>
      </c>
      <c r="X16" s="92" t="s">
        <v>140</v>
      </c>
      <c r="Y16" s="44" t="s">
        <v>141</v>
      </c>
      <c r="Z16" s="44" t="s">
        <v>97</v>
      </c>
      <c r="AA16" s="91" t="s">
        <v>142</v>
      </c>
    </row>
    <row r="17" spans="1:27" x14ac:dyDescent="0.2">
      <c r="A17" s="41" t="s">
        <v>192</v>
      </c>
      <c r="B17" s="41" t="s">
        <v>181</v>
      </c>
      <c r="C17" s="94">
        <v>116081084</v>
      </c>
      <c r="D17" s="140">
        <v>0.01</v>
      </c>
      <c r="E17" s="41" t="s">
        <v>100</v>
      </c>
      <c r="F17" s="126">
        <v>1.87</v>
      </c>
      <c r="G17" s="127">
        <v>4.5999999999999996</v>
      </c>
      <c r="H17" s="41" t="s">
        <v>145</v>
      </c>
      <c r="I17" s="95" t="s">
        <v>129</v>
      </c>
      <c r="J17" s="41" t="s">
        <v>182</v>
      </c>
      <c r="K17" s="41" t="s">
        <v>183</v>
      </c>
      <c r="L17" s="95" t="s">
        <v>184</v>
      </c>
      <c r="M17" s="128">
        <v>110000000</v>
      </c>
      <c r="N17" s="41" t="s">
        <v>133</v>
      </c>
      <c r="O17" s="42" t="s">
        <v>102</v>
      </c>
      <c r="P17" s="52">
        <v>102.51</v>
      </c>
      <c r="Q17" s="41" t="s">
        <v>134</v>
      </c>
      <c r="R17" s="42" t="s">
        <v>135</v>
      </c>
      <c r="S17" s="129">
        <v>5.7744154337722635E-3</v>
      </c>
      <c r="T17" s="41" t="s">
        <v>136</v>
      </c>
      <c r="U17" s="42" t="s">
        <v>177</v>
      </c>
      <c r="V17" s="41" t="s">
        <v>138</v>
      </c>
      <c r="W17" s="41" t="s">
        <v>178</v>
      </c>
      <c r="X17" s="42" t="s">
        <v>179</v>
      </c>
      <c r="Y17" s="41" t="s">
        <v>141</v>
      </c>
      <c r="Z17" s="41" t="s">
        <v>97</v>
      </c>
      <c r="AA17" s="94" t="s">
        <v>142</v>
      </c>
    </row>
    <row r="18" spans="1:27" x14ac:dyDescent="0.2">
      <c r="A18" s="44" t="s">
        <v>193</v>
      </c>
      <c r="B18" s="44" t="s">
        <v>194</v>
      </c>
      <c r="C18" s="91">
        <v>892024037</v>
      </c>
      <c r="D18" s="139">
        <v>0.04</v>
      </c>
      <c r="E18" s="44" t="s">
        <v>99</v>
      </c>
      <c r="F18" s="122">
        <v>1.5</v>
      </c>
      <c r="G18" s="123">
        <v>2.2400000000000002</v>
      </c>
      <c r="H18" s="44" t="s">
        <v>128</v>
      </c>
      <c r="I18" s="93" t="s">
        <v>129</v>
      </c>
      <c r="J18" s="44" t="s">
        <v>182</v>
      </c>
      <c r="K18" s="44" t="s">
        <v>195</v>
      </c>
      <c r="L18" s="93" t="s">
        <v>196</v>
      </c>
      <c r="M18" s="124">
        <v>35000</v>
      </c>
      <c r="N18" s="44" t="s">
        <v>133</v>
      </c>
      <c r="O18" s="92" t="s">
        <v>102</v>
      </c>
      <c r="P18" s="110">
        <v>96.73</v>
      </c>
      <c r="Q18" s="44" t="s">
        <v>134</v>
      </c>
      <c r="R18" s="92" t="s">
        <v>135</v>
      </c>
      <c r="S18" s="125">
        <v>4.4373443019782972E-2</v>
      </c>
      <c r="T18" s="44" t="s">
        <v>136</v>
      </c>
      <c r="U18" s="92" t="s">
        <v>137</v>
      </c>
      <c r="V18" s="44" t="s">
        <v>138</v>
      </c>
      <c r="W18" s="44" t="s">
        <v>139</v>
      </c>
      <c r="X18" s="92" t="s">
        <v>140</v>
      </c>
      <c r="Y18" s="44" t="s">
        <v>141</v>
      </c>
      <c r="Z18" s="44" t="s">
        <v>97</v>
      </c>
      <c r="AA18" s="91" t="s">
        <v>142</v>
      </c>
    </row>
    <row r="19" spans="1:27" x14ac:dyDescent="0.2">
      <c r="A19" s="41" t="s">
        <v>197</v>
      </c>
      <c r="B19" s="41" t="s">
        <v>194</v>
      </c>
      <c r="C19" s="94">
        <v>663165555</v>
      </c>
      <c r="D19" s="140">
        <v>0.03</v>
      </c>
      <c r="E19" s="41" t="s">
        <v>99</v>
      </c>
      <c r="F19" s="127">
        <v>2.68</v>
      </c>
      <c r="G19" s="127">
        <v>1.94</v>
      </c>
      <c r="H19" s="41" t="s">
        <v>128</v>
      </c>
      <c r="I19" s="95" t="s">
        <v>129</v>
      </c>
      <c r="J19" s="41" t="s">
        <v>182</v>
      </c>
      <c r="K19" s="41" t="s">
        <v>195</v>
      </c>
      <c r="L19" s="95" t="s">
        <v>196</v>
      </c>
      <c r="M19" s="128">
        <v>25000</v>
      </c>
      <c r="N19" s="41" t="s">
        <v>133</v>
      </c>
      <c r="O19" s="42" t="s">
        <v>102</v>
      </c>
      <c r="P19" s="52">
        <v>100.18</v>
      </c>
      <c r="Q19" s="41" t="s">
        <v>134</v>
      </c>
      <c r="R19" s="42" t="s">
        <v>135</v>
      </c>
      <c r="S19" s="129">
        <v>3.2988952928266493E-2</v>
      </c>
      <c r="T19" s="41" t="s">
        <v>136</v>
      </c>
      <c r="U19" s="42" t="s">
        <v>137</v>
      </c>
      <c r="V19" s="41" t="s">
        <v>138</v>
      </c>
      <c r="W19" s="41" t="s">
        <v>139</v>
      </c>
      <c r="X19" s="42" t="s">
        <v>140</v>
      </c>
      <c r="Y19" s="41" t="s">
        <v>141</v>
      </c>
      <c r="Z19" s="41" t="s">
        <v>97</v>
      </c>
      <c r="AA19" s="94" t="s">
        <v>142</v>
      </c>
    </row>
    <row r="20" spans="1:27" x14ac:dyDescent="0.2">
      <c r="A20" s="44" t="s">
        <v>198</v>
      </c>
      <c r="B20" s="44" t="s">
        <v>199</v>
      </c>
      <c r="C20" s="91">
        <v>121430835</v>
      </c>
      <c r="D20" s="139">
        <v>0.01</v>
      </c>
      <c r="E20" s="44" t="s">
        <v>100</v>
      </c>
      <c r="F20" s="122">
        <v>2.14</v>
      </c>
      <c r="G20" s="123">
        <v>5.91</v>
      </c>
      <c r="H20" s="44" t="s">
        <v>145</v>
      </c>
      <c r="I20" s="93" t="s">
        <v>129</v>
      </c>
      <c r="J20" s="44" t="s">
        <v>182</v>
      </c>
      <c r="K20" s="44" t="s">
        <v>195</v>
      </c>
      <c r="L20" s="93" t="s">
        <v>200</v>
      </c>
      <c r="M20" s="124">
        <v>120000000</v>
      </c>
      <c r="N20" s="44" t="s">
        <v>133</v>
      </c>
      <c r="O20" s="92" t="s">
        <v>102</v>
      </c>
      <c r="P20" s="110">
        <v>99.78</v>
      </c>
      <c r="Q20" s="44" t="s">
        <v>134</v>
      </c>
      <c r="R20" s="92" t="s">
        <v>135</v>
      </c>
      <c r="S20" s="125">
        <v>6.0405370418478615E-3</v>
      </c>
      <c r="T20" s="44" t="s">
        <v>136</v>
      </c>
      <c r="U20" s="92" t="s">
        <v>177</v>
      </c>
      <c r="V20" s="44" t="s">
        <v>138</v>
      </c>
      <c r="W20" s="44" t="s">
        <v>178</v>
      </c>
      <c r="X20" s="92" t="s">
        <v>179</v>
      </c>
      <c r="Y20" s="44" t="s">
        <v>141</v>
      </c>
      <c r="Z20" s="44" t="s">
        <v>97</v>
      </c>
      <c r="AA20" s="91" t="s">
        <v>142</v>
      </c>
    </row>
    <row r="21" spans="1:27" x14ac:dyDescent="0.2">
      <c r="A21" s="41" t="s">
        <v>201</v>
      </c>
      <c r="B21" s="41" t="s">
        <v>202</v>
      </c>
      <c r="C21" s="94">
        <v>27855284</v>
      </c>
      <c r="D21" s="140">
        <v>0</v>
      </c>
      <c r="E21" s="41" t="s">
        <v>99</v>
      </c>
      <c r="F21" s="126">
        <v>3.16</v>
      </c>
      <c r="G21" s="127">
        <v>1.91</v>
      </c>
      <c r="H21" s="41" t="s">
        <v>145</v>
      </c>
      <c r="I21" s="95" t="s">
        <v>129</v>
      </c>
      <c r="J21" s="41" t="s">
        <v>182</v>
      </c>
      <c r="K21" s="41" t="s">
        <v>203</v>
      </c>
      <c r="L21" s="95" t="s">
        <v>204</v>
      </c>
      <c r="M21" s="128">
        <v>1000</v>
      </c>
      <c r="N21" s="41" t="s">
        <v>133</v>
      </c>
      <c r="O21" s="42" t="s">
        <v>102</v>
      </c>
      <c r="P21" s="52">
        <v>105.12</v>
      </c>
      <c r="Q21" s="41" t="s">
        <v>134</v>
      </c>
      <c r="R21" s="42" t="s">
        <v>135</v>
      </c>
      <c r="S21" s="129">
        <v>1.385651962396471E-3</v>
      </c>
      <c r="T21" s="41" t="s">
        <v>136</v>
      </c>
      <c r="U21" s="42" t="s">
        <v>137</v>
      </c>
      <c r="V21" s="41" t="s">
        <v>138</v>
      </c>
      <c r="W21" s="41" t="s">
        <v>139</v>
      </c>
      <c r="X21" s="42" t="s">
        <v>140</v>
      </c>
      <c r="Y21" s="41" t="s">
        <v>141</v>
      </c>
      <c r="Z21" s="41" t="s">
        <v>97</v>
      </c>
      <c r="AA21" s="94" t="s">
        <v>142</v>
      </c>
    </row>
    <row r="22" spans="1:27" x14ac:dyDescent="0.2">
      <c r="A22" s="44" t="s">
        <v>205</v>
      </c>
      <c r="B22" s="44" t="s">
        <v>202</v>
      </c>
      <c r="C22" s="91">
        <v>545169198</v>
      </c>
      <c r="D22" s="139">
        <v>0.03</v>
      </c>
      <c r="E22" s="44" t="s">
        <v>99</v>
      </c>
      <c r="F22" s="122">
        <v>2.09</v>
      </c>
      <c r="G22" s="123">
        <v>1.85</v>
      </c>
      <c r="H22" s="44" t="s">
        <v>145</v>
      </c>
      <c r="I22" s="93" t="s">
        <v>129</v>
      </c>
      <c r="J22" s="44" t="s">
        <v>182</v>
      </c>
      <c r="K22" s="44" t="s">
        <v>206</v>
      </c>
      <c r="L22" s="93" t="s">
        <v>204</v>
      </c>
      <c r="M22" s="124">
        <v>20000</v>
      </c>
      <c r="N22" s="44" t="s">
        <v>133</v>
      </c>
      <c r="O22" s="92" t="s">
        <v>102</v>
      </c>
      <c r="P22" s="110">
        <v>102.44</v>
      </c>
      <c r="Q22" s="44" t="s">
        <v>134</v>
      </c>
      <c r="R22" s="92" t="s">
        <v>135</v>
      </c>
      <c r="S22" s="125">
        <v>2.7119262867569768E-2</v>
      </c>
      <c r="T22" s="44" t="s">
        <v>136</v>
      </c>
      <c r="U22" s="92" t="s">
        <v>137</v>
      </c>
      <c r="V22" s="44" t="s">
        <v>138</v>
      </c>
      <c r="W22" s="44" t="s">
        <v>139</v>
      </c>
      <c r="X22" s="92" t="s">
        <v>140</v>
      </c>
      <c r="Y22" s="44" t="s">
        <v>141</v>
      </c>
      <c r="Z22" s="44" t="s">
        <v>97</v>
      </c>
      <c r="AA22" s="91" t="s">
        <v>142</v>
      </c>
    </row>
    <row r="23" spans="1:27" x14ac:dyDescent="0.2">
      <c r="A23" s="41" t="s">
        <v>207</v>
      </c>
      <c r="B23" s="41" t="s">
        <v>208</v>
      </c>
      <c r="C23" s="94">
        <v>1867093</v>
      </c>
      <c r="D23" s="140">
        <v>0</v>
      </c>
      <c r="E23" s="41" t="s">
        <v>99</v>
      </c>
      <c r="F23" s="126">
        <v>0.33</v>
      </c>
      <c r="G23" s="127">
        <v>2.04</v>
      </c>
      <c r="H23" s="41" t="s">
        <v>209</v>
      </c>
      <c r="I23" s="95" t="s">
        <v>129</v>
      </c>
      <c r="J23" s="41" t="s">
        <v>182</v>
      </c>
      <c r="K23" s="41" t="s">
        <v>210</v>
      </c>
      <c r="L23" s="95" t="s">
        <v>211</v>
      </c>
      <c r="M23" s="128">
        <v>1000</v>
      </c>
      <c r="N23" s="41" t="s">
        <v>133</v>
      </c>
      <c r="O23" s="42" t="s">
        <v>102</v>
      </c>
      <c r="P23" s="52">
        <v>100.4</v>
      </c>
      <c r="Q23" s="41" t="s">
        <v>134</v>
      </c>
      <c r="R23" s="42" t="s">
        <v>135</v>
      </c>
      <c r="S23" s="129">
        <v>9.2877928633817343E-5</v>
      </c>
      <c r="T23" s="41" t="s">
        <v>136</v>
      </c>
      <c r="U23" s="42" t="s">
        <v>137</v>
      </c>
      <c r="V23" s="41" t="s">
        <v>138</v>
      </c>
      <c r="W23" s="41" t="s">
        <v>139</v>
      </c>
      <c r="X23" s="42" t="s">
        <v>140</v>
      </c>
      <c r="Y23" s="41" t="s">
        <v>141</v>
      </c>
      <c r="Z23" s="41" t="s">
        <v>97</v>
      </c>
      <c r="AA23" s="94" t="s">
        <v>142</v>
      </c>
    </row>
    <row r="24" spans="1:27" x14ac:dyDescent="0.2">
      <c r="A24" s="44" t="s">
        <v>212</v>
      </c>
      <c r="B24" s="44" t="s">
        <v>208</v>
      </c>
      <c r="C24" s="91">
        <v>142989124</v>
      </c>
      <c r="D24" s="139">
        <v>0.01</v>
      </c>
      <c r="E24" s="44" t="s">
        <v>99</v>
      </c>
      <c r="F24" s="122">
        <v>4.03</v>
      </c>
      <c r="G24" s="123">
        <v>1.9</v>
      </c>
      <c r="H24" s="44" t="s">
        <v>209</v>
      </c>
      <c r="I24" s="93" t="s">
        <v>129</v>
      </c>
      <c r="J24" s="44" t="s">
        <v>182</v>
      </c>
      <c r="K24" s="44" t="s">
        <v>210</v>
      </c>
      <c r="L24" s="93" t="s">
        <v>211</v>
      </c>
      <c r="M24" s="124">
        <v>5000</v>
      </c>
      <c r="N24" s="44" t="s">
        <v>133</v>
      </c>
      <c r="O24" s="92" t="s">
        <v>102</v>
      </c>
      <c r="P24" s="110">
        <v>107.87</v>
      </c>
      <c r="Q24" s="44" t="s">
        <v>134</v>
      </c>
      <c r="R24" s="92" t="s">
        <v>135</v>
      </c>
      <c r="S24" s="125">
        <v>7.1129470542089009E-3</v>
      </c>
      <c r="T24" s="44" t="s">
        <v>136</v>
      </c>
      <c r="U24" s="92" t="s">
        <v>137</v>
      </c>
      <c r="V24" s="44" t="s">
        <v>138</v>
      </c>
      <c r="W24" s="44" t="s">
        <v>139</v>
      </c>
      <c r="X24" s="92" t="s">
        <v>140</v>
      </c>
      <c r="Y24" s="44" t="s">
        <v>141</v>
      </c>
      <c r="Z24" s="44" t="s">
        <v>97</v>
      </c>
      <c r="AA24" s="91" t="s">
        <v>142</v>
      </c>
    </row>
    <row r="25" spans="1:27" x14ac:dyDescent="0.2">
      <c r="A25" s="41" t="s">
        <v>213</v>
      </c>
      <c r="B25" s="41" t="s">
        <v>208</v>
      </c>
      <c r="C25" s="94">
        <v>87722278</v>
      </c>
      <c r="D25" s="140">
        <v>0</v>
      </c>
      <c r="E25" s="41" t="s">
        <v>99</v>
      </c>
      <c r="F25" s="126">
        <v>4.97</v>
      </c>
      <c r="G25" s="127">
        <v>1.95</v>
      </c>
      <c r="H25" s="41" t="s">
        <v>209</v>
      </c>
      <c r="I25" s="95" t="s">
        <v>129</v>
      </c>
      <c r="J25" s="41" t="s">
        <v>182</v>
      </c>
      <c r="K25" s="41" t="s">
        <v>210</v>
      </c>
      <c r="L25" s="95" t="s">
        <v>211</v>
      </c>
      <c r="M25" s="128">
        <v>3000</v>
      </c>
      <c r="N25" s="41" t="s">
        <v>133</v>
      </c>
      <c r="O25" s="42" t="s">
        <v>102</v>
      </c>
      <c r="P25" s="52">
        <v>108.97</v>
      </c>
      <c r="Q25" s="41" t="s">
        <v>134</v>
      </c>
      <c r="R25" s="42" t="s">
        <v>135</v>
      </c>
      <c r="S25" s="129">
        <v>4.3637159347069939E-3</v>
      </c>
      <c r="T25" s="41" t="s">
        <v>136</v>
      </c>
      <c r="U25" s="42" t="s">
        <v>137</v>
      </c>
      <c r="V25" s="41" t="s">
        <v>138</v>
      </c>
      <c r="W25" s="41" t="s">
        <v>139</v>
      </c>
      <c r="X25" s="42" t="s">
        <v>140</v>
      </c>
      <c r="Y25" s="41" t="s">
        <v>141</v>
      </c>
      <c r="Z25" s="41" t="s">
        <v>97</v>
      </c>
      <c r="AA25" s="94" t="s">
        <v>142</v>
      </c>
    </row>
    <row r="26" spans="1:27" x14ac:dyDescent="0.2">
      <c r="A26" s="44" t="s">
        <v>214</v>
      </c>
      <c r="B26" s="44" t="s">
        <v>208</v>
      </c>
      <c r="C26" s="91">
        <v>54051267</v>
      </c>
      <c r="D26" s="139">
        <v>0</v>
      </c>
      <c r="E26" s="44" t="s">
        <v>99</v>
      </c>
      <c r="F26" s="122">
        <v>1.39</v>
      </c>
      <c r="G26" s="123">
        <v>1.87</v>
      </c>
      <c r="H26" s="44" t="s">
        <v>209</v>
      </c>
      <c r="I26" s="93" t="s">
        <v>129</v>
      </c>
      <c r="J26" s="44" t="s">
        <v>182</v>
      </c>
      <c r="K26" s="44" t="s">
        <v>210</v>
      </c>
      <c r="L26" s="93" t="s">
        <v>211</v>
      </c>
      <c r="M26" s="124">
        <v>2000</v>
      </c>
      <c r="N26" s="44" t="s">
        <v>133</v>
      </c>
      <c r="O26" s="92" t="s">
        <v>102</v>
      </c>
      <c r="P26" s="110">
        <v>102.28</v>
      </c>
      <c r="Q26" s="44" t="s">
        <v>134</v>
      </c>
      <c r="R26" s="92" t="s">
        <v>135</v>
      </c>
      <c r="S26" s="125">
        <v>2.6887625410161181E-3</v>
      </c>
      <c r="T26" s="44" t="s">
        <v>136</v>
      </c>
      <c r="U26" s="92" t="s">
        <v>137</v>
      </c>
      <c r="V26" s="44" t="s">
        <v>138</v>
      </c>
      <c r="W26" s="44" t="s">
        <v>139</v>
      </c>
      <c r="X26" s="92" t="s">
        <v>140</v>
      </c>
      <c r="Y26" s="44" t="s">
        <v>141</v>
      </c>
      <c r="Z26" s="44" t="s">
        <v>97</v>
      </c>
      <c r="AA26" s="91" t="s">
        <v>142</v>
      </c>
    </row>
    <row r="27" spans="1:27" x14ac:dyDescent="0.2">
      <c r="A27" s="96" t="s">
        <v>215</v>
      </c>
      <c r="B27" s="44" t="s">
        <v>208</v>
      </c>
      <c r="C27" s="91">
        <v>10236524</v>
      </c>
      <c r="D27" s="139">
        <v>0</v>
      </c>
      <c r="E27" s="44" t="s">
        <v>100</v>
      </c>
      <c r="F27" s="122">
        <v>0.09</v>
      </c>
      <c r="G27" s="123">
        <v>4.3499999999999996</v>
      </c>
      <c r="H27" s="44" t="s">
        <v>209</v>
      </c>
      <c r="I27" s="93" t="s">
        <v>129</v>
      </c>
      <c r="J27" s="44" t="s">
        <v>182</v>
      </c>
      <c r="K27" s="44" t="s">
        <v>210</v>
      </c>
      <c r="L27" s="93" t="s">
        <v>211</v>
      </c>
      <c r="M27" s="124">
        <v>10000000</v>
      </c>
      <c r="N27" s="44" t="s">
        <v>133</v>
      </c>
      <c r="O27" s="92" t="s">
        <v>102</v>
      </c>
      <c r="P27" s="110">
        <v>100.08</v>
      </c>
      <c r="Q27" s="44" t="s">
        <v>134</v>
      </c>
      <c r="R27" s="92" t="s">
        <v>135</v>
      </c>
      <c r="S27" s="125">
        <v>5.0921252745865281E-4</v>
      </c>
      <c r="T27" s="44" t="s">
        <v>136</v>
      </c>
      <c r="U27" s="92" t="s">
        <v>177</v>
      </c>
      <c r="V27" s="44" t="s">
        <v>138</v>
      </c>
      <c r="W27" s="44" t="s">
        <v>178</v>
      </c>
      <c r="X27" s="92" t="s">
        <v>179</v>
      </c>
      <c r="Y27" s="96" t="s">
        <v>141</v>
      </c>
      <c r="Z27" s="44" t="s">
        <v>97</v>
      </c>
      <c r="AA27" s="91" t="s">
        <v>142</v>
      </c>
    </row>
    <row r="28" spans="1:27" x14ac:dyDescent="0.2">
      <c r="A28" s="97" t="s">
        <v>216</v>
      </c>
      <c r="B28" s="41" t="s">
        <v>208</v>
      </c>
      <c r="C28" s="94">
        <v>761223873</v>
      </c>
      <c r="D28" s="140">
        <v>0.04</v>
      </c>
      <c r="E28" s="41" t="s">
        <v>99</v>
      </c>
      <c r="F28" s="126">
        <v>2.1800000000000002</v>
      </c>
      <c r="G28" s="127">
        <v>1.9</v>
      </c>
      <c r="H28" s="41" t="s">
        <v>209</v>
      </c>
      <c r="I28" s="95" t="s">
        <v>129</v>
      </c>
      <c r="J28" s="41" t="s">
        <v>182</v>
      </c>
      <c r="K28" s="41" t="s">
        <v>210</v>
      </c>
      <c r="L28" s="95" t="s">
        <v>211</v>
      </c>
      <c r="M28" s="128">
        <v>28000</v>
      </c>
      <c r="N28" s="41" t="s">
        <v>133</v>
      </c>
      <c r="O28" s="42" t="s">
        <v>102</v>
      </c>
      <c r="P28" s="52">
        <v>102.42</v>
      </c>
      <c r="Q28" s="41" t="s">
        <v>134</v>
      </c>
      <c r="R28" s="42" t="s">
        <v>135</v>
      </c>
      <c r="S28" s="129">
        <v>3.7866831781197853E-2</v>
      </c>
      <c r="T28" s="41" t="s">
        <v>136</v>
      </c>
      <c r="U28" s="42" t="s">
        <v>137</v>
      </c>
      <c r="V28" s="41" t="s">
        <v>138</v>
      </c>
      <c r="W28" s="41" t="s">
        <v>139</v>
      </c>
      <c r="X28" s="42" t="s">
        <v>140</v>
      </c>
      <c r="Y28" s="97" t="s">
        <v>141</v>
      </c>
      <c r="Z28" s="41" t="s">
        <v>97</v>
      </c>
      <c r="AA28" s="94" t="s">
        <v>142</v>
      </c>
    </row>
    <row r="29" spans="1:27" x14ac:dyDescent="0.2">
      <c r="A29" s="96" t="s">
        <v>217</v>
      </c>
      <c r="B29" s="44" t="s">
        <v>208</v>
      </c>
      <c r="C29" s="91">
        <v>136370313</v>
      </c>
      <c r="D29" s="139">
        <v>0.01</v>
      </c>
      <c r="E29" s="44" t="s">
        <v>99</v>
      </c>
      <c r="F29" s="122">
        <v>2.73</v>
      </c>
      <c r="G29" s="123">
        <v>1.91</v>
      </c>
      <c r="H29" s="44" t="s">
        <v>209</v>
      </c>
      <c r="I29" s="93" t="s">
        <v>129</v>
      </c>
      <c r="J29" s="44" t="s">
        <v>182</v>
      </c>
      <c r="K29" s="44" t="s">
        <v>210</v>
      </c>
      <c r="L29" s="93" t="s">
        <v>211</v>
      </c>
      <c r="M29" s="124">
        <v>5000</v>
      </c>
      <c r="N29" s="44" t="s">
        <v>133</v>
      </c>
      <c r="O29" s="92" t="s">
        <v>102</v>
      </c>
      <c r="P29" s="110">
        <v>103.01</v>
      </c>
      <c r="Q29" s="44" t="s">
        <v>134</v>
      </c>
      <c r="R29" s="92" t="s">
        <v>135</v>
      </c>
      <c r="S29" s="125">
        <v>6.7836964728512899E-3</v>
      </c>
      <c r="T29" s="44" t="s">
        <v>136</v>
      </c>
      <c r="U29" s="92" t="s">
        <v>137</v>
      </c>
      <c r="V29" s="44" t="s">
        <v>138</v>
      </c>
      <c r="W29" s="44" t="s">
        <v>139</v>
      </c>
      <c r="X29" s="92" t="s">
        <v>140</v>
      </c>
      <c r="Y29" s="96" t="s">
        <v>141</v>
      </c>
      <c r="Z29" s="44" t="s">
        <v>97</v>
      </c>
      <c r="AA29" s="91" t="s">
        <v>142</v>
      </c>
    </row>
    <row r="30" spans="1:27" x14ac:dyDescent="0.2">
      <c r="A30" s="97" t="s">
        <v>218</v>
      </c>
      <c r="B30" s="41" t="s">
        <v>208</v>
      </c>
      <c r="C30" s="94">
        <v>383741944</v>
      </c>
      <c r="D30" s="140">
        <v>0.02</v>
      </c>
      <c r="E30" s="41" t="s">
        <v>99</v>
      </c>
      <c r="F30" s="126">
        <v>2.48</v>
      </c>
      <c r="G30" s="127">
        <v>1.9</v>
      </c>
      <c r="H30" s="41" t="s">
        <v>209</v>
      </c>
      <c r="I30" s="95" t="s">
        <v>129</v>
      </c>
      <c r="J30" s="41" t="s">
        <v>182</v>
      </c>
      <c r="K30" s="41" t="s">
        <v>210</v>
      </c>
      <c r="L30" s="95" t="s">
        <v>211</v>
      </c>
      <c r="M30" s="128">
        <v>14000</v>
      </c>
      <c r="N30" s="41" t="s">
        <v>133</v>
      </c>
      <c r="O30" s="42" t="s">
        <v>102</v>
      </c>
      <c r="P30" s="52">
        <v>102.75</v>
      </c>
      <c r="Q30" s="41" t="s">
        <v>134</v>
      </c>
      <c r="R30" s="42" t="s">
        <v>135</v>
      </c>
      <c r="S30" s="129">
        <v>1.9089117086633786E-2</v>
      </c>
      <c r="T30" s="41" t="s">
        <v>136</v>
      </c>
      <c r="U30" s="42" t="s">
        <v>137</v>
      </c>
      <c r="V30" s="41" t="s">
        <v>138</v>
      </c>
      <c r="W30" s="41" t="s">
        <v>139</v>
      </c>
      <c r="X30" s="42" t="s">
        <v>140</v>
      </c>
      <c r="Y30" s="97" t="s">
        <v>141</v>
      </c>
      <c r="Z30" s="41" t="s">
        <v>97</v>
      </c>
      <c r="AA30" s="94" t="s">
        <v>142</v>
      </c>
    </row>
    <row r="31" spans="1:27" x14ac:dyDescent="0.2">
      <c r="A31" s="97" t="s">
        <v>219</v>
      </c>
      <c r="B31" s="41" t="s">
        <v>220</v>
      </c>
      <c r="C31" s="94">
        <v>780659582</v>
      </c>
      <c r="D31" s="140">
        <v>0.04</v>
      </c>
      <c r="E31" s="41" t="s">
        <v>99</v>
      </c>
      <c r="F31" s="126">
        <v>1.32</v>
      </c>
      <c r="G31" s="127">
        <v>2.2400000000000002</v>
      </c>
      <c r="H31" s="41" t="s">
        <v>156</v>
      </c>
      <c r="I31" s="95" t="s">
        <v>129</v>
      </c>
      <c r="J31" s="41" t="s">
        <v>221</v>
      </c>
      <c r="K31" s="41" t="s">
        <v>222</v>
      </c>
      <c r="L31" s="95" t="s">
        <v>223</v>
      </c>
      <c r="M31" s="128">
        <v>29000</v>
      </c>
      <c r="N31" s="41" t="s">
        <v>133</v>
      </c>
      <c r="O31" s="42" t="s">
        <v>102</v>
      </c>
      <c r="P31" s="52">
        <v>101.65</v>
      </c>
      <c r="Q31" s="41" t="s">
        <v>134</v>
      </c>
      <c r="R31" s="42" t="s">
        <v>135</v>
      </c>
      <c r="S31" s="129">
        <v>3.8833654747943293E-2</v>
      </c>
      <c r="T31" s="41" t="s">
        <v>136</v>
      </c>
      <c r="U31" s="42" t="s">
        <v>137</v>
      </c>
      <c r="V31" s="41" t="s">
        <v>138</v>
      </c>
      <c r="W31" s="41" t="s">
        <v>139</v>
      </c>
      <c r="X31" s="42" t="s">
        <v>140</v>
      </c>
      <c r="Y31" s="97" t="s">
        <v>141</v>
      </c>
      <c r="Z31" s="41" t="s">
        <v>97</v>
      </c>
      <c r="AA31" s="94" t="s">
        <v>142</v>
      </c>
    </row>
    <row r="32" spans="1:27" x14ac:dyDescent="0.2">
      <c r="A32" s="97" t="s">
        <v>224</v>
      </c>
      <c r="B32" s="41" t="s">
        <v>225</v>
      </c>
      <c r="C32" s="94">
        <v>175619026</v>
      </c>
      <c r="D32" s="140">
        <v>0.01</v>
      </c>
      <c r="E32" s="41" t="s">
        <v>99</v>
      </c>
      <c r="F32" s="126">
        <v>1.22</v>
      </c>
      <c r="G32" s="127">
        <v>2.35</v>
      </c>
      <c r="H32" s="41" t="s">
        <v>156</v>
      </c>
      <c r="I32" s="95" t="s">
        <v>129</v>
      </c>
      <c r="J32" s="41" t="s">
        <v>182</v>
      </c>
      <c r="K32" s="41" t="s">
        <v>226</v>
      </c>
      <c r="L32" s="95" t="s">
        <v>227</v>
      </c>
      <c r="M32" s="128">
        <v>6500</v>
      </c>
      <c r="N32" s="41" t="s">
        <v>133</v>
      </c>
      <c r="O32" s="42" t="s">
        <v>102</v>
      </c>
      <c r="P32" s="52">
        <v>101.62</v>
      </c>
      <c r="Q32" s="41" t="s">
        <v>134</v>
      </c>
      <c r="R32" s="42" t="s">
        <v>135</v>
      </c>
      <c r="S32" s="129">
        <v>8.7361108223149644E-3</v>
      </c>
      <c r="T32" s="41" t="s">
        <v>136</v>
      </c>
      <c r="U32" s="42" t="s">
        <v>137</v>
      </c>
      <c r="V32" s="41" t="s">
        <v>138</v>
      </c>
      <c r="W32" s="41" t="s">
        <v>139</v>
      </c>
      <c r="X32" s="42" t="s">
        <v>140</v>
      </c>
      <c r="Y32" s="97" t="s">
        <v>141</v>
      </c>
      <c r="Z32" s="41" t="s">
        <v>97</v>
      </c>
      <c r="AA32" s="94" t="s">
        <v>142</v>
      </c>
    </row>
    <row r="33" spans="1:27" x14ac:dyDescent="0.2">
      <c r="A33" s="97" t="s">
        <v>228</v>
      </c>
      <c r="B33" s="41" t="s">
        <v>229</v>
      </c>
      <c r="C33" s="94">
        <v>26972790</v>
      </c>
      <c r="D33" s="140">
        <v>0</v>
      </c>
      <c r="E33" s="41" t="s">
        <v>99</v>
      </c>
      <c r="F33" s="126">
        <v>0.2</v>
      </c>
      <c r="G33" s="127">
        <v>4.07</v>
      </c>
      <c r="H33" s="41" t="s">
        <v>156</v>
      </c>
      <c r="I33" s="95" t="s">
        <v>129</v>
      </c>
      <c r="J33" s="41" t="s">
        <v>182</v>
      </c>
      <c r="K33" s="41" t="s">
        <v>230</v>
      </c>
      <c r="L33" s="95" t="s">
        <v>231</v>
      </c>
      <c r="M33" s="128">
        <v>7000</v>
      </c>
      <c r="N33" s="41" t="s">
        <v>133</v>
      </c>
      <c r="O33" s="42" t="s">
        <v>102</v>
      </c>
      <c r="P33" s="52">
        <v>99.83</v>
      </c>
      <c r="Q33" s="41" t="s">
        <v>134</v>
      </c>
      <c r="R33" s="42" t="s">
        <v>135</v>
      </c>
      <c r="S33" s="129">
        <v>1.341752587940152E-3</v>
      </c>
      <c r="T33" s="41" t="s">
        <v>136</v>
      </c>
      <c r="U33" s="42" t="s">
        <v>137</v>
      </c>
      <c r="V33" s="41" t="s">
        <v>138</v>
      </c>
      <c r="W33" s="41" t="s">
        <v>139</v>
      </c>
      <c r="X33" s="42" t="s">
        <v>140</v>
      </c>
      <c r="Y33" s="97" t="s">
        <v>141</v>
      </c>
      <c r="Z33" s="41" t="s">
        <v>97</v>
      </c>
      <c r="AA33" s="94" t="s">
        <v>142</v>
      </c>
    </row>
    <row r="34" spans="1:27" x14ac:dyDescent="0.2">
      <c r="A34" s="96" t="s">
        <v>232</v>
      </c>
      <c r="B34" s="44" t="s">
        <v>233</v>
      </c>
      <c r="C34" s="91">
        <v>147791754</v>
      </c>
      <c r="D34" s="139">
        <v>0.01</v>
      </c>
      <c r="E34" s="44" t="s">
        <v>99</v>
      </c>
      <c r="F34" s="122">
        <v>7.85</v>
      </c>
      <c r="G34" s="123">
        <v>2.17</v>
      </c>
      <c r="H34" s="44" t="s">
        <v>209</v>
      </c>
      <c r="I34" s="93" t="s">
        <v>129</v>
      </c>
      <c r="J34" s="44" t="s">
        <v>182</v>
      </c>
      <c r="K34" s="44" t="s">
        <v>234</v>
      </c>
      <c r="L34" s="93" t="s">
        <v>235</v>
      </c>
      <c r="M34" s="124">
        <v>5000</v>
      </c>
      <c r="N34" s="44" t="s">
        <v>133</v>
      </c>
      <c r="O34" s="92" t="s">
        <v>102</v>
      </c>
      <c r="P34" s="110">
        <v>110.59</v>
      </c>
      <c r="Q34" s="44" t="s">
        <v>134</v>
      </c>
      <c r="R34" s="92" t="s">
        <v>135</v>
      </c>
      <c r="S34" s="125">
        <v>7.3518523076668858E-3</v>
      </c>
      <c r="T34" s="44" t="s">
        <v>160</v>
      </c>
      <c r="U34" s="92" t="s">
        <v>161</v>
      </c>
      <c r="V34" s="44" t="s">
        <v>162</v>
      </c>
      <c r="W34" s="44" t="s">
        <v>163</v>
      </c>
      <c r="X34" s="92" t="s">
        <v>140</v>
      </c>
      <c r="Y34" s="96" t="s">
        <v>164</v>
      </c>
      <c r="Z34" s="44" t="s">
        <v>97</v>
      </c>
      <c r="AA34" s="91" t="s">
        <v>165</v>
      </c>
    </row>
    <row r="35" spans="1:27" x14ac:dyDescent="0.2">
      <c r="A35" s="96" t="s">
        <v>236</v>
      </c>
      <c r="B35" s="44" t="s">
        <v>233</v>
      </c>
      <c r="C35" s="91">
        <v>546212558</v>
      </c>
      <c r="D35" s="139">
        <v>0.03</v>
      </c>
      <c r="E35" s="44" t="s">
        <v>99</v>
      </c>
      <c r="F35" s="122">
        <v>1.54</v>
      </c>
      <c r="G35" s="123">
        <v>1.93</v>
      </c>
      <c r="H35" s="44" t="s">
        <v>209</v>
      </c>
      <c r="I35" s="93" t="s">
        <v>129</v>
      </c>
      <c r="J35" s="44" t="s">
        <v>182</v>
      </c>
      <c r="K35" s="44" t="s">
        <v>234</v>
      </c>
      <c r="L35" s="93" t="s">
        <v>235</v>
      </c>
      <c r="M35" s="124">
        <v>20000</v>
      </c>
      <c r="N35" s="44" t="s">
        <v>133</v>
      </c>
      <c r="O35" s="92" t="s">
        <v>102</v>
      </c>
      <c r="P35" s="110">
        <v>102.22</v>
      </c>
      <c r="Q35" s="44" t="s">
        <v>134</v>
      </c>
      <c r="R35" s="92" t="s">
        <v>135</v>
      </c>
      <c r="S35" s="125">
        <v>2.7171164468410957E-2</v>
      </c>
      <c r="T35" s="44" t="s">
        <v>136</v>
      </c>
      <c r="U35" s="92" t="s">
        <v>137</v>
      </c>
      <c r="V35" s="44" t="s">
        <v>138</v>
      </c>
      <c r="W35" s="44" t="s">
        <v>139</v>
      </c>
      <c r="X35" s="92" t="s">
        <v>140</v>
      </c>
      <c r="Y35" s="96" t="s">
        <v>141</v>
      </c>
      <c r="Z35" s="44" t="s">
        <v>97</v>
      </c>
      <c r="AA35" s="91" t="s">
        <v>142</v>
      </c>
    </row>
    <row r="36" spans="1:27" x14ac:dyDescent="0.2">
      <c r="A36" s="96" t="s">
        <v>237</v>
      </c>
      <c r="B36" s="44" t="s">
        <v>233</v>
      </c>
      <c r="C36" s="91">
        <v>344523526</v>
      </c>
      <c r="D36" s="139">
        <v>0.02</v>
      </c>
      <c r="E36" s="44" t="s">
        <v>99</v>
      </c>
      <c r="F36" s="122">
        <v>0.42</v>
      </c>
      <c r="G36" s="123">
        <v>2.17</v>
      </c>
      <c r="H36" s="44" t="s">
        <v>209</v>
      </c>
      <c r="I36" s="93" t="s">
        <v>129</v>
      </c>
      <c r="J36" s="44" t="s">
        <v>182</v>
      </c>
      <c r="K36" s="44" t="s">
        <v>234</v>
      </c>
      <c r="L36" s="93" t="s">
        <v>235</v>
      </c>
      <c r="M36" s="124">
        <v>13000</v>
      </c>
      <c r="N36" s="44" t="s">
        <v>133</v>
      </c>
      <c r="O36" s="92" t="s">
        <v>102</v>
      </c>
      <c r="P36" s="110">
        <v>100.34</v>
      </c>
      <c r="Q36" s="44" t="s">
        <v>134</v>
      </c>
      <c r="R36" s="92" t="s">
        <v>135</v>
      </c>
      <c r="S36" s="125">
        <v>1.713820975200438E-2</v>
      </c>
      <c r="T36" s="44" t="s">
        <v>136</v>
      </c>
      <c r="U36" s="92" t="s">
        <v>137</v>
      </c>
      <c r="V36" s="44" t="s">
        <v>138</v>
      </c>
      <c r="W36" s="44" t="s">
        <v>139</v>
      </c>
      <c r="X36" s="92" t="s">
        <v>140</v>
      </c>
      <c r="Y36" s="96" t="s">
        <v>141</v>
      </c>
      <c r="Z36" s="44" t="s">
        <v>97</v>
      </c>
      <c r="AA36" s="91" t="s">
        <v>142</v>
      </c>
    </row>
    <row r="37" spans="1:27" x14ac:dyDescent="0.2">
      <c r="A37" s="96" t="s">
        <v>238</v>
      </c>
      <c r="B37" s="44" t="s">
        <v>233</v>
      </c>
      <c r="C37" s="91">
        <v>134405751</v>
      </c>
      <c r="D37" s="139">
        <v>0.01</v>
      </c>
      <c r="E37" s="44" t="s">
        <v>99</v>
      </c>
      <c r="F37" s="122">
        <v>1.39</v>
      </c>
      <c r="G37" s="123">
        <v>1.92</v>
      </c>
      <c r="H37" s="44" t="s">
        <v>209</v>
      </c>
      <c r="I37" s="93" t="s">
        <v>129</v>
      </c>
      <c r="J37" s="44" t="s">
        <v>182</v>
      </c>
      <c r="K37" s="44" t="s">
        <v>234</v>
      </c>
      <c r="L37" s="93" t="s">
        <v>235</v>
      </c>
      <c r="M37" s="124">
        <v>5000</v>
      </c>
      <c r="N37" s="44" t="s">
        <v>133</v>
      </c>
      <c r="O37" s="92" t="s">
        <v>102</v>
      </c>
      <c r="P37" s="110">
        <v>101.76</v>
      </c>
      <c r="Q37" s="44" t="s">
        <v>134</v>
      </c>
      <c r="R37" s="92" t="s">
        <v>135</v>
      </c>
      <c r="S37" s="125">
        <v>6.6859699807950779E-3</v>
      </c>
      <c r="T37" s="44" t="s">
        <v>136</v>
      </c>
      <c r="U37" s="92" t="s">
        <v>137</v>
      </c>
      <c r="V37" s="44" t="s">
        <v>138</v>
      </c>
      <c r="W37" s="44" t="s">
        <v>139</v>
      </c>
      <c r="X37" s="92" t="s">
        <v>140</v>
      </c>
      <c r="Y37" s="96" t="s">
        <v>141</v>
      </c>
      <c r="Z37" s="44" t="s">
        <v>97</v>
      </c>
      <c r="AA37" s="91" t="s">
        <v>142</v>
      </c>
    </row>
    <row r="38" spans="1:27" x14ac:dyDescent="0.2">
      <c r="A38" s="96" t="s">
        <v>239</v>
      </c>
      <c r="B38" s="44" t="s">
        <v>233</v>
      </c>
      <c r="C38" s="91">
        <v>253049563</v>
      </c>
      <c r="D38" s="139">
        <v>0.01</v>
      </c>
      <c r="E38" s="44" t="s">
        <v>99</v>
      </c>
      <c r="F38" s="122">
        <v>4.58</v>
      </c>
      <c r="G38" s="123">
        <v>2</v>
      </c>
      <c r="H38" s="44" t="s">
        <v>209</v>
      </c>
      <c r="I38" s="93" t="s">
        <v>129</v>
      </c>
      <c r="J38" s="44" t="s">
        <v>182</v>
      </c>
      <c r="K38" s="44" t="s">
        <v>234</v>
      </c>
      <c r="L38" s="93" t="s">
        <v>235</v>
      </c>
      <c r="M38" s="124">
        <v>9000</v>
      </c>
      <c r="N38" s="44" t="s">
        <v>133</v>
      </c>
      <c r="O38" s="92" t="s">
        <v>102</v>
      </c>
      <c r="P38" s="110">
        <v>106.42</v>
      </c>
      <c r="Q38" s="44" t="s">
        <v>134</v>
      </c>
      <c r="R38" s="92" t="s">
        <v>135</v>
      </c>
      <c r="S38" s="125">
        <v>1.2587867478016717E-2</v>
      </c>
      <c r="T38" s="44" t="s">
        <v>136</v>
      </c>
      <c r="U38" s="92" t="s">
        <v>137</v>
      </c>
      <c r="V38" s="44" t="s">
        <v>138</v>
      </c>
      <c r="W38" s="44" t="s">
        <v>139</v>
      </c>
      <c r="X38" s="92" t="s">
        <v>140</v>
      </c>
      <c r="Y38" s="96" t="s">
        <v>141</v>
      </c>
      <c r="Z38" s="44" t="s">
        <v>97</v>
      </c>
      <c r="AA38" s="91" t="s">
        <v>142</v>
      </c>
    </row>
    <row r="39" spans="1:27" x14ac:dyDescent="0.2">
      <c r="A39" s="97" t="s">
        <v>240</v>
      </c>
      <c r="B39" s="41" t="s">
        <v>233</v>
      </c>
      <c r="C39" s="94">
        <v>57329648</v>
      </c>
      <c r="D39" s="140">
        <v>0</v>
      </c>
      <c r="E39" s="41" t="s">
        <v>99</v>
      </c>
      <c r="F39" s="126">
        <v>5.51</v>
      </c>
      <c r="G39" s="127">
        <v>2.08</v>
      </c>
      <c r="H39" s="41" t="s">
        <v>209</v>
      </c>
      <c r="I39" s="95" t="s">
        <v>129</v>
      </c>
      <c r="J39" s="41" t="s">
        <v>182</v>
      </c>
      <c r="K39" s="41" t="s">
        <v>234</v>
      </c>
      <c r="L39" s="95" t="s">
        <v>235</v>
      </c>
      <c r="M39" s="128">
        <v>2000</v>
      </c>
      <c r="N39" s="41" t="s">
        <v>133</v>
      </c>
      <c r="O39" s="42" t="s">
        <v>102</v>
      </c>
      <c r="P39" s="52">
        <v>107.29</v>
      </c>
      <c r="Q39" s="41" t="s">
        <v>134</v>
      </c>
      <c r="R39" s="42" t="s">
        <v>135</v>
      </c>
      <c r="S39" s="129">
        <v>2.851844528122525E-3</v>
      </c>
      <c r="T39" s="41" t="s">
        <v>160</v>
      </c>
      <c r="U39" s="42" t="s">
        <v>161</v>
      </c>
      <c r="V39" s="41" t="s">
        <v>162</v>
      </c>
      <c r="W39" s="41" t="s">
        <v>163</v>
      </c>
      <c r="X39" s="42" t="s">
        <v>140</v>
      </c>
      <c r="Y39" s="97" t="s">
        <v>164</v>
      </c>
      <c r="Z39" s="41" t="s">
        <v>97</v>
      </c>
      <c r="AA39" s="94" t="s">
        <v>165</v>
      </c>
    </row>
    <row r="40" spans="1:27" x14ac:dyDescent="0.2">
      <c r="A40" s="96" t="s">
        <v>241</v>
      </c>
      <c r="B40" s="44" t="s">
        <v>242</v>
      </c>
      <c r="C40" s="91">
        <v>53803835</v>
      </c>
      <c r="D40" s="139">
        <v>0</v>
      </c>
      <c r="E40" s="44" t="s">
        <v>99</v>
      </c>
      <c r="F40" s="122">
        <v>1.43</v>
      </c>
      <c r="G40" s="123">
        <v>2.3199999999999998</v>
      </c>
      <c r="H40" s="44" t="s">
        <v>156</v>
      </c>
      <c r="I40" s="93" t="s">
        <v>129</v>
      </c>
      <c r="J40" s="44" t="s">
        <v>182</v>
      </c>
      <c r="K40" s="44" t="s">
        <v>243</v>
      </c>
      <c r="L40" s="93" t="s">
        <v>244</v>
      </c>
      <c r="M40" s="124">
        <v>2000</v>
      </c>
      <c r="N40" s="44" t="s">
        <v>133</v>
      </c>
      <c r="O40" s="92" t="s">
        <v>102</v>
      </c>
      <c r="P40" s="110">
        <v>101.94</v>
      </c>
      <c r="Q40" s="44" t="s">
        <v>134</v>
      </c>
      <c r="R40" s="92" t="s">
        <v>135</v>
      </c>
      <c r="S40" s="125">
        <v>2.6764541173662395E-3</v>
      </c>
      <c r="T40" s="44" t="s">
        <v>136</v>
      </c>
      <c r="U40" s="92" t="s">
        <v>137</v>
      </c>
      <c r="V40" s="44" t="s">
        <v>138</v>
      </c>
      <c r="W40" s="44" t="s">
        <v>139</v>
      </c>
      <c r="X40" s="92" t="s">
        <v>140</v>
      </c>
      <c r="Y40" s="96" t="s">
        <v>141</v>
      </c>
      <c r="Z40" s="44" t="s">
        <v>97</v>
      </c>
      <c r="AA40" s="91" t="s">
        <v>142</v>
      </c>
    </row>
    <row r="41" spans="1:27" x14ac:dyDescent="0.2">
      <c r="A41" s="97" t="s">
        <v>245</v>
      </c>
      <c r="B41" s="41" t="s">
        <v>242</v>
      </c>
      <c r="C41" s="94">
        <v>343820413</v>
      </c>
      <c r="D41" s="140">
        <v>0.02</v>
      </c>
      <c r="E41" s="41" t="s">
        <v>99</v>
      </c>
      <c r="F41" s="126">
        <v>1.32</v>
      </c>
      <c r="G41" s="127">
        <v>2.19</v>
      </c>
      <c r="H41" s="41" t="s">
        <v>156</v>
      </c>
      <c r="I41" s="95" t="s">
        <v>129</v>
      </c>
      <c r="J41" s="41" t="s">
        <v>182</v>
      </c>
      <c r="K41" s="41" t="s">
        <v>243</v>
      </c>
      <c r="L41" s="95" t="s">
        <v>244</v>
      </c>
      <c r="M41" s="128">
        <v>13000</v>
      </c>
      <c r="N41" s="41" t="s">
        <v>133</v>
      </c>
      <c r="O41" s="42" t="s">
        <v>102</v>
      </c>
      <c r="P41" s="52">
        <v>100.02</v>
      </c>
      <c r="Q41" s="41" t="s">
        <v>134</v>
      </c>
      <c r="R41" s="42" t="s">
        <v>135</v>
      </c>
      <c r="S41" s="129">
        <v>1.7103233626532585E-2</v>
      </c>
      <c r="T41" s="41" t="s">
        <v>136</v>
      </c>
      <c r="U41" s="42" t="s">
        <v>137</v>
      </c>
      <c r="V41" s="41" t="s">
        <v>138</v>
      </c>
      <c r="W41" s="41" t="s">
        <v>139</v>
      </c>
      <c r="X41" s="42" t="s">
        <v>140</v>
      </c>
      <c r="Y41" s="97" t="s">
        <v>141</v>
      </c>
      <c r="Z41" s="41" t="s">
        <v>97</v>
      </c>
      <c r="AA41" s="94" t="s">
        <v>142</v>
      </c>
    </row>
    <row r="42" spans="1:27" x14ac:dyDescent="0.2">
      <c r="A42" s="96" t="s">
        <v>246</v>
      </c>
      <c r="B42" s="44" t="s">
        <v>247</v>
      </c>
      <c r="C42" s="91">
        <v>50747732</v>
      </c>
      <c r="D42" s="139">
        <v>0</v>
      </c>
      <c r="E42" s="44" t="s">
        <v>99</v>
      </c>
      <c r="F42" s="122">
        <v>7.39</v>
      </c>
      <c r="G42" s="123">
        <v>2.44</v>
      </c>
      <c r="H42" s="44" t="s">
        <v>156</v>
      </c>
      <c r="I42" s="93" t="s">
        <v>129</v>
      </c>
      <c r="J42" s="44" t="s">
        <v>182</v>
      </c>
      <c r="K42" s="44" t="s">
        <v>248</v>
      </c>
      <c r="L42" s="93" t="s">
        <v>247</v>
      </c>
      <c r="M42" s="124">
        <v>2000</v>
      </c>
      <c r="N42" s="44" t="s">
        <v>133</v>
      </c>
      <c r="O42" s="92" t="s">
        <v>102</v>
      </c>
      <c r="P42" s="110">
        <v>110.35</v>
      </c>
      <c r="Q42" s="44" t="s">
        <v>134</v>
      </c>
      <c r="R42" s="92" t="s">
        <v>135</v>
      </c>
      <c r="S42" s="125">
        <v>2.5244292764335192E-3</v>
      </c>
      <c r="T42" s="44" t="s">
        <v>160</v>
      </c>
      <c r="U42" s="92" t="s">
        <v>161</v>
      </c>
      <c r="V42" s="44" t="s">
        <v>162</v>
      </c>
      <c r="W42" s="44" t="s">
        <v>163</v>
      </c>
      <c r="X42" s="92" t="s">
        <v>140</v>
      </c>
      <c r="Y42" s="96" t="s">
        <v>164</v>
      </c>
      <c r="Z42" s="44" t="s">
        <v>97</v>
      </c>
      <c r="AA42" s="91" t="s">
        <v>165</v>
      </c>
    </row>
    <row r="43" spans="1:27" x14ac:dyDescent="0.2">
      <c r="A43" s="96" t="s">
        <v>249</v>
      </c>
      <c r="B43" s="44" t="s">
        <v>247</v>
      </c>
      <c r="C43" s="91">
        <v>216991909</v>
      </c>
      <c r="D43" s="139">
        <v>0.01</v>
      </c>
      <c r="E43" s="44" t="s">
        <v>99</v>
      </c>
      <c r="F43" s="122">
        <v>6.11</v>
      </c>
      <c r="G43" s="123">
        <v>2.4500000000000002</v>
      </c>
      <c r="H43" s="44" t="s">
        <v>156</v>
      </c>
      <c r="I43" s="93" t="s">
        <v>129</v>
      </c>
      <c r="J43" s="44" t="s">
        <v>182</v>
      </c>
      <c r="K43" s="44" t="s">
        <v>248</v>
      </c>
      <c r="L43" s="93" t="s">
        <v>247</v>
      </c>
      <c r="M43" s="124">
        <v>10000</v>
      </c>
      <c r="N43" s="44" t="s">
        <v>133</v>
      </c>
      <c r="O43" s="92" t="s">
        <v>102</v>
      </c>
      <c r="P43" s="110">
        <v>113.19</v>
      </c>
      <c r="Q43" s="44" t="s">
        <v>134</v>
      </c>
      <c r="R43" s="92" t="s">
        <v>135</v>
      </c>
      <c r="S43" s="125">
        <v>1.0794191311422509E-2</v>
      </c>
      <c r="T43" s="44" t="s">
        <v>160</v>
      </c>
      <c r="U43" s="92" t="s">
        <v>161</v>
      </c>
      <c r="V43" s="44" t="s">
        <v>162</v>
      </c>
      <c r="W43" s="44" t="s">
        <v>163</v>
      </c>
      <c r="X43" s="92" t="s">
        <v>140</v>
      </c>
      <c r="Y43" s="96" t="s">
        <v>164</v>
      </c>
      <c r="Z43" s="44" t="s">
        <v>97</v>
      </c>
      <c r="AA43" s="91" t="s">
        <v>165</v>
      </c>
    </row>
    <row r="44" spans="1:27" x14ac:dyDescent="0.2">
      <c r="A44" s="97" t="s">
        <v>250</v>
      </c>
      <c r="B44" s="41" t="s">
        <v>247</v>
      </c>
      <c r="C44" s="94">
        <v>170552305</v>
      </c>
      <c r="D44" s="140">
        <v>0.01</v>
      </c>
      <c r="E44" s="41" t="s">
        <v>99</v>
      </c>
      <c r="F44" s="126">
        <v>9.18</v>
      </c>
      <c r="G44" s="127">
        <v>2.7</v>
      </c>
      <c r="H44" s="41" t="s">
        <v>156</v>
      </c>
      <c r="I44" s="95" t="s">
        <v>129</v>
      </c>
      <c r="J44" s="41" t="s">
        <v>182</v>
      </c>
      <c r="K44" s="41" t="s">
        <v>248</v>
      </c>
      <c r="L44" s="95" t="s">
        <v>247</v>
      </c>
      <c r="M44" s="128">
        <v>6500</v>
      </c>
      <c r="N44" s="41" t="s">
        <v>133</v>
      </c>
      <c r="O44" s="42" t="s">
        <v>102</v>
      </c>
      <c r="P44" s="52">
        <v>110.02</v>
      </c>
      <c r="Q44" s="41" t="s">
        <v>134</v>
      </c>
      <c r="R44" s="42" t="s">
        <v>135</v>
      </c>
      <c r="S44" s="129">
        <v>8.4840684487184348E-3</v>
      </c>
      <c r="T44" s="41" t="s">
        <v>160</v>
      </c>
      <c r="U44" s="42" t="s">
        <v>161</v>
      </c>
      <c r="V44" s="41" t="s">
        <v>162</v>
      </c>
      <c r="W44" s="41" t="s">
        <v>163</v>
      </c>
      <c r="X44" s="42" t="s">
        <v>140</v>
      </c>
      <c r="Y44" s="97" t="s">
        <v>164</v>
      </c>
      <c r="Z44" s="41" t="s">
        <v>97</v>
      </c>
      <c r="AA44" s="94" t="s">
        <v>165</v>
      </c>
    </row>
    <row r="45" spans="1:27" x14ac:dyDescent="0.2">
      <c r="A45" s="96" t="s">
        <v>251</v>
      </c>
      <c r="B45" s="44" t="s">
        <v>252</v>
      </c>
      <c r="C45" s="91">
        <v>13420358</v>
      </c>
      <c r="D45" s="139">
        <v>0</v>
      </c>
      <c r="E45" s="44" t="s">
        <v>99</v>
      </c>
      <c r="F45" s="122">
        <v>0.49</v>
      </c>
      <c r="G45" s="123">
        <v>2.27</v>
      </c>
      <c r="H45" s="44" t="s">
        <v>145</v>
      </c>
      <c r="I45" s="93" t="s">
        <v>129</v>
      </c>
      <c r="J45" s="44" t="s">
        <v>182</v>
      </c>
      <c r="K45" s="44" t="s">
        <v>253</v>
      </c>
      <c r="L45" s="93" t="s">
        <v>254</v>
      </c>
      <c r="M45" s="124">
        <v>500</v>
      </c>
      <c r="N45" s="44" t="s">
        <v>133</v>
      </c>
      <c r="O45" s="92" t="s">
        <v>102</v>
      </c>
      <c r="P45" s="110">
        <v>100.37</v>
      </c>
      <c r="Q45" s="44" t="s">
        <v>134</v>
      </c>
      <c r="R45" s="92" t="s">
        <v>135</v>
      </c>
      <c r="S45" s="125">
        <v>6.6759130507386606E-4</v>
      </c>
      <c r="T45" s="44" t="s">
        <v>136</v>
      </c>
      <c r="U45" s="92" t="s">
        <v>137</v>
      </c>
      <c r="V45" s="44" t="s">
        <v>138</v>
      </c>
      <c r="W45" s="44" t="s">
        <v>139</v>
      </c>
      <c r="X45" s="92" t="s">
        <v>140</v>
      </c>
      <c r="Y45" s="96" t="s">
        <v>141</v>
      </c>
      <c r="Z45" s="44" t="s">
        <v>97</v>
      </c>
      <c r="AA45" s="91" t="s">
        <v>142</v>
      </c>
    </row>
    <row r="46" spans="1:27" x14ac:dyDescent="0.2">
      <c r="A46" s="96" t="s">
        <v>255</v>
      </c>
      <c r="B46" s="44" t="s">
        <v>252</v>
      </c>
      <c r="C46" s="91">
        <v>221165047</v>
      </c>
      <c r="D46" s="139">
        <v>0.01</v>
      </c>
      <c r="E46" s="44" t="s">
        <v>99</v>
      </c>
      <c r="F46" s="122">
        <v>3.31</v>
      </c>
      <c r="G46" s="123">
        <v>1.99</v>
      </c>
      <c r="H46" s="44" t="s">
        <v>145</v>
      </c>
      <c r="I46" s="93" t="s">
        <v>129</v>
      </c>
      <c r="J46" s="44" t="s">
        <v>182</v>
      </c>
      <c r="K46" s="44" t="s">
        <v>253</v>
      </c>
      <c r="L46" s="93" t="s">
        <v>254</v>
      </c>
      <c r="M46" s="124">
        <v>8000</v>
      </c>
      <c r="N46" s="44" t="s">
        <v>133</v>
      </c>
      <c r="O46" s="92" t="s">
        <v>102</v>
      </c>
      <c r="P46" s="110">
        <v>103.38</v>
      </c>
      <c r="Q46" s="44" t="s">
        <v>134</v>
      </c>
      <c r="R46" s="92" t="s">
        <v>135</v>
      </c>
      <c r="S46" s="125">
        <v>1.1001782691896365E-2</v>
      </c>
      <c r="T46" s="44" t="s">
        <v>136</v>
      </c>
      <c r="U46" s="92" t="s">
        <v>137</v>
      </c>
      <c r="V46" s="44" t="s">
        <v>138</v>
      </c>
      <c r="W46" s="44" t="s">
        <v>139</v>
      </c>
      <c r="X46" s="92" t="s">
        <v>140</v>
      </c>
      <c r="Y46" s="96" t="s">
        <v>141</v>
      </c>
      <c r="Z46" s="44" t="s">
        <v>97</v>
      </c>
      <c r="AA46" s="91" t="s">
        <v>142</v>
      </c>
    </row>
    <row r="47" spans="1:27" x14ac:dyDescent="0.2">
      <c r="A47" s="97" t="s">
        <v>256</v>
      </c>
      <c r="B47" s="41" t="s">
        <v>257</v>
      </c>
      <c r="C47" s="94">
        <v>1118897764</v>
      </c>
      <c r="D47" s="140">
        <v>0.06</v>
      </c>
      <c r="E47" s="41" t="s">
        <v>99</v>
      </c>
      <c r="F47" s="126">
        <v>2.4500000000000002</v>
      </c>
      <c r="G47" s="127">
        <v>2.2400000000000002</v>
      </c>
      <c r="H47" s="41" t="s">
        <v>209</v>
      </c>
      <c r="I47" s="95" t="s">
        <v>129</v>
      </c>
      <c r="J47" s="41" t="s">
        <v>258</v>
      </c>
      <c r="K47" s="41" t="s">
        <v>259</v>
      </c>
      <c r="L47" s="95" t="s">
        <v>260</v>
      </c>
      <c r="M47" s="128">
        <v>56000</v>
      </c>
      <c r="N47" s="41" t="s">
        <v>133</v>
      </c>
      <c r="O47" s="42" t="s">
        <v>102</v>
      </c>
      <c r="P47" s="52">
        <v>101.71</v>
      </c>
      <c r="Q47" s="41" t="s">
        <v>134</v>
      </c>
      <c r="R47" s="42" t="s">
        <v>135</v>
      </c>
      <c r="S47" s="129">
        <v>5.5659202125084184E-2</v>
      </c>
      <c r="T47" s="41" t="s">
        <v>136</v>
      </c>
      <c r="U47" s="42" t="s">
        <v>137</v>
      </c>
      <c r="V47" s="41" t="s">
        <v>138</v>
      </c>
      <c r="W47" s="41" t="s">
        <v>139</v>
      </c>
      <c r="X47" s="42" t="s">
        <v>140</v>
      </c>
      <c r="Y47" s="97" t="s">
        <v>141</v>
      </c>
      <c r="Z47" s="41" t="s">
        <v>97</v>
      </c>
      <c r="AA47" s="94" t="s">
        <v>142</v>
      </c>
    </row>
    <row r="48" spans="1:27" x14ac:dyDescent="0.2">
      <c r="A48" s="97" t="s">
        <v>261</v>
      </c>
      <c r="B48" s="41" t="s">
        <v>262</v>
      </c>
      <c r="C48" s="94">
        <v>187520430</v>
      </c>
      <c r="D48" s="140">
        <v>0.01</v>
      </c>
      <c r="E48" s="41" t="s">
        <v>100</v>
      </c>
      <c r="F48" s="126">
        <v>2.0699999999999998</v>
      </c>
      <c r="G48" s="127">
        <v>4.5199999999999996</v>
      </c>
      <c r="H48" s="41" t="s">
        <v>145</v>
      </c>
      <c r="I48" s="95" t="s">
        <v>129</v>
      </c>
      <c r="J48" s="41" t="s">
        <v>263</v>
      </c>
      <c r="K48" s="41" t="s">
        <v>264</v>
      </c>
      <c r="L48" s="95" t="s">
        <v>265</v>
      </c>
      <c r="M48" s="128">
        <v>180000000</v>
      </c>
      <c r="N48" s="41" t="s">
        <v>133</v>
      </c>
      <c r="O48" s="42" t="s">
        <v>102</v>
      </c>
      <c r="P48" s="52">
        <v>102.47</v>
      </c>
      <c r="Q48" s="41" t="s">
        <v>134</v>
      </c>
      <c r="R48" s="42" t="s">
        <v>135</v>
      </c>
      <c r="S48" s="129">
        <v>9.3281422590747974E-3</v>
      </c>
      <c r="T48" s="41" t="s">
        <v>136</v>
      </c>
      <c r="U48" s="42" t="s">
        <v>177</v>
      </c>
      <c r="V48" s="41" t="s">
        <v>138</v>
      </c>
      <c r="W48" s="41" t="s">
        <v>178</v>
      </c>
      <c r="X48" s="42" t="s">
        <v>179</v>
      </c>
      <c r="Y48" s="97" t="s">
        <v>141</v>
      </c>
      <c r="Z48" s="41" t="s">
        <v>97</v>
      </c>
      <c r="AA48" s="94" t="s">
        <v>142</v>
      </c>
    </row>
    <row r="49" spans="1:27" x14ac:dyDescent="0.2">
      <c r="A49" s="96" t="s">
        <v>266</v>
      </c>
      <c r="B49" s="44" t="s">
        <v>267</v>
      </c>
      <c r="C49" s="91">
        <v>17917845</v>
      </c>
      <c r="D49" s="139">
        <v>0</v>
      </c>
      <c r="E49" s="44" t="s">
        <v>99</v>
      </c>
      <c r="F49" s="122">
        <v>1.08</v>
      </c>
      <c r="G49" s="123">
        <v>2.11</v>
      </c>
      <c r="H49" s="44" t="s">
        <v>156</v>
      </c>
      <c r="I49" s="93" t="s">
        <v>129</v>
      </c>
      <c r="J49" s="44" t="s">
        <v>221</v>
      </c>
      <c r="K49" s="44" t="s">
        <v>268</v>
      </c>
      <c r="L49" s="93" t="s">
        <v>269</v>
      </c>
      <c r="M49" s="124">
        <v>1000</v>
      </c>
      <c r="N49" s="44" t="s">
        <v>133</v>
      </c>
      <c r="O49" s="92" t="s">
        <v>102</v>
      </c>
      <c r="P49" s="110">
        <v>101.47</v>
      </c>
      <c r="Q49" s="44" t="s">
        <v>134</v>
      </c>
      <c r="R49" s="92" t="s">
        <v>135</v>
      </c>
      <c r="S49" s="125">
        <v>8.9131732012374368E-4</v>
      </c>
      <c r="T49" s="44" t="s">
        <v>136</v>
      </c>
      <c r="U49" s="92" t="s">
        <v>137</v>
      </c>
      <c r="V49" s="44" t="s">
        <v>138</v>
      </c>
      <c r="W49" s="44" t="s">
        <v>139</v>
      </c>
      <c r="X49" s="92" t="s">
        <v>140</v>
      </c>
      <c r="Y49" s="96" t="s">
        <v>141</v>
      </c>
      <c r="Z49" s="44" t="s">
        <v>97</v>
      </c>
      <c r="AA49" s="91" t="s">
        <v>142</v>
      </c>
    </row>
    <row r="50" spans="1:27" x14ac:dyDescent="0.2">
      <c r="A50" s="96" t="s">
        <v>270</v>
      </c>
      <c r="B50" s="44" t="s">
        <v>271</v>
      </c>
      <c r="C50" s="91">
        <v>42197842</v>
      </c>
      <c r="D50" s="139">
        <v>0</v>
      </c>
      <c r="E50" s="44" t="s">
        <v>99</v>
      </c>
      <c r="F50" s="122">
        <v>4.25</v>
      </c>
      <c r="G50" s="123">
        <v>1.99</v>
      </c>
      <c r="H50" s="44" t="s">
        <v>156</v>
      </c>
      <c r="I50" s="93" t="s">
        <v>129</v>
      </c>
      <c r="J50" s="44" t="s">
        <v>157</v>
      </c>
      <c r="K50" s="44" t="s">
        <v>272</v>
      </c>
      <c r="L50" s="93" t="s">
        <v>273</v>
      </c>
      <c r="M50" s="124">
        <v>1500</v>
      </c>
      <c r="N50" s="44" t="s">
        <v>133</v>
      </c>
      <c r="O50" s="92" t="s">
        <v>102</v>
      </c>
      <c r="P50" s="110">
        <v>105.35</v>
      </c>
      <c r="Q50" s="44" t="s">
        <v>134</v>
      </c>
      <c r="R50" s="92" t="s">
        <v>135</v>
      </c>
      <c r="S50" s="125">
        <v>2.0991178038678848E-3</v>
      </c>
      <c r="T50" s="44" t="s">
        <v>136</v>
      </c>
      <c r="U50" s="92" t="s">
        <v>137</v>
      </c>
      <c r="V50" s="44" t="s">
        <v>138</v>
      </c>
      <c r="W50" s="44" t="s">
        <v>139</v>
      </c>
      <c r="X50" s="92" t="s">
        <v>140</v>
      </c>
      <c r="Y50" s="96" t="s">
        <v>141</v>
      </c>
      <c r="Z50" s="44" t="s">
        <v>97</v>
      </c>
      <c r="AA50" s="91" t="s">
        <v>142</v>
      </c>
    </row>
    <row r="51" spans="1:27" x14ac:dyDescent="0.2">
      <c r="A51" s="97" t="s">
        <v>274</v>
      </c>
      <c r="B51" s="41" t="s">
        <v>275</v>
      </c>
      <c r="C51" s="94">
        <v>13742197</v>
      </c>
      <c r="D51" s="140">
        <v>0</v>
      </c>
      <c r="E51" s="41" t="s">
        <v>99</v>
      </c>
      <c r="F51" s="126">
        <v>7.69</v>
      </c>
      <c r="G51" s="127">
        <v>2.46</v>
      </c>
      <c r="H51" s="41" t="s">
        <v>156</v>
      </c>
      <c r="I51" s="95" t="s">
        <v>129</v>
      </c>
      <c r="J51" s="41" t="s">
        <v>276</v>
      </c>
      <c r="K51" s="41" t="s">
        <v>277</v>
      </c>
      <c r="L51" s="95" t="s">
        <v>275</v>
      </c>
      <c r="M51" s="128">
        <v>500</v>
      </c>
      <c r="N51" s="41" t="s">
        <v>133</v>
      </c>
      <c r="O51" s="42" t="s">
        <v>102</v>
      </c>
      <c r="P51" s="52">
        <v>103.33</v>
      </c>
      <c r="Q51" s="41" t="s">
        <v>134</v>
      </c>
      <c r="R51" s="42" t="s">
        <v>135</v>
      </c>
      <c r="S51" s="129">
        <v>6.8360108052349764E-4</v>
      </c>
      <c r="T51" s="41" t="s">
        <v>160</v>
      </c>
      <c r="U51" s="42" t="s">
        <v>161</v>
      </c>
      <c r="V51" s="41" t="s">
        <v>162</v>
      </c>
      <c r="W51" s="41" t="s">
        <v>163</v>
      </c>
      <c r="X51" s="42" t="s">
        <v>140</v>
      </c>
      <c r="Y51" s="97" t="s">
        <v>164</v>
      </c>
      <c r="Z51" s="41" t="s">
        <v>97</v>
      </c>
      <c r="AA51" s="94" t="s">
        <v>165</v>
      </c>
    </row>
    <row r="52" spans="1:27" x14ac:dyDescent="0.2">
      <c r="A52" s="87" t="s">
        <v>278</v>
      </c>
      <c r="B52" s="87" t="s">
        <v>279</v>
      </c>
      <c r="C52" s="88">
        <v>1016466093</v>
      </c>
      <c r="D52" s="138">
        <v>0.05</v>
      </c>
      <c r="E52" s="87" t="s">
        <v>99</v>
      </c>
      <c r="F52" s="118">
        <v>1.93</v>
      </c>
      <c r="G52" s="119">
        <v>1.96</v>
      </c>
      <c r="H52" s="87" t="s">
        <v>128</v>
      </c>
      <c r="I52" s="90" t="s">
        <v>129</v>
      </c>
      <c r="J52" s="87" t="s">
        <v>276</v>
      </c>
      <c r="K52" s="87" t="s">
        <v>280</v>
      </c>
      <c r="L52" s="90" t="s">
        <v>279</v>
      </c>
      <c r="M52" s="120">
        <v>36000</v>
      </c>
      <c r="N52" s="87" t="s">
        <v>133</v>
      </c>
      <c r="O52" s="89" t="s">
        <v>102</v>
      </c>
      <c r="P52" s="130">
        <v>104.94</v>
      </c>
      <c r="Q52" s="87" t="s">
        <v>134</v>
      </c>
      <c r="R52" s="89" t="s">
        <v>135</v>
      </c>
      <c r="S52" s="121">
        <v>5.0563772262200726E-2</v>
      </c>
      <c r="T52" s="87" t="s">
        <v>136</v>
      </c>
      <c r="U52" s="89" t="s">
        <v>137</v>
      </c>
      <c r="V52" s="87" t="s">
        <v>138</v>
      </c>
      <c r="W52" s="87" t="s">
        <v>139</v>
      </c>
      <c r="X52" s="89" t="s">
        <v>140</v>
      </c>
      <c r="Y52" s="87" t="s">
        <v>141</v>
      </c>
      <c r="Z52" s="87" t="s">
        <v>97</v>
      </c>
      <c r="AA52" s="88" t="s">
        <v>142</v>
      </c>
    </row>
    <row r="53" spans="1:27" x14ac:dyDescent="0.2">
      <c r="A53" s="44" t="s">
        <v>281</v>
      </c>
      <c r="B53" s="44" t="s">
        <v>279</v>
      </c>
      <c r="C53" s="91">
        <v>160574218</v>
      </c>
      <c r="D53" s="139">
        <v>0.01</v>
      </c>
      <c r="E53" s="44" t="s">
        <v>99</v>
      </c>
      <c r="F53" s="122">
        <v>0.74</v>
      </c>
      <c r="G53" s="123">
        <v>2.39</v>
      </c>
      <c r="H53" s="44" t="s">
        <v>128</v>
      </c>
      <c r="I53" s="93" t="s">
        <v>129</v>
      </c>
      <c r="J53" s="44" t="s">
        <v>276</v>
      </c>
      <c r="K53" s="44" t="s">
        <v>280</v>
      </c>
      <c r="L53" s="93" t="s">
        <v>279</v>
      </c>
      <c r="M53" s="124">
        <v>6000</v>
      </c>
      <c r="N53" s="44" t="s">
        <v>133</v>
      </c>
      <c r="O53" s="92" t="s">
        <v>102</v>
      </c>
      <c r="P53" s="110">
        <v>100.73</v>
      </c>
      <c r="Q53" s="44" t="s">
        <v>134</v>
      </c>
      <c r="R53" s="92" t="s">
        <v>135</v>
      </c>
      <c r="S53" s="125">
        <v>7.9877117850235789E-3</v>
      </c>
      <c r="T53" s="44" t="s">
        <v>136</v>
      </c>
      <c r="U53" s="92" t="s">
        <v>137</v>
      </c>
      <c r="V53" s="44" t="s">
        <v>138</v>
      </c>
      <c r="W53" s="44" t="s">
        <v>139</v>
      </c>
      <c r="X53" s="92" t="s">
        <v>140</v>
      </c>
      <c r="Y53" s="44" t="s">
        <v>141</v>
      </c>
      <c r="Z53" s="44" t="s">
        <v>97</v>
      </c>
      <c r="AA53" s="91" t="s">
        <v>142</v>
      </c>
    </row>
    <row r="54" spans="1:27" x14ac:dyDescent="0.2">
      <c r="A54" s="41" t="s">
        <v>282</v>
      </c>
      <c r="B54" s="41" t="s">
        <v>283</v>
      </c>
      <c r="C54" s="94">
        <v>30897795</v>
      </c>
      <c r="D54" s="140">
        <v>0</v>
      </c>
      <c r="E54" s="41" t="s">
        <v>99</v>
      </c>
      <c r="F54" s="126">
        <v>6.66</v>
      </c>
      <c r="G54" s="127">
        <v>2.25</v>
      </c>
      <c r="H54" s="41" t="s">
        <v>145</v>
      </c>
      <c r="I54" s="95" t="s">
        <v>129</v>
      </c>
      <c r="J54" s="41" t="s">
        <v>276</v>
      </c>
      <c r="K54" s="41" t="s">
        <v>284</v>
      </c>
      <c r="L54" s="95" t="s">
        <v>285</v>
      </c>
      <c r="M54" s="128">
        <v>1000</v>
      </c>
      <c r="N54" s="41" t="s">
        <v>133</v>
      </c>
      <c r="O54" s="42" t="s">
        <v>102</v>
      </c>
      <c r="P54" s="52">
        <v>117.03</v>
      </c>
      <c r="Q54" s="41" t="s">
        <v>134</v>
      </c>
      <c r="R54" s="42" t="s">
        <v>135</v>
      </c>
      <c r="S54" s="129">
        <v>1.5370006737491482E-3</v>
      </c>
      <c r="T54" s="41" t="s">
        <v>160</v>
      </c>
      <c r="U54" s="42" t="s">
        <v>161</v>
      </c>
      <c r="V54" s="41" t="s">
        <v>162</v>
      </c>
      <c r="W54" s="41" t="s">
        <v>163</v>
      </c>
      <c r="X54" s="42" t="s">
        <v>140</v>
      </c>
      <c r="Y54" s="41" t="s">
        <v>164</v>
      </c>
      <c r="Z54" s="41" t="s">
        <v>97</v>
      </c>
      <c r="AA54" s="94" t="s">
        <v>165</v>
      </c>
    </row>
    <row r="55" spans="1:27" x14ac:dyDescent="0.2">
      <c r="A55" s="44" t="s">
        <v>286</v>
      </c>
      <c r="B55" s="44" t="s">
        <v>287</v>
      </c>
      <c r="C55" s="91">
        <v>500688251</v>
      </c>
      <c r="D55" s="139">
        <v>0.02</v>
      </c>
      <c r="E55" s="44" t="s">
        <v>99</v>
      </c>
      <c r="F55" s="122">
        <v>3.41</v>
      </c>
      <c r="G55" s="123">
        <v>2.3199999999999998</v>
      </c>
      <c r="H55" s="44" t="s">
        <v>145</v>
      </c>
      <c r="I55" s="93" t="s">
        <v>129</v>
      </c>
      <c r="J55" s="44" t="s">
        <v>130</v>
      </c>
      <c r="K55" s="44" t="s">
        <v>288</v>
      </c>
      <c r="L55" s="93" t="s">
        <v>289</v>
      </c>
      <c r="M55" s="124">
        <v>26000</v>
      </c>
      <c r="N55" s="44" t="s">
        <v>133</v>
      </c>
      <c r="O55" s="92" t="s">
        <v>102</v>
      </c>
      <c r="P55" s="110">
        <v>103.96</v>
      </c>
      <c r="Q55" s="44" t="s">
        <v>134</v>
      </c>
      <c r="R55" s="92" t="s">
        <v>135</v>
      </c>
      <c r="S55" s="125">
        <v>2.490657275463452E-2</v>
      </c>
      <c r="T55" s="44" t="s">
        <v>136</v>
      </c>
      <c r="U55" s="92" t="s">
        <v>137</v>
      </c>
      <c r="V55" s="44" t="s">
        <v>138</v>
      </c>
      <c r="W55" s="44" t="s">
        <v>139</v>
      </c>
      <c r="X55" s="92" t="s">
        <v>140</v>
      </c>
      <c r="Y55" s="44" t="s">
        <v>141</v>
      </c>
      <c r="Z55" s="44" t="s">
        <v>97</v>
      </c>
      <c r="AA55" s="91" t="s">
        <v>142</v>
      </c>
    </row>
    <row r="56" spans="1:27" x14ac:dyDescent="0.2">
      <c r="A56" s="87" t="s">
        <v>290</v>
      </c>
      <c r="B56" s="87" t="s">
        <v>291</v>
      </c>
      <c r="C56" s="88">
        <v>108250656</v>
      </c>
      <c r="D56" s="138">
        <v>0.01</v>
      </c>
      <c r="E56" s="87" t="s">
        <v>99</v>
      </c>
      <c r="F56" s="118">
        <v>0.56999999999999995</v>
      </c>
      <c r="G56" s="119">
        <v>2.13</v>
      </c>
      <c r="H56" s="87" t="s">
        <v>209</v>
      </c>
      <c r="I56" s="90" t="s">
        <v>129</v>
      </c>
      <c r="J56" s="87" t="s">
        <v>182</v>
      </c>
      <c r="K56" s="87" t="s">
        <v>292</v>
      </c>
      <c r="L56" s="90" t="s">
        <v>293</v>
      </c>
      <c r="M56" s="120">
        <v>4000</v>
      </c>
      <c r="N56" s="87" t="s">
        <v>133</v>
      </c>
      <c r="O56" s="89" t="s">
        <v>102</v>
      </c>
      <c r="P56" s="180">
        <v>101.05</v>
      </c>
      <c r="Q56" s="87" t="s">
        <v>134</v>
      </c>
      <c r="R56" s="89" t="s">
        <v>135</v>
      </c>
      <c r="S56" s="121">
        <v>5.3848933623188086E-3</v>
      </c>
      <c r="T56" s="87" t="s">
        <v>136</v>
      </c>
      <c r="U56" s="89" t="s">
        <v>137</v>
      </c>
      <c r="V56" s="87" t="s">
        <v>138</v>
      </c>
      <c r="W56" s="87" t="s">
        <v>139</v>
      </c>
      <c r="X56" s="89" t="s">
        <v>140</v>
      </c>
      <c r="Y56" s="87" t="s">
        <v>141</v>
      </c>
      <c r="Z56" s="87" t="s">
        <v>97</v>
      </c>
      <c r="AA56" s="88" t="s">
        <v>142</v>
      </c>
    </row>
    <row r="57" spans="1:27" x14ac:dyDescent="0.2">
      <c r="A57" s="44" t="s">
        <v>294</v>
      </c>
      <c r="B57" s="44" t="s">
        <v>291</v>
      </c>
      <c r="C57" s="91">
        <v>82847274</v>
      </c>
      <c r="D57" s="139">
        <v>0</v>
      </c>
      <c r="E57" s="44" t="s">
        <v>99</v>
      </c>
      <c r="F57" s="122">
        <v>1.92</v>
      </c>
      <c r="G57" s="123">
        <v>1.9</v>
      </c>
      <c r="H57" s="44" t="s">
        <v>209</v>
      </c>
      <c r="I57" s="93" t="s">
        <v>129</v>
      </c>
      <c r="J57" s="44" t="s">
        <v>182</v>
      </c>
      <c r="K57" s="44" t="s">
        <v>292</v>
      </c>
      <c r="L57" s="93" t="s">
        <v>293</v>
      </c>
      <c r="M57" s="124">
        <v>3000</v>
      </c>
      <c r="N57" s="44" t="s">
        <v>133</v>
      </c>
      <c r="O57" s="92" t="s">
        <v>102</v>
      </c>
      <c r="P57" s="110">
        <v>103.03</v>
      </c>
      <c r="Q57" s="44" t="s">
        <v>134</v>
      </c>
      <c r="R57" s="92" t="s">
        <v>135</v>
      </c>
      <c r="S57" s="125">
        <v>4.1212104603671655E-3</v>
      </c>
      <c r="T57" s="44" t="s">
        <v>136</v>
      </c>
      <c r="U57" s="92" t="s">
        <v>137</v>
      </c>
      <c r="V57" s="44" t="s">
        <v>138</v>
      </c>
      <c r="W57" s="44" t="s">
        <v>139</v>
      </c>
      <c r="X57" s="92" t="s">
        <v>140</v>
      </c>
      <c r="Y57" s="44" t="s">
        <v>141</v>
      </c>
      <c r="Z57" s="44" t="s">
        <v>97</v>
      </c>
      <c r="AA57" s="91" t="s">
        <v>142</v>
      </c>
    </row>
    <row r="58" spans="1:27" x14ac:dyDescent="0.2">
      <c r="A58" s="41" t="s">
        <v>295</v>
      </c>
      <c r="B58" s="41" t="s">
        <v>291</v>
      </c>
      <c r="C58" s="94">
        <v>107213401</v>
      </c>
      <c r="D58" s="140">
        <v>0.01</v>
      </c>
      <c r="E58" s="41" t="s">
        <v>99</v>
      </c>
      <c r="F58" s="126">
        <v>0</v>
      </c>
      <c r="G58" s="127">
        <v>3.5</v>
      </c>
      <c r="H58" s="41" t="s">
        <v>209</v>
      </c>
      <c r="I58" s="95" t="s">
        <v>129</v>
      </c>
      <c r="J58" s="41" t="s">
        <v>182</v>
      </c>
      <c r="K58" s="41" t="s">
        <v>292</v>
      </c>
      <c r="L58" s="95" t="s">
        <v>293</v>
      </c>
      <c r="M58" s="128">
        <v>4000</v>
      </c>
      <c r="N58" s="41" t="s">
        <v>133</v>
      </c>
      <c r="O58" s="42" t="s">
        <v>102</v>
      </c>
      <c r="P58" s="52">
        <v>100</v>
      </c>
      <c r="Q58" s="41" t="s">
        <v>134</v>
      </c>
      <c r="R58" s="42" t="s">
        <v>135</v>
      </c>
      <c r="S58" s="129">
        <v>5.3332954526993789E-3</v>
      </c>
      <c r="T58" s="41" t="s">
        <v>136</v>
      </c>
      <c r="U58" s="42" t="s">
        <v>137</v>
      </c>
      <c r="V58" s="41" t="s">
        <v>138</v>
      </c>
      <c r="W58" s="41" t="s">
        <v>139</v>
      </c>
      <c r="X58" s="42" t="s">
        <v>140</v>
      </c>
      <c r="Y58" s="41" t="s">
        <v>141</v>
      </c>
      <c r="Z58" s="41" t="s">
        <v>97</v>
      </c>
      <c r="AA58" s="94" t="s">
        <v>142</v>
      </c>
    </row>
    <row r="59" spans="1:27" x14ac:dyDescent="0.2">
      <c r="A59" s="44" t="s">
        <v>296</v>
      </c>
      <c r="B59" s="44" t="s">
        <v>291</v>
      </c>
      <c r="C59" s="91">
        <v>1002997132</v>
      </c>
      <c r="D59" s="139">
        <v>0.05</v>
      </c>
      <c r="E59" s="44" t="s">
        <v>99</v>
      </c>
      <c r="F59" s="122">
        <v>1.92</v>
      </c>
      <c r="G59" s="123">
        <v>1.92</v>
      </c>
      <c r="H59" s="44" t="s">
        <v>209</v>
      </c>
      <c r="I59" s="93" t="s">
        <v>129</v>
      </c>
      <c r="J59" s="44" t="s">
        <v>182</v>
      </c>
      <c r="K59" s="44" t="s">
        <v>292</v>
      </c>
      <c r="L59" s="93" t="s">
        <v>293</v>
      </c>
      <c r="M59" s="124">
        <v>36500</v>
      </c>
      <c r="N59" s="44" t="s">
        <v>133</v>
      </c>
      <c r="O59" s="92" t="s">
        <v>102</v>
      </c>
      <c r="P59" s="110">
        <v>102.62</v>
      </c>
      <c r="Q59" s="44" t="s">
        <v>134</v>
      </c>
      <c r="R59" s="92" t="s">
        <v>135</v>
      </c>
      <c r="S59" s="125">
        <v>4.9893763216840019E-2</v>
      </c>
      <c r="T59" s="44" t="s">
        <v>136</v>
      </c>
      <c r="U59" s="92" t="s">
        <v>137</v>
      </c>
      <c r="V59" s="44" t="s">
        <v>138</v>
      </c>
      <c r="W59" s="44" t="s">
        <v>139</v>
      </c>
      <c r="X59" s="92" t="s">
        <v>140</v>
      </c>
      <c r="Y59" s="44" t="s">
        <v>141</v>
      </c>
      <c r="Z59" s="44" t="s">
        <v>97</v>
      </c>
      <c r="AA59" s="91" t="s">
        <v>142</v>
      </c>
    </row>
    <row r="60" spans="1:27" x14ac:dyDescent="0.2">
      <c r="A60" s="41" t="s">
        <v>297</v>
      </c>
      <c r="B60" s="41" t="s">
        <v>291</v>
      </c>
      <c r="C60" s="94">
        <v>14266600</v>
      </c>
      <c r="D60" s="140">
        <v>0</v>
      </c>
      <c r="E60" s="41" t="s">
        <v>99</v>
      </c>
      <c r="F60" s="126">
        <v>6.8</v>
      </c>
      <c r="G60" s="127">
        <v>1.98</v>
      </c>
      <c r="H60" s="41" t="s">
        <v>209</v>
      </c>
      <c r="I60" s="95" t="s">
        <v>129</v>
      </c>
      <c r="J60" s="41" t="s">
        <v>182</v>
      </c>
      <c r="K60" s="41" t="s">
        <v>292</v>
      </c>
      <c r="L60" s="95" t="s">
        <v>293</v>
      </c>
      <c r="M60" s="128">
        <v>500</v>
      </c>
      <c r="N60" s="41" t="s">
        <v>133</v>
      </c>
      <c r="O60" s="42" t="s">
        <v>102</v>
      </c>
      <c r="P60" s="52">
        <v>106.97</v>
      </c>
      <c r="Q60" s="41" t="s">
        <v>134</v>
      </c>
      <c r="R60" s="42" t="s">
        <v>135</v>
      </c>
      <c r="S60" s="129">
        <v>7.0968733568559171E-4</v>
      </c>
      <c r="T60" s="41" t="s">
        <v>160</v>
      </c>
      <c r="U60" s="42" t="s">
        <v>161</v>
      </c>
      <c r="V60" s="41" t="s">
        <v>162</v>
      </c>
      <c r="W60" s="41" t="s">
        <v>163</v>
      </c>
      <c r="X60" s="42" t="s">
        <v>140</v>
      </c>
      <c r="Y60" s="41" t="s">
        <v>164</v>
      </c>
      <c r="Z60" s="41" t="s">
        <v>97</v>
      </c>
      <c r="AA60" s="94" t="s">
        <v>165</v>
      </c>
    </row>
    <row r="61" spans="1:27" x14ac:dyDescent="0.2">
      <c r="A61" s="44" t="s">
        <v>298</v>
      </c>
      <c r="B61" s="44" t="s">
        <v>291</v>
      </c>
      <c r="C61" s="91">
        <v>14117780</v>
      </c>
      <c r="D61" s="139">
        <v>0</v>
      </c>
      <c r="E61" s="44" t="s">
        <v>99</v>
      </c>
      <c r="F61" s="122">
        <v>7.28</v>
      </c>
      <c r="G61" s="123">
        <v>2.16</v>
      </c>
      <c r="H61" s="44" t="s">
        <v>209</v>
      </c>
      <c r="I61" s="93" t="s">
        <v>129</v>
      </c>
      <c r="J61" s="44" t="s">
        <v>182</v>
      </c>
      <c r="K61" s="44" t="s">
        <v>292</v>
      </c>
      <c r="L61" s="93" t="s">
        <v>293</v>
      </c>
      <c r="M61" s="124">
        <v>500</v>
      </c>
      <c r="N61" s="44" t="s">
        <v>133</v>
      </c>
      <c r="O61" s="92" t="s">
        <v>102</v>
      </c>
      <c r="P61" s="110">
        <v>106.12</v>
      </c>
      <c r="Q61" s="44" t="s">
        <v>134</v>
      </c>
      <c r="R61" s="92" t="s">
        <v>135</v>
      </c>
      <c r="S61" s="125">
        <v>7.0228433361805426E-4</v>
      </c>
      <c r="T61" s="44" t="s">
        <v>160</v>
      </c>
      <c r="U61" s="92" t="s">
        <v>161</v>
      </c>
      <c r="V61" s="44" t="s">
        <v>162</v>
      </c>
      <c r="W61" s="44" t="s">
        <v>163</v>
      </c>
      <c r="X61" s="92" t="s">
        <v>140</v>
      </c>
      <c r="Y61" s="44" t="s">
        <v>164</v>
      </c>
      <c r="Z61" s="44" t="s">
        <v>97</v>
      </c>
      <c r="AA61" s="91" t="s">
        <v>165</v>
      </c>
    </row>
    <row r="62" spans="1:27" x14ac:dyDescent="0.2">
      <c r="A62" s="41" t="s">
        <v>299</v>
      </c>
      <c r="B62" s="41" t="s">
        <v>300</v>
      </c>
      <c r="C62" s="94">
        <v>31642575</v>
      </c>
      <c r="D62" s="140">
        <v>0</v>
      </c>
      <c r="E62" s="41" t="s">
        <v>99</v>
      </c>
      <c r="F62" s="126">
        <v>6.62</v>
      </c>
      <c r="G62" s="127">
        <v>2.29</v>
      </c>
      <c r="H62" s="41" t="s">
        <v>145</v>
      </c>
      <c r="I62" s="95" t="s">
        <v>129</v>
      </c>
      <c r="J62" s="41" t="s">
        <v>130</v>
      </c>
      <c r="K62" s="41" t="s">
        <v>301</v>
      </c>
      <c r="L62" s="95" t="s">
        <v>300</v>
      </c>
      <c r="M62" s="128">
        <v>1000</v>
      </c>
      <c r="N62" s="41" t="s">
        <v>133</v>
      </c>
      <c r="O62" s="42" t="s">
        <v>102</v>
      </c>
      <c r="P62" s="52">
        <v>117.65</v>
      </c>
      <c r="Q62" s="41" t="s">
        <v>134</v>
      </c>
      <c r="R62" s="42" t="s">
        <v>135</v>
      </c>
      <c r="S62" s="129">
        <v>1.5740495104637064E-3</v>
      </c>
      <c r="T62" s="41" t="s">
        <v>160</v>
      </c>
      <c r="U62" s="42" t="s">
        <v>161</v>
      </c>
      <c r="V62" s="41" t="s">
        <v>162</v>
      </c>
      <c r="W62" s="41" t="s">
        <v>163</v>
      </c>
      <c r="X62" s="42" t="s">
        <v>140</v>
      </c>
      <c r="Y62" s="41" t="s">
        <v>164</v>
      </c>
      <c r="Z62" s="41" t="s">
        <v>97</v>
      </c>
      <c r="AA62" s="94" t="s">
        <v>165</v>
      </c>
    </row>
    <row r="63" spans="1:27" x14ac:dyDescent="0.2">
      <c r="A63" s="44" t="s">
        <v>302</v>
      </c>
      <c r="B63" s="44" t="s">
        <v>303</v>
      </c>
      <c r="C63" s="91">
        <v>230461449</v>
      </c>
      <c r="D63" s="139">
        <v>0.01</v>
      </c>
      <c r="E63" s="44" t="s">
        <v>99</v>
      </c>
      <c r="F63" s="122">
        <v>1.19</v>
      </c>
      <c r="G63" s="123">
        <v>2.36</v>
      </c>
      <c r="H63" s="44" t="s">
        <v>145</v>
      </c>
      <c r="I63" s="93" t="s">
        <v>129</v>
      </c>
      <c r="J63" s="44" t="s">
        <v>182</v>
      </c>
      <c r="K63" s="44" t="s">
        <v>304</v>
      </c>
      <c r="L63" s="93" t="s">
        <v>305</v>
      </c>
      <c r="M63" s="124">
        <v>8500</v>
      </c>
      <c r="N63" s="44" t="s">
        <v>133</v>
      </c>
      <c r="O63" s="92" t="s">
        <v>102</v>
      </c>
      <c r="P63" s="110">
        <v>101.44</v>
      </c>
      <c r="Q63" s="44" t="s">
        <v>134</v>
      </c>
      <c r="R63" s="92" t="s">
        <v>135</v>
      </c>
      <c r="S63" s="125">
        <v>1.1464229158948234E-2</v>
      </c>
      <c r="T63" s="44" t="s">
        <v>136</v>
      </c>
      <c r="U63" s="92" t="s">
        <v>137</v>
      </c>
      <c r="V63" s="44" t="s">
        <v>138</v>
      </c>
      <c r="W63" s="44" t="s">
        <v>139</v>
      </c>
      <c r="X63" s="92" t="s">
        <v>140</v>
      </c>
      <c r="Y63" s="44" t="s">
        <v>141</v>
      </c>
      <c r="Z63" s="44" t="s">
        <v>97</v>
      </c>
      <c r="AA63" s="91" t="s">
        <v>142</v>
      </c>
    </row>
    <row r="64" spans="1:27" x14ac:dyDescent="0.2">
      <c r="A64" s="41" t="s">
        <v>306</v>
      </c>
      <c r="B64" s="41" t="s">
        <v>303</v>
      </c>
      <c r="C64" s="94">
        <v>412447324</v>
      </c>
      <c r="D64" s="140">
        <v>0.02</v>
      </c>
      <c r="E64" s="41" t="s">
        <v>100</v>
      </c>
      <c r="F64" s="126">
        <v>1.9</v>
      </c>
      <c r="G64" s="127">
        <v>4.8600000000000003</v>
      </c>
      <c r="H64" s="41" t="s">
        <v>145</v>
      </c>
      <c r="I64" s="95" t="s">
        <v>129</v>
      </c>
      <c r="J64" s="41" t="s">
        <v>182</v>
      </c>
      <c r="K64" s="41" t="s">
        <v>304</v>
      </c>
      <c r="L64" s="95" t="s">
        <v>305</v>
      </c>
      <c r="M64" s="128">
        <v>390000000</v>
      </c>
      <c r="N64" s="41" t="s">
        <v>133</v>
      </c>
      <c r="O64" s="42" t="s">
        <v>102</v>
      </c>
      <c r="P64" s="52">
        <v>102.78</v>
      </c>
      <c r="Q64" s="41" t="s">
        <v>134</v>
      </c>
      <c r="R64" s="42" t="s">
        <v>135</v>
      </c>
      <c r="S64" s="129">
        <v>2.0517056795607364E-2</v>
      </c>
      <c r="T64" s="41" t="s">
        <v>136</v>
      </c>
      <c r="U64" s="42" t="s">
        <v>177</v>
      </c>
      <c r="V64" s="41" t="s">
        <v>138</v>
      </c>
      <c r="W64" s="41" t="s">
        <v>178</v>
      </c>
      <c r="X64" s="42" t="s">
        <v>179</v>
      </c>
      <c r="Y64" s="41" t="s">
        <v>141</v>
      </c>
      <c r="Z64" s="41" t="s">
        <v>97</v>
      </c>
      <c r="AA64" s="94" t="s">
        <v>142</v>
      </c>
    </row>
    <row r="65" spans="1:27" x14ac:dyDescent="0.2">
      <c r="A65" s="44" t="s">
        <v>307</v>
      </c>
      <c r="B65" s="44" t="s">
        <v>303</v>
      </c>
      <c r="C65" s="91">
        <v>300390680</v>
      </c>
      <c r="D65" s="139">
        <v>0.01</v>
      </c>
      <c r="E65" s="44" t="s">
        <v>100</v>
      </c>
      <c r="F65" s="122">
        <v>2.36</v>
      </c>
      <c r="G65" s="123">
        <v>4.9800000000000004</v>
      </c>
      <c r="H65" s="44" t="s">
        <v>145</v>
      </c>
      <c r="I65" s="93" t="s">
        <v>129</v>
      </c>
      <c r="J65" s="44" t="s">
        <v>182</v>
      </c>
      <c r="K65" s="44" t="s">
        <v>304</v>
      </c>
      <c r="L65" s="93" t="s">
        <v>305</v>
      </c>
      <c r="M65" s="124">
        <v>300000000</v>
      </c>
      <c r="N65" s="44" t="s">
        <v>133</v>
      </c>
      <c r="O65" s="92" t="s">
        <v>102</v>
      </c>
      <c r="P65" s="110">
        <v>100.05</v>
      </c>
      <c r="Q65" s="44" t="s">
        <v>134</v>
      </c>
      <c r="R65" s="92" t="s">
        <v>135</v>
      </c>
      <c r="S65" s="125">
        <v>1.4942835809091386E-2</v>
      </c>
      <c r="T65" s="44" t="s">
        <v>136</v>
      </c>
      <c r="U65" s="92" t="s">
        <v>177</v>
      </c>
      <c r="V65" s="44" t="s">
        <v>138</v>
      </c>
      <c r="W65" s="44" t="s">
        <v>178</v>
      </c>
      <c r="X65" s="92" t="s">
        <v>179</v>
      </c>
      <c r="Y65" s="44" t="s">
        <v>141</v>
      </c>
      <c r="Z65" s="44" t="s">
        <v>97</v>
      </c>
      <c r="AA65" s="91" t="s">
        <v>142</v>
      </c>
    </row>
    <row r="66" spans="1:27" x14ac:dyDescent="0.2">
      <c r="A66" s="41" t="s">
        <v>308</v>
      </c>
      <c r="B66" s="41" t="s">
        <v>303</v>
      </c>
      <c r="C66" s="94">
        <v>111613267</v>
      </c>
      <c r="D66" s="140">
        <v>0.01</v>
      </c>
      <c r="E66" s="41" t="s">
        <v>100</v>
      </c>
      <c r="F66" s="126">
        <v>3</v>
      </c>
      <c r="G66" s="127">
        <v>5.24</v>
      </c>
      <c r="H66" s="41" t="s">
        <v>145</v>
      </c>
      <c r="I66" s="95" t="s">
        <v>129</v>
      </c>
      <c r="J66" s="41" t="s">
        <v>182</v>
      </c>
      <c r="K66" s="41" t="s">
        <v>304</v>
      </c>
      <c r="L66" s="95" t="s">
        <v>305</v>
      </c>
      <c r="M66" s="128">
        <v>110000000</v>
      </c>
      <c r="N66" s="41" t="s">
        <v>133</v>
      </c>
      <c r="O66" s="42" t="s">
        <v>102</v>
      </c>
      <c r="P66" s="52">
        <v>100.17</v>
      </c>
      <c r="Q66" s="41" t="s">
        <v>134</v>
      </c>
      <c r="R66" s="42" t="s">
        <v>135</v>
      </c>
      <c r="S66" s="129">
        <v>5.5521653431367373E-3</v>
      </c>
      <c r="T66" s="41" t="s">
        <v>136</v>
      </c>
      <c r="U66" s="42" t="s">
        <v>177</v>
      </c>
      <c r="V66" s="41" t="s">
        <v>138</v>
      </c>
      <c r="W66" s="41" t="s">
        <v>178</v>
      </c>
      <c r="X66" s="42" t="s">
        <v>179</v>
      </c>
      <c r="Y66" s="41" t="s">
        <v>141</v>
      </c>
      <c r="Z66" s="41" t="s">
        <v>97</v>
      </c>
      <c r="AA66" s="94" t="s">
        <v>142</v>
      </c>
    </row>
    <row r="67" spans="1:27" x14ac:dyDescent="0.2">
      <c r="A67" s="44" t="s">
        <v>309</v>
      </c>
      <c r="B67" s="44" t="s">
        <v>310</v>
      </c>
      <c r="C67" s="91">
        <v>135050425</v>
      </c>
      <c r="D67" s="139">
        <v>0.01</v>
      </c>
      <c r="E67" s="44" t="s">
        <v>99</v>
      </c>
      <c r="F67" s="122">
        <v>0.49</v>
      </c>
      <c r="G67" s="123">
        <v>2.42</v>
      </c>
      <c r="H67" s="44" t="s">
        <v>145</v>
      </c>
      <c r="I67" s="93" t="s">
        <v>129</v>
      </c>
      <c r="J67" s="44" t="s">
        <v>182</v>
      </c>
      <c r="K67" s="44" t="s">
        <v>311</v>
      </c>
      <c r="L67" s="93" t="s">
        <v>254</v>
      </c>
      <c r="M67" s="124">
        <v>5000</v>
      </c>
      <c r="N67" s="44" t="s">
        <v>133</v>
      </c>
      <c r="O67" s="92" t="s">
        <v>102</v>
      </c>
      <c r="P67" s="110">
        <v>100.65</v>
      </c>
      <c r="Q67" s="44" t="s">
        <v>134</v>
      </c>
      <c r="R67" s="92" t="s">
        <v>135</v>
      </c>
      <c r="S67" s="125">
        <v>6.7180390773875229E-3</v>
      </c>
      <c r="T67" s="44" t="s">
        <v>136</v>
      </c>
      <c r="U67" s="92" t="s">
        <v>137</v>
      </c>
      <c r="V67" s="44" t="s">
        <v>138</v>
      </c>
      <c r="W67" s="44" t="s">
        <v>139</v>
      </c>
      <c r="X67" s="92" t="s">
        <v>140</v>
      </c>
      <c r="Y67" s="44" t="s">
        <v>141</v>
      </c>
      <c r="Z67" s="44" t="s">
        <v>97</v>
      </c>
      <c r="AA67" s="91" t="s">
        <v>142</v>
      </c>
    </row>
    <row r="68" spans="1:27" x14ac:dyDescent="0.2">
      <c r="A68" s="41" t="s">
        <v>312</v>
      </c>
      <c r="B68" s="41" t="s">
        <v>310</v>
      </c>
      <c r="C68" s="94">
        <v>268298650</v>
      </c>
      <c r="D68" s="140">
        <v>0.01</v>
      </c>
      <c r="E68" s="41" t="s">
        <v>99</v>
      </c>
      <c r="F68" s="126">
        <v>0.74</v>
      </c>
      <c r="G68" s="127">
        <v>2.1800000000000002</v>
      </c>
      <c r="H68" s="41" t="s">
        <v>145</v>
      </c>
      <c r="I68" s="95" t="s">
        <v>129</v>
      </c>
      <c r="J68" s="41" t="s">
        <v>182</v>
      </c>
      <c r="K68" s="41" t="s">
        <v>311</v>
      </c>
      <c r="L68" s="95" t="s">
        <v>254</v>
      </c>
      <c r="M68" s="128">
        <v>10000</v>
      </c>
      <c r="N68" s="41" t="s">
        <v>133</v>
      </c>
      <c r="O68" s="42" t="s">
        <v>102</v>
      </c>
      <c r="P68" s="52">
        <v>100.96</v>
      </c>
      <c r="Q68" s="41" t="s">
        <v>134</v>
      </c>
      <c r="R68" s="42" t="s">
        <v>135</v>
      </c>
      <c r="S68" s="129">
        <v>1.334642830713282E-2</v>
      </c>
      <c r="T68" s="41" t="s">
        <v>136</v>
      </c>
      <c r="U68" s="42" t="s">
        <v>137</v>
      </c>
      <c r="V68" s="41" t="s">
        <v>138</v>
      </c>
      <c r="W68" s="41" t="s">
        <v>139</v>
      </c>
      <c r="X68" s="42" t="s">
        <v>140</v>
      </c>
      <c r="Y68" s="41" t="s">
        <v>141</v>
      </c>
      <c r="Z68" s="41" t="s">
        <v>97</v>
      </c>
      <c r="AA68" s="94" t="s">
        <v>142</v>
      </c>
    </row>
    <row r="69" spans="1:27" x14ac:dyDescent="0.2">
      <c r="A69" s="44" t="s">
        <v>313</v>
      </c>
      <c r="B69" s="44" t="s">
        <v>310</v>
      </c>
      <c r="C69" s="91">
        <v>27408114</v>
      </c>
      <c r="D69" s="139">
        <v>0</v>
      </c>
      <c r="E69" s="44" t="s">
        <v>99</v>
      </c>
      <c r="F69" s="122">
        <v>2.33</v>
      </c>
      <c r="G69" s="123">
        <v>1.89</v>
      </c>
      <c r="H69" s="44" t="s">
        <v>145</v>
      </c>
      <c r="I69" s="93" t="s">
        <v>129</v>
      </c>
      <c r="J69" s="44" t="s">
        <v>182</v>
      </c>
      <c r="K69" s="44" t="s">
        <v>311</v>
      </c>
      <c r="L69" s="93" t="s">
        <v>254</v>
      </c>
      <c r="M69" s="124">
        <v>1000</v>
      </c>
      <c r="N69" s="44" t="s">
        <v>133</v>
      </c>
      <c r="O69" s="92" t="s">
        <v>102</v>
      </c>
      <c r="P69" s="110">
        <v>103.73</v>
      </c>
      <c r="Q69" s="44" t="s">
        <v>134</v>
      </c>
      <c r="R69" s="92" t="s">
        <v>135</v>
      </c>
      <c r="S69" s="125">
        <v>1.3634076374768316E-3</v>
      </c>
      <c r="T69" s="44" t="s">
        <v>136</v>
      </c>
      <c r="U69" s="92" t="s">
        <v>137</v>
      </c>
      <c r="V69" s="44" t="s">
        <v>138</v>
      </c>
      <c r="W69" s="44" t="s">
        <v>139</v>
      </c>
      <c r="X69" s="92" t="s">
        <v>140</v>
      </c>
      <c r="Y69" s="44" t="s">
        <v>141</v>
      </c>
      <c r="Z69" s="44" t="s">
        <v>97</v>
      </c>
      <c r="AA69" s="91" t="s">
        <v>142</v>
      </c>
    </row>
    <row r="70" spans="1:27" x14ac:dyDescent="0.2">
      <c r="A70" s="41" t="s">
        <v>314</v>
      </c>
      <c r="B70" s="41" t="s">
        <v>310</v>
      </c>
      <c r="C70" s="94">
        <v>87401942</v>
      </c>
      <c r="D70" s="140">
        <v>0</v>
      </c>
      <c r="E70" s="41" t="s">
        <v>99</v>
      </c>
      <c r="F70" s="126">
        <v>8.09</v>
      </c>
      <c r="G70" s="127">
        <v>2.5</v>
      </c>
      <c r="H70" s="41" t="s">
        <v>145</v>
      </c>
      <c r="I70" s="95" t="s">
        <v>129</v>
      </c>
      <c r="J70" s="41" t="s">
        <v>182</v>
      </c>
      <c r="K70" s="41" t="s">
        <v>311</v>
      </c>
      <c r="L70" s="95" t="s">
        <v>254</v>
      </c>
      <c r="M70" s="128">
        <v>3000</v>
      </c>
      <c r="N70" s="41" t="s">
        <v>133</v>
      </c>
      <c r="O70" s="42" t="s">
        <v>102</v>
      </c>
      <c r="P70" s="52">
        <v>110.24</v>
      </c>
      <c r="Q70" s="41" t="s">
        <v>134</v>
      </c>
      <c r="R70" s="42" t="s">
        <v>135</v>
      </c>
      <c r="S70" s="129">
        <v>4.3477809254991815E-3</v>
      </c>
      <c r="T70" s="41" t="s">
        <v>160</v>
      </c>
      <c r="U70" s="42" t="s">
        <v>161</v>
      </c>
      <c r="V70" s="41" t="s">
        <v>162</v>
      </c>
      <c r="W70" s="41" t="s">
        <v>163</v>
      </c>
      <c r="X70" s="42" t="s">
        <v>140</v>
      </c>
      <c r="Y70" s="41" t="s">
        <v>164</v>
      </c>
      <c r="Z70" s="41" t="s">
        <v>97</v>
      </c>
      <c r="AA70" s="94" t="s">
        <v>165</v>
      </c>
    </row>
    <row r="71" spans="1:27" x14ac:dyDescent="0.2">
      <c r="A71" s="44" t="s">
        <v>315</v>
      </c>
      <c r="B71" s="44" t="s">
        <v>310</v>
      </c>
      <c r="C71" s="91">
        <v>57797543</v>
      </c>
      <c r="D71" s="139">
        <v>0</v>
      </c>
      <c r="E71" s="44" t="s">
        <v>99</v>
      </c>
      <c r="F71" s="122">
        <v>6.97</v>
      </c>
      <c r="G71" s="123">
        <v>2.42</v>
      </c>
      <c r="H71" s="44" t="s">
        <v>145</v>
      </c>
      <c r="I71" s="93" t="s">
        <v>129</v>
      </c>
      <c r="J71" s="44" t="s">
        <v>182</v>
      </c>
      <c r="K71" s="44" t="s">
        <v>311</v>
      </c>
      <c r="L71" s="93" t="s">
        <v>254</v>
      </c>
      <c r="M71" s="124">
        <v>2000</v>
      </c>
      <c r="N71" s="44" t="s">
        <v>133</v>
      </c>
      <c r="O71" s="92" t="s">
        <v>102</v>
      </c>
      <c r="P71" s="110">
        <v>109.35</v>
      </c>
      <c r="Q71" s="44" t="s">
        <v>134</v>
      </c>
      <c r="R71" s="92" t="s">
        <v>135</v>
      </c>
      <c r="S71" s="125">
        <v>2.8751198113666481E-3</v>
      </c>
      <c r="T71" s="44" t="s">
        <v>160</v>
      </c>
      <c r="U71" s="92" t="s">
        <v>161</v>
      </c>
      <c r="V71" s="44" t="s">
        <v>162</v>
      </c>
      <c r="W71" s="44" t="s">
        <v>163</v>
      </c>
      <c r="X71" s="92" t="s">
        <v>140</v>
      </c>
      <c r="Y71" s="44" t="s">
        <v>164</v>
      </c>
      <c r="Z71" s="44" t="s">
        <v>97</v>
      </c>
      <c r="AA71" s="91" t="s">
        <v>165</v>
      </c>
    </row>
    <row r="72" spans="1:27" x14ac:dyDescent="0.2">
      <c r="A72" s="41" t="s">
        <v>316</v>
      </c>
      <c r="B72" s="41" t="s">
        <v>310</v>
      </c>
      <c r="C72" s="94">
        <v>744981953</v>
      </c>
      <c r="D72" s="140">
        <v>0.04</v>
      </c>
      <c r="E72" s="41" t="s">
        <v>100</v>
      </c>
      <c r="F72" s="126">
        <v>1.37</v>
      </c>
      <c r="G72" s="127">
        <v>4.49</v>
      </c>
      <c r="H72" s="41" t="s">
        <v>145</v>
      </c>
      <c r="I72" s="95" t="s">
        <v>129</v>
      </c>
      <c r="J72" s="41" t="s">
        <v>182</v>
      </c>
      <c r="K72" s="41" t="s">
        <v>311</v>
      </c>
      <c r="L72" s="95" t="s">
        <v>254</v>
      </c>
      <c r="M72" s="128">
        <v>720000000</v>
      </c>
      <c r="N72" s="41" t="s">
        <v>133</v>
      </c>
      <c r="O72" s="42" t="s">
        <v>102</v>
      </c>
      <c r="P72" s="52">
        <v>102.92</v>
      </c>
      <c r="Q72" s="41" t="s">
        <v>134</v>
      </c>
      <c r="R72" s="42" t="s">
        <v>135</v>
      </c>
      <c r="S72" s="129">
        <v>3.7058882800276083E-2</v>
      </c>
      <c r="T72" s="41" t="s">
        <v>136</v>
      </c>
      <c r="U72" s="42" t="s">
        <v>177</v>
      </c>
      <c r="V72" s="41" t="s">
        <v>138</v>
      </c>
      <c r="W72" s="41" t="s">
        <v>178</v>
      </c>
      <c r="X72" s="42" t="s">
        <v>179</v>
      </c>
      <c r="Y72" s="41" t="s">
        <v>141</v>
      </c>
      <c r="Z72" s="41" t="s">
        <v>97</v>
      </c>
      <c r="AA72" s="94" t="s">
        <v>142</v>
      </c>
    </row>
    <row r="73" spans="1:27" x14ac:dyDescent="0.2">
      <c r="A73" s="44" t="s">
        <v>317</v>
      </c>
      <c r="B73" s="44" t="s">
        <v>310</v>
      </c>
      <c r="C73" s="91">
        <v>250532707</v>
      </c>
      <c r="D73" s="139">
        <v>0.01</v>
      </c>
      <c r="E73" s="44" t="s">
        <v>99</v>
      </c>
      <c r="F73" s="122">
        <v>3.08</v>
      </c>
      <c r="G73" s="123">
        <v>1.95</v>
      </c>
      <c r="H73" s="44" t="s">
        <v>145</v>
      </c>
      <c r="I73" s="93" t="s">
        <v>129</v>
      </c>
      <c r="J73" s="44" t="s">
        <v>182</v>
      </c>
      <c r="K73" s="44" t="s">
        <v>311</v>
      </c>
      <c r="L73" s="93" t="s">
        <v>254</v>
      </c>
      <c r="M73" s="124">
        <v>9000</v>
      </c>
      <c r="N73" s="44" t="s">
        <v>133</v>
      </c>
      <c r="O73" s="92" t="s">
        <v>102</v>
      </c>
      <c r="P73" s="110">
        <v>104.75</v>
      </c>
      <c r="Q73" s="44" t="s">
        <v>134</v>
      </c>
      <c r="R73" s="92" t="s">
        <v>135</v>
      </c>
      <c r="S73" s="125">
        <v>1.2462667302155315E-2</v>
      </c>
      <c r="T73" s="44" t="s">
        <v>136</v>
      </c>
      <c r="U73" s="92" t="s">
        <v>137</v>
      </c>
      <c r="V73" s="44" t="s">
        <v>138</v>
      </c>
      <c r="W73" s="44" t="s">
        <v>139</v>
      </c>
      <c r="X73" s="92" t="s">
        <v>140</v>
      </c>
      <c r="Y73" s="44" t="s">
        <v>141</v>
      </c>
      <c r="Z73" s="44" t="s">
        <v>97</v>
      </c>
      <c r="AA73" s="91" t="s">
        <v>142</v>
      </c>
    </row>
    <row r="74" spans="1:27" x14ac:dyDescent="0.2">
      <c r="A74" s="41" t="s">
        <v>318</v>
      </c>
      <c r="B74" s="41" t="s">
        <v>319</v>
      </c>
      <c r="C74" s="94">
        <v>30889024</v>
      </c>
      <c r="D74" s="140">
        <v>0</v>
      </c>
      <c r="E74" s="41" t="s">
        <v>99</v>
      </c>
      <c r="F74" s="127">
        <v>6.23</v>
      </c>
      <c r="G74" s="127">
        <v>2.36</v>
      </c>
      <c r="H74" s="41" t="s">
        <v>128</v>
      </c>
      <c r="I74" s="95" t="s">
        <v>129</v>
      </c>
      <c r="J74" s="41" t="s">
        <v>320</v>
      </c>
      <c r="K74" s="41" t="s">
        <v>321</v>
      </c>
      <c r="L74" s="95" t="s">
        <v>322</v>
      </c>
      <c r="M74" s="128">
        <v>1000</v>
      </c>
      <c r="N74" s="41" t="s">
        <v>133</v>
      </c>
      <c r="O74" s="42" t="s">
        <v>102</v>
      </c>
      <c r="P74" s="52">
        <v>114.77</v>
      </c>
      <c r="Q74" s="41" t="s">
        <v>134</v>
      </c>
      <c r="R74" s="42" t="s">
        <v>135</v>
      </c>
      <c r="S74" s="129">
        <v>1.5365643632321857E-3</v>
      </c>
      <c r="T74" s="41" t="s">
        <v>160</v>
      </c>
      <c r="U74" s="42" t="s">
        <v>161</v>
      </c>
      <c r="V74" s="41" t="s">
        <v>162</v>
      </c>
      <c r="W74" s="41" t="s">
        <v>163</v>
      </c>
      <c r="X74" s="42" t="s">
        <v>140</v>
      </c>
      <c r="Y74" s="41" t="s">
        <v>164</v>
      </c>
      <c r="Z74" s="41" t="s">
        <v>97</v>
      </c>
      <c r="AA74" s="94" t="s">
        <v>165</v>
      </c>
    </row>
    <row r="75" spans="1:27" x14ac:dyDescent="0.2">
      <c r="A75" s="44" t="s">
        <v>323</v>
      </c>
      <c r="B75" s="44" t="s">
        <v>324</v>
      </c>
      <c r="C75" s="91">
        <v>290359083</v>
      </c>
      <c r="D75" s="139">
        <v>0.01</v>
      </c>
      <c r="E75" s="44" t="s">
        <v>99</v>
      </c>
      <c r="F75" s="122">
        <v>6.93</v>
      </c>
      <c r="G75" s="123">
        <v>2.35</v>
      </c>
      <c r="H75" s="44" t="s">
        <v>145</v>
      </c>
      <c r="I75" s="93" t="s">
        <v>129</v>
      </c>
      <c r="J75" s="44" t="s">
        <v>221</v>
      </c>
      <c r="K75" s="44" t="s">
        <v>325</v>
      </c>
      <c r="L75" s="93" t="s">
        <v>326</v>
      </c>
      <c r="M75" s="124">
        <v>9500</v>
      </c>
      <c r="N75" s="44" t="s">
        <v>133</v>
      </c>
      <c r="O75" s="92" t="s">
        <v>102</v>
      </c>
      <c r="P75" s="110">
        <v>115.18</v>
      </c>
      <c r="Q75" s="44" t="s">
        <v>134</v>
      </c>
      <c r="R75" s="92" t="s">
        <v>135</v>
      </c>
      <c r="S75" s="125">
        <v>1.4443817308004822E-2</v>
      </c>
      <c r="T75" s="44" t="s">
        <v>160</v>
      </c>
      <c r="U75" s="92" t="s">
        <v>161</v>
      </c>
      <c r="V75" s="44" t="s">
        <v>162</v>
      </c>
      <c r="W75" s="44" t="s">
        <v>163</v>
      </c>
      <c r="X75" s="92" t="s">
        <v>140</v>
      </c>
      <c r="Y75" s="44" t="s">
        <v>164</v>
      </c>
      <c r="Z75" s="44" t="s">
        <v>97</v>
      </c>
      <c r="AA75" s="91" t="s">
        <v>165</v>
      </c>
    </row>
    <row r="76" spans="1:27" x14ac:dyDescent="0.2">
      <c r="A76" s="41" t="s">
        <v>327</v>
      </c>
      <c r="B76" s="41" t="s">
        <v>324</v>
      </c>
      <c r="C76" s="94">
        <v>231879593</v>
      </c>
      <c r="D76" s="140">
        <v>0.01</v>
      </c>
      <c r="E76" s="41" t="s">
        <v>99</v>
      </c>
      <c r="F76" s="126">
        <v>0.9</v>
      </c>
      <c r="G76" s="127">
        <v>2.1</v>
      </c>
      <c r="H76" s="41" t="s">
        <v>145</v>
      </c>
      <c r="I76" s="95" t="s">
        <v>129</v>
      </c>
      <c r="J76" s="41" t="s">
        <v>221</v>
      </c>
      <c r="K76" s="41" t="s">
        <v>325</v>
      </c>
      <c r="L76" s="95" t="s">
        <v>326</v>
      </c>
      <c r="M76" s="128">
        <v>13000</v>
      </c>
      <c r="N76" s="41" t="s">
        <v>133</v>
      </c>
      <c r="O76" s="42" t="s">
        <v>102</v>
      </c>
      <c r="P76" s="52">
        <v>101.25</v>
      </c>
      <c r="Q76" s="41" t="s">
        <v>134</v>
      </c>
      <c r="R76" s="42" t="s">
        <v>135</v>
      </c>
      <c r="S76" s="129">
        <v>1.1534774266891158E-2</v>
      </c>
      <c r="T76" s="41" t="s">
        <v>136</v>
      </c>
      <c r="U76" s="42" t="s">
        <v>137</v>
      </c>
      <c r="V76" s="41" t="s">
        <v>138</v>
      </c>
      <c r="W76" s="41" t="s">
        <v>139</v>
      </c>
      <c r="X76" s="42" t="s">
        <v>140</v>
      </c>
      <c r="Y76" s="41" t="s">
        <v>141</v>
      </c>
      <c r="Z76" s="41" t="s">
        <v>97</v>
      </c>
      <c r="AA76" s="94" t="s">
        <v>142</v>
      </c>
    </row>
    <row r="77" spans="1:27" x14ac:dyDescent="0.2">
      <c r="A77" s="44" t="s">
        <v>328</v>
      </c>
      <c r="B77" s="44" t="s">
        <v>324</v>
      </c>
      <c r="C77" s="91">
        <v>137119601</v>
      </c>
      <c r="D77" s="139">
        <v>0.01</v>
      </c>
      <c r="E77" s="44" t="s">
        <v>99</v>
      </c>
      <c r="F77" s="122">
        <v>1.81</v>
      </c>
      <c r="G77" s="123">
        <v>1.95</v>
      </c>
      <c r="H77" s="44" t="s">
        <v>145</v>
      </c>
      <c r="I77" s="93" t="s">
        <v>129</v>
      </c>
      <c r="J77" s="44" t="s">
        <v>221</v>
      </c>
      <c r="K77" s="44" t="s">
        <v>325</v>
      </c>
      <c r="L77" s="93" t="s">
        <v>326</v>
      </c>
      <c r="M77" s="124">
        <v>5000</v>
      </c>
      <c r="N77" s="44" t="s">
        <v>133</v>
      </c>
      <c r="O77" s="92" t="s">
        <v>102</v>
      </c>
      <c r="P77" s="110">
        <v>102.74</v>
      </c>
      <c r="Q77" s="44" t="s">
        <v>134</v>
      </c>
      <c r="R77" s="92" t="s">
        <v>135</v>
      </c>
      <c r="S77" s="125">
        <v>6.8209695585466339E-3</v>
      </c>
      <c r="T77" s="44" t="s">
        <v>136</v>
      </c>
      <c r="U77" s="92" t="s">
        <v>137</v>
      </c>
      <c r="V77" s="44" t="s">
        <v>138</v>
      </c>
      <c r="W77" s="44" t="s">
        <v>139</v>
      </c>
      <c r="X77" s="92" t="s">
        <v>140</v>
      </c>
      <c r="Y77" s="44" t="s">
        <v>141</v>
      </c>
      <c r="Z77" s="44" t="s">
        <v>97</v>
      </c>
      <c r="AA77" s="91" t="s">
        <v>142</v>
      </c>
    </row>
    <row r="78" spans="1:27" x14ac:dyDescent="0.2">
      <c r="A78" s="41" t="s">
        <v>329</v>
      </c>
      <c r="B78" s="41" t="s">
        <v>330</v>
      </c>
      <c r="C78" s="94">
        <v>182456526</v>
      </c>
      <c r="D78" s="140">
        <v>0.01</v>
      </c>
      <c r="E78" s="41" t="s">
        <v>99</v>
      </c>
      <c r="F78" s="126">
        <v>8.69</v>
      </c>
      <c r="G78" s="127">
        <v>2.39</v>
      </c>
      <c r="H78" s="41" t="s">
        <v>145</v>
      </c>
      <c r="I78" s="95" t="s">
        <v>129</v>
      </c>
      <c r="J78" s="41" t="s">
        <v>169</v>
      </c>
      <c r="K78" s="41" t="s">
        <v>331</v>
      </c>
      <c r="L78" s="95" t="s">
        <v>332</v>
      </c>
      <c r="M78" s="128">
        <v>6000</v>
      </c>
      <c r="N78" s="41" t="s">
        <v>133</v>
      </c>
      <c r="O78" s="42" t="s">
        <v>102</v>
      </c>
      <c r="P78" s="52">
        <v>112.9</v>
      </c>
      <c r="Q78" s="41" t="s">
        <v>134</v>
      </c>
      <c r="R78" s="42" t="s">
        <v>135</v>
      </c>
      <c r="S78" s="129">
        <v>9.0762400162189231E-3</v>
      </c>
      <c r="T78" s="41" t="s">
        <v>160</v>
      </c>
      <c r="U78" s="42" t="s">
        <v>161</v>
      </c>
      <c r="V78" s="41" t="s">
        <v>162</v>
      </c>
      <c r="W78" s="41" t="s">
        <v>163</v>
      </c>
      <c r="X78" s="42" t="s">
        <v>140</v>
      </c>
      <c r="Y78" s="41" t="s">
        <v>164</v>
      </c>
      <c r="Z78" s="41" t="s">
        <v>97</v>
      </c>
      <c r="AA78" s="94" t="s">
        <v>165</v>
      </c>
    </row>
    <row r="79" spans="1:27" x14ac:dyDescent="0.2">
      <c r="A79" s="44" t="s">
        <v>333</v>
      </c>
      <c r="B79" s="44" t="s">
        <v>330</v>
      </c>
      <c r="C79" s="91">
        <v>139897719</v>
      </c>
      <c r="D79" s="139">
        <v>0.01</v>
      </c>
      <c r="E79" s="44" t="s">
        <v>99</v>
      </c>
      <c r="F79" s="122">
        <v>1.4</v>
      </c>
      <c r="G79" s="123">
        <v>2.1800000000000002</v>
      </c>
      <c r="H79" s="44" t="s">
        <v>145</v>
      </c>
      <c r="I79" s="93" t="s">
        <v>129</v>
      </c>
      <c r="J79" s="44" t="s">
        <v>169</v>
      </c>
      <c r="K79" s="44" t="s">
        <v>331</v>
      </c>
      <c r="L79" s="93" t="s">
        <v>332</v>
      </c>
      <c r="M79" s="124">
        <v>13000</v>
      </c>
      <c r="N79" s="44" t="s">
        <v>133</v>
      </c>
      <c r="O79" s="92" t="s">
        <v>102</v>
      </c>
      <c r="P79" s="110">
        <v>101.82</v>
      </c>
      <c r="Q79" s="44" t="s">
        <v>134</v>
      </c>
      <c r="R79" s="92" t="s">
        <v>135</v>
      </c>
      <c r="S79" s="125">
        <v>6.9591661268698628E-3</v>
      </c>
      <c r="T79" s="44" t="s">
        <v>136</v>
      </c>
      <c r="U79" s="92" t="s">
        <v>137</v>
      </c>
      <c r="V79" s="44" t="s">
        <v>138</v>
      </c>
      <c r="W79" s="44" t="s">
        <v>139</v>
      </c>
      <c r="X79" s="92" t="s">
        <v>140</v>
      </c>
      <c r="Y79" s="44" t="s">
        <v>141</v>
      </c>
      <c r="Z79" s="44" t="s">
        <v>97</v>
      </c>
      <c r="AA79" s="91" t="s">
        <v>142</v>
      </c>
    </row>
    <row r="80" spans="1:27" x14ac:dyDescent="0.2">
      <c r="A80" s="41" t="s">
        <v>334</v>
      </c>
      <c r="B80" s="41" t="s">
        <v>335</v>
      </c>
      <c r="C80" s="94">
        <v>20173855</v>
      </c>
      <c r="D80" s="140">
        <v>0</v>
      </c>
      <c r="E80" s="41" t="s">
        <v>99</v>
      </c>
      <c r="F80" s="126">
        <v>1.43</v>
      </c>
      <c r="G80" s="127">
        <v>2.11</v>
      </c>
      <c r="H80" s="41" t="s">
        <v>128</v>
      </c>
      <c r="I80" s="95" t="s">
        <v>129</v>
      </c>
      <c r="J80" s="41" t="s">
        <v>130</v>
      </c>
      <c r="K80" s="41" t="s">
        <v>336</v>
      </c>
      <c r="L80" s="95" t="s">
        <v>337</v>
      </c>
      <c r="M80" s="128">
        <v>1500</v>
      </c>
      <c r="N80" s="41" t="s">
        <v>133</v>
      </c>
      <c r="O80" s="42" t="s">
        <v>102</v>
      </c>
      <c r="P80" s="52">
        <v>101.25</v>
      </c>
      <c r="Q80" s="41" t="s">
        <v>134</v>
      </c>
      <c r="R80" s="42" t="s">
        <v>135</v>
      </c>
      <c r="S80" s="129">
        <v>1.0035417973068184E-3</v>
      </c>
      <c r="T80" s="41" t="s">
        <v>136</v>
      </c>
      <c r="U80" s="42" t="s">
        <v>137</v>
      </c>
      <c r="V80" s="41" t="s">
        <v>138</v>
      </c>
      <c r="W80" s="41" t="s">
        <v>139</v>
      </c>
      <c r="X80" s="42" t="s">
        <v>140</v>
      </c>
      <c r="Y80" s="41" t="s">
        <v>141</v>
      </c>
      <c r="Z80" s="41" t="s">
        <v>97</v>
      </c>
      <c r="AA80" s="94" t="s">
        <v>142</v>
      </c>
    </row>
    <row r="81" spans="1:27" x14ac:dyDescent="0.2">
      <c r="A81" s="44" t="s">
        <v>338</v>
      </c>
      <c r="B81" s="44" t="s">
        <v>339</v>
      </c>
      <c r="C81" s="91">
        <v>267104132</v>
      </c>
      <c r="D81" s="139">
        <v>0.01</v>
      </c>
      <c r="E81" s="44" t="s">
        <v>99</v>
      </c>
      <c r="F81" s="122">
        <v>0.83</v>
      </c>
      <c r="G81" s="123">
        <v>2.2400000000000002</v>
      </c>
      <c r="H81" s="44" t="s">
        <v>156</v>
      </c>
      <c r="I81" s="93" t="s">
        <v>129</v>
      </c>
      <c r="J81" s="44" t="s">
        <v>182</v>
      </c>
      <c r="K81" s="44" t="s">
        <v>340</v>
      </c>
      <c r="L81" s="93" t="s">
        <v>341</v>
      </c>
      <c r="M81" s="124">
        <v>10000</v>
      </c>
      <c r="N81" s="44" t="s">
        <v>133</v>
      </c>
      <c r="O81" s="92" t="s">
        <v>102</v>
      </c>
      <c r="P81" s="110">
        <v>100.84</v>
      </c>
      <c r="Q81" s="44" t="s">
        <v>134</v>
      </c>
      <c r="R81" s="92" t="s">
        <v>135</v>
      </c>
      <c r="S81" s="125">
        <v>1.3287007401181264E-2</v>
      </c>
      <c r="T81" s="44" t="s">
        <v>136</v>
      </c>
      <c r="U81" s="92" t="s">
        <v>137</v>
      </c>
      <c r="V81" s="44" t="s">
        <v>138</v>
      </c>
      <c r="W81" s="44" t="s">
        <v>139</v>
      </c>
      <c r="X81" s="92" t="s">
        <v>140</v>
      </c>
      <c r="Y81" s="44" t="s">
        <v>141</v>
      </c>
      <c r="Z81" s="44" t="s">
        <v>97</v>
      </c>
      <c r="AA81" s="91" t="s">
        <v>142</v>
      </c>
    </row>
    <row r="82" spans="1:27" x14ac:dyDescent="0.2">
      <c r="A82" s="96" t="s">
        <v>342</v>
      </c>
      <c r="B82" s="44" t="s">
        <v>339</v>
      </c>
      <c r="C82" s="91">
        <v>53537588</v>
      </c>
      <c r="D82" s="139">
        <v>0</v>
      </c>
      <c r="E82" s="44" t="s">
        <v>99</v>
      </c>
      <c r="F82" s="122">
        <v>2.36</v>
      </c>
      <c r="G82" s="123">
        <v>1.92</v>
      </c>
      <c r="H82" s="44" t="s">
        <v>156</v>
      </c>
      <c r="I82" s="93" t="s">
        <v>129</v>
      </c>
      <c r="J82" s="44" t="s">
        <v>182</v>
      </c>
      <c r="K82" s="44" t="s">
        <v>340</v>
      </c>
      <c r="L82" s="93" t="s">
        <v>341</v>
      </c>
      <c r="M82" s="124">
        <v>2000</v>
      </c>
      <c r="N82" s="44" t="s">
        <v>133</v>
      </c>
      <c r="O82" s="92" t="s">
        <v>102</v>
      </c>
      <c r="P82" s="110">
        <v>101.39</v>
      </c>
      <c r="Q82" s="44" t="s">
        <v>134</v>
      </c>
      <c r="R82" s="92" t="s">
        <v>135</v>
      </c>
      <c r="S82" s="125">
        <v>2.6632097477151465E-3</v>
      </c>
      <c r="T82" s="44" t="s">
        <v>136</v>
      </c>
      <c r="U82" s="92" t="s">
        <v>137</v>
      </c>
      <c r="V82" s="44" t="s">
        <v>138</v>
      </c>
      <c r="W82" s="44" t="s">
        <v>139</v>
      </c>
      <c r="X82" s="92" t="s">
        <v>140</v>
      </c>
      <c r="Y82" s="96" t="s">
        <v>141</v>
      </c>
      <c r="Z82" s="44" t="s">
        <v>97</v>
      </c>
      <c r="AA82" s="91" t="s">
        <v>142</v>
      </c>
    </row>
    <row r="83" spans="1:27" x14ac:dyDescent="0.2">
      <c r="A83" s="97" t="s">
        <v>343</v>
      </c>
      <c r="B83" s="41" t="s">
        <v>339</v>
      </c>
      <c r="C83" s="94">
        <v>296895466</v>
      </c>
      <c r="D83" s="140">
        <v>0.01</v>
      </c>
      <c r="E83" s="41" t="s">
        <v>99</v>
      </c>
      <c r="F83" s="126">
        <v>0.98</v>
      </c>
      <c r="G83" s="127">
        <v>2.0499999999999998</v>
      </c>
      <c r="H83" s="41" t="s">
        <v>156</v>
      </c>
      <c r="I83" s="95" t="s">
        <v>129</v>
      </c>
      <c r="J83" s="41" t="s">
        <v>182</v>
      </c>
      <c r="K83" s="41" t="s">
        <v>340</v>
      </c>
      <c r="L83" s="95" t="s">
        <v>341</v>
      </c>
      <c r="M83" s="128">
        <v>11000</v>
      </c>
      <c r="N83" s="41" t="s">
        <v>133</v>
      </c>
      <c r="O83" s="42" t="s">
        <v>102</v>
      </c>
      <c r="P83" s="52">
        <v>100.93</v>
      </c>
      <c r="Q83" s="41" t="s">
        <v>134</v>
      </c>
      <c r="R83" s="42" t="s">
        <v>135</v>
      </c>
      <c r="S83" s="129">
        <v>1.4768967535549619E-2</v>
      </c>
      <c r="T83" s="41" t="s">
        <v>136</v>
      </c>
      <c r="U83" s="42" t="s">
        <v>137</v>
      </c>
      <c r="V83" s="41" t="s">
        <v>138</v>
      </c>
      <c r="W83" s="41" t="s">
        <v>139</v>
      </c>
      <c r="X83" s="42" t="s">
        <v>140</v>
      </c>
      <c r="Y83" s="97" t="s">
        <v>141</v>
      </c>
      <c r="Z83" s="41" t="s">
        <v>97</v>
      </c>
      <c r="AA83" s="94" t="s">
        <v>142</v>
      </c>
    </row>
    <row r="84" spans="1:27" x14ac:dyDescent="0.2">
      <c r="A84" s="96" t="s">
        <v>344</v>
      </c>
      <c r="B84" s="44" t="s">
        <v>339</v>
      </c>
      <c r="C84" s="91">
        <v>157758455</v>
      </c>
      <c r="D84" s="139">
        <v>0.01</v>
      </c>
      <c r="E84" s="44" t="s">
        <v>99</v>
      </c>
      <c r="F84" s="122">
        <v>6.04</v>
      </c>
      <c r="G84" s="123">
        <v>2.33</v>
      </c>
      <c r="H84" s="44" t="s">
        <v>156</v>
      </c>
      <c r="I84" s="93" t="s">
        <v>129</v>
      </c>
      <c r="J84" s="44" t="s">
        <v>182</v>
      </c>
      <c r="K84" s="44" t="s">
        <v>340</v>
      </c>
      <c r="L84" s="93" t="s">
        <v>341</v>
      </c>
      <c r="M84" s="124">
        <v>5500</v>
      </c>
      <c r="N84" s="44" t="s">
        <v>133</v>
      </c>
      <c r="O84" s="92" t="s">
        <v>102</v>
      </c>
      <c r="P84" s="110">
        <v>107.9</v>
      </c>
      <c r="Q84" s="44" t="s">
        <v>134</v>
      </c>
      <c r="R84" s="92" t="s">
        <v>135</v>
      </c>
      <c r="S84" s="125">
        <v>7.8476425785278421E-3</v>
      </c>
      <c r="T84" s="44" t="s">
        <v>160</v>
      </c>
      <c r="U84" s="92" t="s">
        <v>161</v>
      </c>
      <c r="V84" s="44" t="s">
        <v>162</v>
      </c>
      <c r="W84" s="44" t="s">
        <v>163</v>
      </c>
      <c r="X84" s="92" t="s">
        <v>140</v>
      </c>
      <c r="Y84" s="96" t="s">
        <v>164</v>
      </c>
      <c r="Z84" s="44" t="s">
        <v>97</v>
      </c>
      <c r="AA84" s="91" t="s">
        <v>165</v>
      </c>
    </row>
    <row r="85" spans="1:27" x14ac:dyDescent="0.2">
      <c r="A85" s="97" t="s">
        <v>345</v>
      </c>
      <c r="B85" s="41" t="s">
        <v>339</v>
      </c>
      <c r="C85" s="94">
        <v>4299172</v>
      </c>
      <c r="D85" s="140">
        <v>0</v>
      </c>
      <c r="E85" s="41" t="s">
        <v>99</v>
      </c>
      <c r="F85" s="126">
        <v>1.24</v>
      </c>
      <c r="G85" s="127">
        <v>2.08</v>
      </c>
      <c r="H85" s="41" t="s">
        <v>156</v>
      </c>
      <c r="I85" s="95" t="s">
        <v>129</v>
      </c>
      <c r="J85" s="41" t="s">
        <v>182</v>
      </c>
      <c r="K85" s="41" t="s">
        <v>340</v>
      </c>
      <c r="L85" s="95" t="s">
        <v>341</v>
      </c>
      <c r="M85" s="128">
        <v>500</v>
      </c>
      <c r="N85" s="41" t="s">
        <v>133</v>
      </c>
      <c r="O85" s="42" t="s">
        <v>102</v>
      </c>
      <c r="P85" s="52">
        <v>101.11</v>
      </c>
      <c r="Q85" s="41" t="s">
        <v>134</v>
      </c>
      <c r="R85" s="42" t="s">
        <v>135</v>
      </c>
      <c r="S85" s="129">
        <v>2.1386090044818646E-4</v>
      </c>
      <c r="T85" s="41" t="s">
        <v>136</v>
      </c>
      <c r="U85" s="42" t="s">
        <v>137</v>
      </c>
      <c r="V85" s="41" t="s">
        <v>138</v>
      </c>
      <c r="W85" s="41" t="s">
        <v>139</v>
      </c>
      <c r="X85" s="42" t="s">
        <v>140</v>
      </c>
      <c r="Y85" s="97" t="s">
        <v>141</v>
      </c>
      <c r="Z85" s="41" t="s">
        <v>97</v>
      </c>
      <c r="AA85" s="94" t="s">
        <v>142</v>
      </c>
    </row>
    <row r="86" spans="1:27" x14ac:dyDescent="0.2">
      <c r="A86" s="97" t="s">
        <v>346</v>
      </c>
      <c r="B86" s="41" t="s">
        <v>339</v>
      </c>
      <c r="C86" s="94">
        <v>68600062</v>
      </c>
      <c r="D86" s="140">
        <v>0</v>
      </c>
      <c r="E86" s="41" t="s">
        <v>99</v>
      </c>
      <c r="F86" s="126">
        <v>2.39</v>
      </c>
      <c r="G86" s="127">
        <v>1.92</v>
      </c>
      <c r="H86" s="41" t="s">
        <v>156</v>
      </c>
      <c r="I86" s="95" t="s">
        <v>129</v>
      </c>
      <c r="J86" s="41" t="s">
        <v>182</v>
      </c>
      <c r="K86" s="41" t="s">
        <v>340</v>
      </c>
      <c r="L86" s="95" t="s">
        <v>341</v>
      </c>
      <c r="M86" s="128">
        <v>2500</v>
      </c>
      <c r="N86" s="41" t="s">
        <v>133</v>
      </c>
      <c r="O86" s="42" t="s">
        <v>102</v>
      </c>
      <c r="P86" s="52">
        <v>102.61</v>
      </c>
      <c r="Q86" s="41" t="s">
        <v>134</v>
      </c>
      <c r="R86" s="42" t="s">
        <v>135</v>
      </c>
      <c r="S86" s="129">
        <v>3.4124875743797686E-3</v>
      </c>
      <c r="T86" s="41" t="s">
        <v>136</v>
      </c>
      <c r="U86" s="42" t="s">
        <v>137</v>
      </c>
      <c r="V86" s="41" t="s">
        <v>138</v>
      </c>
      <c r="W86" s="41" t="s">
        <v>139</v>
      </c>
      <c r="X86" s="42" t="s">
        <v>140</v>
      </c>
      <c r="Y86" s="97" t="s">
        <v>141</v>
      </c>
      <c r="Z86" s="41" t="s">
        <v>97</v>
      </c>
      <c r="AA86" s="94" t="s">
        <v>142</v>
      </c>
    </row>
    <row r="87" spans="1:27" x14ac:dyDescent="0.2">
      <c r="A87" s="97" t="s">
        <v>347</v>
      </c>
      <c r="B87" s="41" t="s">
        <v>339</v>
      </c>
      <c r="C87" s="94">
        <v>6469137</v>
      </c>
      <c r="D87" s="140">
        <v>0</v>
      </c>
      <c r="E87" s="41" t="s">
        <v>99</v>
      </c>
      <c r="F87" s="126">
        <v>2.3199999999999998</v>
      </c>
      <c r="G87" s="127">
        <v>1.94</v>
      </c>
      <c r="H87" s="41" t="s">
        <v>156</v>
      </c>
      <c r="I87" s="95" t="s">
        <v>129</v>
      </c>
      <c r="J87" s="41" t="s">
        <v>182</v>
      </c>
      <c r="K87" s="41" t="s">
        <v>340</v>
      </c>
      <c r="L87" s="95" t="s">
        <v>341</v>
      </c>
      <c r="M87" s="128">
        <v>500</v>
      </c>
      <c r="N87" s="41" t="s">
        <v>133</v>
      </c>
      <c r="O87" s="42" t="s">
        <v>102</v>
      </c>
      <c r="P87" s="52">
        <v>102.42</v>
      </c>
      <c r="Q87" s="41" t="s">
        <v>134</v>
      </c>
      <c r="R87" s="42" t="s">
        <v>135</v>
      </c>
      <c r="S87" s="129">
        <v>3.2180509734029705E-4</v>
      </c>
      <c r="T87" s="41" t="s">
        <v>136</v>
      </c>
      <c r="U87" s="42" t="s">
        <v>137</v>
      </c>
      <c r="V87" s="41" t="s">
        <v>138</v>
      </c>
      <c r="W87" s="41" t="s">
        <v>139</v>
      </c>
      <c r="X87" s="42" t="s">
        <v>140</v>
      </c>
      <c r="Y87" s="97" t="s">
        <v>141</v>
      </c>
      <c r="Z87" s="41" t="s">
        <v>97</v>
      </c>
      <c r="AA87" s="94" t="s">
        <v>142</v>
      </c>
    </row>
    <row r="88" spans="1:27" x14ac:dyDescent="0.2">
      <c r="A88" s="97" t="s">
        <v>348</v>
      </c>
      <c r="B88" s="41" t="s">
        <v>349</v>
      </c>
      <c r="C88" s="94">
        <v>13346488</v>
      </c>
      <c r="D88" s="140">
        <v>0</v>
      </c>
      <c r="E88" s="41" t="s">
        <v>99</v>
      </c>
      <c r="F88" s="126">
        <v>0.92</v>
      </c>
      <c r="G88" s="127">
        <v>2.23</v>
      </c>
      <c r="H88" s="41" t="s">
        <v>145</v>
      </c>
      <c r="I88" s="95" t="s">
        <v>129</v>
      </c>
      <c r="J88" s="41" t="s">
        <v>221</v>
      </c>
      <c r="K88" s="41" t="s">
        <v>350</v>
      </c>
      <c r="L88" s="95" t="s">
        <v>351</v>
      </c>
      <c r="M88" s="128">
        <v>500</v>
      </c>
      <c r="N88" s="41" t="s">
        <v>133</v>
      </c>
      <c r="O88" s="42" t="s">
        <v>102</v>
      </c>
      <c r="P88" s="52">
        <v>101.05</v>
      </c>
      <c r="Q88" s="41" t="s">
        <v>134</v>
      </c>
      <c r="R88" s="42" t="s">
        <v>135</v>
      </c>
      <c r="S88" s="129">
        <v>6.6391666616290649E-4</v>
      </c>
      <c r="T88" s="41" t="s">
        <v>136</v>
      </c>
      <c r="U88" s="42" t="s">
        <v>137</v>
      </c>
      <c r="V88" s="41" t="s">
        <v>138</v>
      </c>
      <c r="W88" s="41" t="s">
        <v>139</v>
      </c>
      <c r="X88" s="42" t="s">
        <v>140</v>
      </c>
      <c r="Y88" s="97" t="s">
        <v>141</v>
      </c>
      <c r="Z88" s="41" t="s">
        <v>97</v>
      </c>
      <c r="AA88" s="94" t="s">
        <v>142</v>
      </c>
    </row>
    <row r="89" spans="1:27" x14ac:dyDescent="0.2">
      <c r="A89" s="96" t="s">
        <v>352</v>
      </c>
      <c r="B89" s="44" t="s">
        <v>353</v>
      </c>
      <c r="C89" s="91">
        <v>30086286</v>
      </c>
      <c r="D89" s="139">
        <v>0</v>
      </c>
      <c r="E89" s="44" t="s">
        <v>100</v>
      </c>
      <c r="F89" s="122">
        <v>2.95</v>
      </c>
      <c r="G89" s="123">
        <v>4.7300000000000004</v>
      </c>
      <c r="H89" s="44" t="s">
        <v>145</v>
      </c>
      <c r="I89" s="93" t="s">
        <v>129</v>
      </c>
      <c r="J89" s="44" t="s">
        <v>276</v>
      </c>
      <c r="K89" s="44" t="s">
        <v>354</v>
      </c>
      <c r="L89" s="93" t="s">
        <v>355</v>
      </c>
      <c r="M89" s="124">
        <v>30000000</v>
      </c>
      <c r="N89" s="44" t="s">
        <v>133</v>
      </c>
      <c r="O89" s="92" t="s">
        <v>102</v>
      </c>
      <c r="P89" s="110">
        <v>99.91</v>
      </c>
      <c r="Q89" s="44" t="s">
        <v>134</v>
      </c>
      <c r="R89" s="92" t="s">
        <v>135</v>
      </c>
      <c r="S89" s="125">
        <v>1.4966324248254469E-3</v>
      </c>
      <c r="T89" s="44" t="s">
        <v>136</v>
      </c>
      <c r="U89" s="92" t="s">
        <v>177</v>
      </c>
      <c r="V89" s="44" t="s">
        <v>138</v>
      </c>
      <c r="W89" s="44" t="s">
        <v>178</v>
      </c>
      <c r="X89" s="92" t="s">
        <v>179</v>
      </c>
      <c r="Y89" s="96" t="s">
        <v>141</v>
      </c>
      <c r="Z89" s="44" t="s">
        <v>97</v>
      </c>
      <c r="AA89" s="91" t="s">
        <v>142</v>
      </c>
    </row>
    <row r="90" spans="1:27" x14ac:dyDescent="0.2">
      <c r="A90" s="96" t="s">
        <v>356</v>
      </c>
      <c r="B90" s="44" t="s">
        <v>357</v>
      </c>
      <c r="C90" s="91">
        <v>90563407</v>
      </c>
      <c r="D90" s="139">
        <v>0</v>
      </c>
      <c r="E90" s="44" t="s">
        <v>99</v>
      </c>
      <c r="F90" s="122">
        <v>7.35</v>
      </c>
      <c r="G90" s="123">
        <v>2.6</v>
      </c>
      <c r="H90" s="44" t="s">
        <v>156</v>
      </c>
      <c r="I90" s="93" t="s">
        <v>129</v>
      </c>
      <c r="J90" s="44" t="s">
        <v>358</v>
      </c>
      <c r="K90" s="44" t="s">
        <v>359</v>
      </c>
      <c r="L90" s="93" t="s">
        <v>360</v>
      </c>
      <c r="M90" s="124">
        <v>3000</v>
      </c>
      <c r="N90" s="44" t="s">
        <v>133</v>
      </c>
      <c r="O90" s="92" t="s">
        <v>102</v>
      </c>
      <c r="P90" s="110">
        <v>114.16</v>
      </c>
      <c r="Q90" s="44" t="s">
        <v>134</v>
      </c>
      <c r="R90" s="92" t="s">
        <v>135</v>
      </c>
      <c r="S90" s="125">
        <v>4.5050469645493583E-3</v>
      </c>
      <c r="T90" s="44" t="s">
        <v>160</v>
      </c>
      <c r="U90" s="92" t="s">
        <v>161</v>
      </c>
      <c r="V90" s="44" t="s">
        <v>162</v>
      </c>
      <c r="W90" s="44" t="s">
        <v>163</v>
      </c>
      <c r="X90" s="92" t="s">
        <v>140</v>
      </c>
      <c r="Y90" s="96" t="s">
        <v>164</v>
      </c>
      <c r="Z90" s="44" t="s">
        <v>97</v>
      </c>
      <c r="AA90" s="91" t="s">
        <v>165</v>
      </c>
    </row>
    <row r="91" spans="1:27" x14ac:dyDescent="0.2">
      <c r="A91" s="96" t="s">
        <v>361</v>
      </c>
      <c r="B91" s="44" t="s">
        <v>362</v>
      </c>
      <c r="C91" s="91">
        <v>270282622</v>
      </c>
      <c r="D91" s="139">
        <v>0.01</v>
      </c>
      <c r="E91" s="44" t="s">
        <v>99</v>
      </c>
      <c r="F91" s="122">
        <v>0.74</v>
      </c>
      <c r="G91" s="123">
        <v>2</v>
      </c>
      <c r="H91" s="44" t="s">
        <v>209</v>
      </c>
      <c r="I91" s="93" t="s">
        <v>129</v>
      </c>
      <c r="J91" s="44" t="s">
        <v>182</v>
      </c>
      <c r="K91" s="44" t="s">
        <v>363</v>
      </c>
      <c r="L91" s="93" t="s">
        <v>364</v>
      </c>
      <c r="M91" s="124">
        <v>10000</v>
      </c>
      <c r="N91" s="44" t="s">
        <v>133</v>
      </c>
      <c r="O91" s="92" t="s">
        <v>102</v>
      </c>
      <c r="P91" s="110">
        <v>101.55</v>
      </c>
      <c r="Q91" s="44" t="s">
        <v>134</v>
      </c>
      <c r="R91" s="92" t="s">
        <v>135</v>
      </c>
      <c r="S91" s="125">
        <v>1.3445120343270009E-2</v>
      </c>
      <c r="T91" s="44" t="s">
        <v>136</v>
      </c>
      <c r="U91" s="92" t="s">
        <v>137</v>
      </c>
      <c r="V91" s="44" t="s">
        <v>138</v>
      </c>
      <c r="W91" s="44" t="s">
        <v>139</v>
      </c>
      <c r="X91" s="92" t="s">
        <v>140</v>
      </c>
      <c r="Y91" s="96" t="s">
        <v>141</v>
      </c>
      <c r="Z91" s="44" t="s">
        <v>97</v>
      </c>
      <c r="AA91" s="91" t="s">
        <v>142</v>
      </c>
    </row>
    <row r="92" spans="1:27" x14ac:dyDescent="0.2">
      <c r="A92" s="96" t="s">
        <v>365</v>
      </c>
      <c r="B92" s="44" t="s">
        <v>362</v>
      </c>
      <c r="C92" s="91">
        <v>55642093</v>
      </c>
      <c r="D92" s="139">
        <v>0</v>
      </c>
      <c r="E92" s="44" t="s">
        <v>99</v>
      </c>
      <c r="F92" s="122">
        <v>2.38</v>
      </c>
      <c r="G92" s="123">
        <v>1.93</v>
      </c>
      <c r="H92" s="44" t="s">
        <v>209</v>
      </c>
      <c r="I92" s="93" t="s">
        <v>129</v>
      </c>
      <c r="J92" s="44" t="s">
        <v>182</v>
      </c>
      <c r="K92" s="44" t="s">
        <v>363</v>
      </c>
      <c r="L92" s="93" t="s">
        <v>364</v>
      </c>
      <c r="M92" s="124">
        <v>2000</v>
      </c>
      <c r="N92" s="44" t="s">
        <v>133</v>
      </c>
      <c r="O92" s="92" t="s">
        <v>102</v>
      </c>
      <c r="P92" s="110">
        <v>103.78</v>
      </c>
      <c r="Q92" s="44" t="s">
        <v>134</v>
      </c>
      <c r="R92" s="92" t="s">
        <v>135</v>
      </c>
      <c r="S92" s="125">
        <v>2.7678976583867154E-3</v>
      </c>
      <c r="T92" s="44" t="s">
        <v>136</v>
      </c>
      <c r="U92" s="92" t="s">
        <v>137</v>
      </c>
      <c r="V92" s="44" t="s">
        <v>138</v>
      </c>
      <c r="W92" s="44" t="s">
        <v>139</v>
      </c>
      <c r="X92" s="92" t="s">
        <v>140</v>
      </c>
      <c r="Y92" s="96" t="s">
        <v>141</v>
      </c>
      <c r="Z92" s="44" t="s">
        <v>97</v>
      </c>
      <c r="AA92" s="91" t="s">
        <v>142</v>
      </c>
    </row>
    <row r="93" spans="1:27" x14ac:dyDescent="0.2">
      <c r="A93" s="96" t="s">
        <v>366</v>
      </c>
      <c r="B93" s="44" t="s">
        <v>362</v>
      </c>
      <c r="C93" s="91">
        <v>83839236</v>
      </c>
      <c r="D93" s="139">
        <v>0</v>
      </c>
      <c r="E93" s="44" t="s">
        <v>100</v>
      </c>
      <c r="F93" s="122">
        <v>1.58</v>
      </c>
      <c r="G93" s="123">
        <v>4.5199999999999996</v>
      </c>
      <c r="H93" s="44" t="s">
        <v>209</v>
      </c>
      <c r="I93" s="93" t="s">
        <v>129</v>
      </c>
      <c r="J93" s="44" t="s">
        <v>182</v>
      </c>
      <c r="K93" s="44" t="s">
        <v>363</v>
      </c>
      <c r="L93" s="93" t="s">
        <v>364</v>
      </c>
      <c r="M93" s="124">
        <v>80000000</v>
      </c>
      <c r="N93" s="44" t="s">
        <v>133</v>
      </c>
      <c r="O93" s="92" t="s">
        <v>102</v>
      </c>
      <c r="P93" s="110">
        <v>102.7</v>
      </c>
      <c r="Q93" s="44" t="s">
        <v>134</v>
      </c>
      <c r="R93" s="92" t="s">
        <v>135</v>
      </c>
      <c r="S93" s="125">
        <v>4.1705552845636342E-3</v>
      </c>
      <c r="T93" s="44" t="s">
        <v>136</v>
      </c>
      <c r="U93" s="92" t="s">
        <v>177</v>
      </c>
      <c r="V93" s="44" t="s">
        <v>138</v>
      </c>
      <c r="W93" s="44" t="s">
        <v>178</v>
      </c>
      <c r="X93" s="92" t="s">
        <v>179</v>
      </c>
      <c r="Y93" s="96" t="s">
        <v>141</v>
      </c>
      <c r="Z93" s="44" t="s">
        <v>97</v>
      </c>
      <c r="AA93" s="91" t="s">
        <v>142</v>
      </c>
    </row>
    <row r="94" spans="1:27" x14ac:dyDescent="0.2">
      <c r="A94" s="97" t="s">
        <v>367</v>
      </c>
      <c r="B94" s="41" t="s">
        <v>362</v>
      </c>
      <c r="C94" s="94">
        <v>27039261</v>
      </c>
      <c r="D94" s="140">
        <v>0</v>
      </c>
      <c r="E94" s="41" t="s">
        <v>99</v>
      </c>
      <c r="F94" s="126">
        <v>0.66</v>
      </c>
      <c r="G94" s="127">
        <v>2.35</v>
      </c>
      <c r="H94" s="41" t="s">
        <v>209</v>
      </c>
      <c r="I94" s="95" t="s">
        <v>129</v>
      </c>
      <c r="J94" s="41" t="s">
        <v>182</v>
      </c>
      <c r="K94" s="41" t="s">
        <v>363</v>
      </c>
      <c r="L94" s="95" t="s">
        <v>364</v>
      </c>
      <c r="M94" s="128">
        <v>1000</v>
      </c>
      <c r="N94" s="41" t="s">
        <v>133</v>
      </c>
      <c r="O94" s="42" t="s">
        <v>102</v>
      </c>
      <c r="P94" s="52">
        <v>101.22</v>
      </c>
      <c r="Q94" s="41" t="s">
        <v>134</v>
      </c>
      <c r="R94" s="42" t="s">
        <v>135</v>
      </c>
      <c r="S94" s="129">
        <v>1.3450591660239531E-3</v>
      </c>
      <c r="T94" s="41" t="s">
        <v>136</v>
      </c>
      <c r="U94" s="42" t="s">
        <v>137</v>
      </c>
      <c r="V94" s="41" t="s">
        <v>138</v>
      </c>
      <c r="W94" s="41" t="s">
        <v>139</v>
      </c>
      <c r="X94" s="42" t="s">
        <v>140</v>
      </c>
      <c r="Y94" s="97" t="s">
        <v>141</v>
      </c>
      <c r="Z94" s="41" t="s">
        <v>97</v>
      </c>
      <c r="AA94" s="94" t="s">
        <v>142</v>
      </c>
    </row>
    <row r="95" spans="1:27" x14ac:dyDescent="0.2">
      <c r="A95" s="96" t="s">
        <v>368</v>
      </c>
      <c r="B95" s="44" t="s">
        <v>362</v>
      </c>
      <c r="C95" s="91">
        <v>397761692</v>
      </c>
      <c r="D95" s="139">
        <v>0.02</v>
      </c>
      <c r="E95" s="44" t="s">
        <v>100</v>
      </c>
      <c r="F95" s="122">
        <v>2.75</v>
      </c>
      <c r="G95" s="123">
        <v>4.5</v>
      </c>
      <c r="H95" s="44" t="s">
        <v>209</v>
      </c>
      <c r="I95" s="93" t="s">
        <v>129</v>
      </c>
      <c r="J95" s="44" t="s">
        <v>182</v>
      </c>
      <c r="K95" s="44" t="s">
        <v>363</v>
      </c>
      <c r="L95" s="93" t="s">
        <v>364</v>
      </c>
      <c r="M95" s="124">
        <v>380000000</v>
      </c>
      <c r="N95" s="44" t="s">
        <v>133</v>
      </c>
      <c r="O95" s="92" t="s">
        <v>102</v>
      </c>
      <c r="P95" s="110">
        <v>102.03</v>
      </c>
      <c r="Q95" s="44" t="s">
        <v>134</v>
      </c>
      <c r="R95" s="92" t="s">
        <v>135</v>
      </c>
      <c r="S95" s="125">
        <v>1.9786524850579183E-2</v>
      </c>
      <c r="T95" s="44" t="s">
        <v>136</v>
      </c>
      <c r="U95" s="92" t="s">
        <v>177</v>
      </c>
      <c r="V95" s="44" t="s">
        <v>138</v>
      </c>
      <c r="W95" s="44" t="s">
        <v>178</v>
      </c>
      <c r="X95" s="92" t="s">
        <v>179</v>
      </c>
      <c r="Y95" s="96" t="s">
        <v>141</v>
      </c>
      <c r="Z95" s="44" t="s">
        <v>97</v>
      </c>
      <c r="AA95" s="91" t="s">
        <v>142</v>
      </c>
    </row>
    <row r="96" spans="1:27" x14ac:dyDescent="0.2">
      <c r="A96" s="97" t="s">
        <v>369</v>
      </c>
      <c r="B96" s="41" t="s">
        <v>362</v>
      </c>
      <c r="C96" s="94">
        <v>107332980</v>
      </c>
      <c r="D96" s="140">
        <v>0.01</v>
      </c>
      <c r="E96" s="41" t="s">
        <v>99</v>
      </c>
      <c r="F96" s="126">
        <v>3.05</v>
      </c>
      <c r="G96" s="127">
        <v>1.9</v>
      </c>
      <c r="H96" s="41" t="s">
        <v>209</v>
      </c>
      <c r="I96" s="95" t="s">
        <v>129</v>
      </c>
      <c r="J96" s="41" t="s">
        <v>182</v>
      </c>
      <c r="K96" s="41" t="s">
        <v>363</v>
      </c>
      <c r="L96" s="95" t="s">
        <v>364</v>
      </c>
      <c r="M96" s="128">
        <v>4000</v>
      </c>
      <c r="N96" s="41" t="s">
        <v>133</v>
      </c>
      <c r="O96" s="42" t="s">
        <v>102</v>
      </c>
      <c r="P96" s="52">
        <v>101.09</v>
      </c>
      <c r="Q96" s="41" t="s">
        <v>134</v>
      </c>
      <c r="R96" s="42" t="s">
        <v>135</v>
      </c>
      <c r="S96" s="129">
        <v>5.3392438708167967E-3</v>
      </c>
      <c r="T96" s="41" t="s">
        <v>136</v>
      </c>
      <c r="U96" s="42" t="s">
        <v>137</v>
      </c>
      <c r="V96" s="41" t="s">
        <v>138</v>
      </c>
      <c r="W96" s="41" t="s">
        <v>139</v>
      </c>
      <c r="X96" s="42" t="s">
        <v>140</v>
      </c>
      <c r="Y96" s="97" t="s">
        <v>141</v>
      </c>
      <c r="Z96" s="41" t="s">
        <v>97</v>
      </c>
      <c r="AA96" s="94" t="s">
        <v>142</v>
      </c>
    </row>
    <row r="97" spans="1:27" x14ac:dyDescent="0.2">
      <c r="A97" s="96" t="s">
        <v>370</v>
      </c>
      <c r="B97" s="44" t="s">
        <v>362</v>
      </c>
      <c r="C97" s="91">
        <v>53660938</v>
      </c>
      <c r="D97" s="139">
        <v>0</v>
      </c>
      <c r="E97" s="44" t="s">
        <v>99</v>
      </c>
      <c r="F97" s="122">
        <v>3.52</v>
      </c>
      <c r="G97" s="123">
        <v>1.95</v>
      </c>
      <c r="H97" s="44" t="s">
        <v>209</v>
      </c>
      <c r="I97" s="93" t="s">
        <v>129</v>
      </c>
      <c r="J97" s="44" t="s">
        <v>182</v>
      </c>
      <c r="K97" s="44" t="s">
        <v>363</v>
      </c>
      <c r="L97" s="93" t="s">
        <v>364</v>
      </c>
      <c r="M97" s="124">
        <v>2000</v>
      </c>
      <c r="N97" s="44" t="s">
        <v>133</v>
      </c>
      <c r="O97" s="92" t="s">
        <v>102</v>
      </c>
      <c r="P97" s="110">
        <v>101.08</v>
      </c>
      <c r="Q97" s="44" t="s">
        <v>134</v>
      </c>
      <c r="R97" s="92" t="s">
        <v>135</v>
      </c>
      <c r="S97" s="125">
        <v>2.6693457529901815E-3</v>
      </c>
      <c r="T97" s="44" t="s">
        <v>136</v>
      </c>
      <c r="U97" s="92" t="s">
        <v>137</v>
      </c>
      <c r="V97" s="44" t="s">
        <v>138</v>
      </c>
      <c r="W97" s="44" t="s">
        <v>139</v>
      </c>
      <c r="X97" s="92" t="s">
        <v>140</v>
      </c>
      <c r="Y97" s="96" t="s">
        <v>141</v>
      </c>
      <c r="Z97" s="44" t="s">
        <v>97</v>
      </c>
      <c r="AA97" s="91" t="s">
        <v>142</v>
      </c>
    </row>
    <row r="98" spans="1:27" x14ac:dyDescent="0.2">
      <c r="A98" s="96" t="s">
        <v>371</v>
      </c>
      <c r="B98" s="44" t="s">
        <v>362</v>
      </c>
      <c r="C98" s="91">
        <v>27163564</v>
      </c>
      <c r="D98" s="139">
        <v>0</v>
      </c>
      <c r="E98" s="44" t="s">
        <v>99</v>
      </c>
      <c r="F98" s="122">
        <v>3.95</v>
      </c>
      <c r="G98" s="123">
        <v>1.94</v>
      </c>
      <c r="H98" s="44" t="s">
        <v>209</v>
      </c>
      <c r="I98" s="93" t="s">
        <v>129</v>
      </c>
      <c r="J98" s="44" t="s">
        <v>182</v>
      </c>
      <c r="K98" s="44" t="s">
        <v>363</v>
      </c>
      <c r="L98" s="93" t="s">
        <v>364</v>
      </c>
      <c r="M98" s="124">
        <v>1000</v>
      </c>
      <c r="N98" s="44" t="s">
        <v>133</v>
      </c>
      <c r="O98" s="92" t="s">
        <v>102</v>
      </c>
      <c r="P98" s="110">
        <v>102.25</v>
      </c>
      <c r="Q98" s="44" t="s">
        <v>134</v>
      </c>
      <c r="R98" s="92" t="s">
        <v>135</v>
      </c>
      <c r="S98" s="125">
        <v>1.3512425779712795E-3</v>
      </c>
      <c r="T98" s="44" t="s">
        <v>136</v>
      </c>
      <c r="U98" s="92" t="s">
        <v>137</v>
      </c>
      <c r="V98" s="44" t="s">
        <v>138</v>
      </c>
      <c r="W98" s="44" t="s">
        <v>139</v>
      </c>
      <c r="X98" s="92" t="s">
        <v>140</v>
      </c>
      <c r="Y98" s="96" t="s">
        <v>141</v>
      </c>
      <c r="Z98" s="44" t="s">
        <v>97</v>
      </c>
      <c r="AA98" s="91" t="s">
        <v>142</v>
      </c>
    </row>
    <row r="99" spans="1:27" x14ac:dyDescent="0.2">
      <c r="A99" s="97" t="s">
        <v>372</v>
      </c>
      <c r="B99" s="41" t="s">
        <v>362</v>
      </c>
      <c r="C99" s="94">
        <v>27152413</v>
      </c>
      <c r="D99" s="140">
        <v>0</v>
      </c>
      <c r="E99" s="41" t="s">
        <v>99</v>
      </c>
      <c r="F99" s="126">
        <v>2.4</v>
      </c>
      <c r="G99" s="127">
        <v>1.95</v>
      </c>
      <c r="H99" s="41" t="s">
        <v>209</v>
      </c>
      <c r="I99" s="95" t="s">
        <v>129</v>
      </c>
      <c r="J99" s="41" t="s">
        <v>182</v>
      </c>
      <c r="K99" s="41" t="s">
        <v>363</v>
      </c>
      <c r="L99" s="95" t="s">
        <v>364</v>
      </c>
      <c r="M99" s="128">
        <v>1000</v>
      </c>
      <c r="N99" s="41" t="s">
        <v>133</v>
      </c>
      <c r="O99" s="42" t="s">
        <v>102</v>
      </c>
      <c r="P99" s="52">
        <v>101.71</v>
      </c>
      <c r="Q99" s="41" t="s">
        <v>134</v>
      </c>
      <c r="R99" s="42" t="s">
        <v>135</v>
      </c>
      <c r="S99" s="129">
        <v>1.3506878751352689E-3</v>
      </c>
      <c r="T99" s="41" t="s">
        <v>136</v>
      </c>
      <c r="U99" s="42" t="s">
        <v>137</v>
      </c>
      <c r="V99" s="41" t="s">
        <v>138</v>
      </c>
      <c r="W99" s="41" t="s">
        <v>139</v>
      </c>
      <c r="X99" s="42" t="s">
        <v>140</v>
      </c>
      <c r="Y99" s="97" t="s">
        <v>141</v>
      </c>
      <c r="Z99" s="41" t="s">
        <v>97</v>
      </c>
      <c r="AA99" s="94" t="s">
        <v>142</v>
      </c>
    </row>
    <row r="100" spans="1:27" x14ac:dyDescent="0.2">
      <c r="A100" s="96" t="s">
        <v>373</v>
      </c>
      <c r="B100" s="44" t="s">
        <v>362</v>
      </c>
      <c r="C100" s="91">
        <v>10280718</v>
      </c>
      <c r="D100" s="139">
        <v>0</v>
      </c>
      <c r="E100" s="44" t="s">
        <v>100</v>
      </c>
      <c r="F100" s="122">
        <v>2.29</v>
      </c>
      <c r="G100" s="123">
        <v>4.51</v>
      </c>
      <c r="H100" s="44" t="s">
        <v>209</v>
      </c>
      <c r="I100" s="93" t="s">
        <v>129</v>
      </c>
      <c r="J100" s="44" t="s">
        <v>182</v>
      </c>
      <c r="K100" s="44" t="s">
        <v>363</v>
      </c>
      <c r="L100" s="93" t="s">
        <v>364</v>
      </c>
      <c r="M100" s="124">
        <v>10000000</v>
      </c>
      <c r="N100" s="44" t="s">
        <v>133</v>
      </c>
      <c r="O100" s="92" t="s">
        <v>102</v>
      </c>
      <c r="P100" s="110">
        <v>102.35</v>
      </c>
      <c r="Q100" s="44" t="s">
        <v>134</v>
      </c>
      <c r="R100" s="92" t="s">
        <v>135</v>
      </c>
      <c r="S100" s="125">
        <v>5.1141094348722933E-4</v>
      </c>
      <c r="T100" s="44" t="s">
        <v>136</v>
      </c>
      <c r="U100" s="92" t="s">
        <v>177</v>
      </c>
      <c r="V100" s="44" t="s">
        <v>138</v>
      </c>
      <c r="W100" s="44" t="s">
        <v>178</v>
      </c>
      <c r="X100" s="92" t="s">
        <v>179</v>
      </c>
      <c r="Y100" s="96" t="s">
        <v>141</v>
      </c>
      <c r="Z100" s="44" t="s">
        <v>97</v>
      </c>
      <c r="AA100" s="91" t="s">
        <v>142</v>
      </c>
    </row>
    <row r="101" spans="1:27" x14ac:dyDescent="0.2">
      <c r="A101" s="96" t="s">
        <v>374</v>
      </c>
      <c r="B101" s="44" t="s">
        <v>362</v>
      </c>
      <c r="C101" s="91">
        <v>27280493</v>
      </c>
      <c r="D101" s="139">
        <v>0</v>
      </c>
      <c r="E101" s="44" t="s">
        <v>99</v>
      </c>
      <c r="F101" s="122">
        <v>1.06</v>
      </c>
      <c r="G101" s="123">
        <v>1.97</v>
      </c>
      <c r="H101" s="44" t="s">
        <v>209</v>
      </c>
      <c r="I101" s="93" t="s">
        <v>129</v>
      </c>
      <c r="J101" s="44" t="s">
        <v>182</v>
      </c>
      <c r="K101" s="44" t="s">
        <v>363</v>
      </c>
      <c r="L101" s="93" t="s">
        <v>364</v>
      </c>
      <c r="M101" s="124">
        <v>1000</v>
      </c>
      <c r="N101" s="44" t="s">
        <v>133</v>
      </c>
      <c r="O101" s="92" t="s">
        <v>102</v>
      </c>
      <c r="P101" s="110">
        <v>101.93</v>
      </c>
      <c r="Q101" s="44" t="s">
        <v>134</v>
      </c>
      <c r="R101" s="92" t="s">
        <v>135</v>
      </c>
      <c r="S101" s="125">
        <v>1.3570591727082441E-3</v>
      </c>
      <c r="T101" s="44" t="s">
        <v>136</v>
      </c>
      <c r="U101" s="92" t="s">
        <v>137</v>
      </c>
      <c r="V101" s="44" t="s">
        <v>138</v>
      </c>
      <c r="W101" s="44" t="s">
        <v>139</v>
      </c>
      <c r="X101" s="92" t="s">
        <v>140</v>
      </c>
      <c r="Y101" s="96" t="s">
        <v>141</v>
      </c>
      <c r="Z101" s="44" t="s">
        <v>97</v>
      </c>
      <c r="AA101" s="91" t="s">
        <v>142</v>
      </c>
    </row>
    <row r="102" spans="1:27" x14ac:dyDescent="0.2">
      <c r="A102" s="97" t="s">
        <v>375</v>
      </c>
      <c r="B102" s="41" t="s">
        <v>376</v>
      </c>
      <c r="C102" s="94">
        <v>43216465</v>
      </c>
      <c r="D102" s="140">
        <v>0</v>
      </c>
      <c r="E102" s="41" t="s">
        <v>99</v>
      </c>
      <c r="F102" s="126">
        <v>6.05</v>
      </c>
      <c r="G102" s="127">
        <v>2.2200000000000002</v>
      </c>
      <c r="H102" s="41" t="s">
        <v>145</v>
      </c>
      <c r="I102" s="95" t="s">
        <v>129</v>
      </c>
      <c r="J102" s="41" t="s">
        <v>263</v>
      </c>
      <c r="K102" s="41" t="s">
        <v>377</v>
      </c>
      <c r="L102" s="95" t="s">
        <v>378</v>
      </c>
      <c r="M102" s="128">
        <v>1500</v>
      </c>
      <c r="N102" s="41" t="s">
        <v>133</v>
      </c>
      <c r="O102" s="42" t="s">
        <v>102</v>
      </c>
      <c r="P102" s="52">
        <v>108.42</v>
      </c>
      <c r="Q102" s="41" t="s">
        <v>134</v>
      </c>
      <c r="R102" s="42" t="s">
        <v>135</v>
      </c>
      <c r="S102" s="129">
        <v>2.1497888707610524E-3</v>
      </c>
      <c r="T102" s="41" t="s">
        <v>160</v>
      </c>
      <c r="U102" s="42" t="s">
        <v>161</v>
      </c>
      <c r="V102" s="41" t="s">
        <v>162</v>
      </c>
      <c r="W102" s="41" t="s">
        <v>163</v>
      </c>
      <c r="X102" s="42" t="s">
        <v>140</v>
      </c>
      <c r="Y102" s="97" t="s">
        <v>164</v>
      </c>
      <c r="Z102" s="41" t="s">
        <v>97</v>
      </c>
      <c r="AA102" s="94" t="s">
        <v>165</v>
      </c>
    </row>
    <row r="103" spans="1:27" x14ac:dyDescent="0.2">
      <c r="A103" s="97" t="s">
        <v>379</v>
      </c>
      <c r="B103" s="41" t="s">
        <v>376</v>
      </c>
      <c r="C103" s="94">
        <v>122346623</v>
      </c>
      <c r="D103" s="140">
        <v>0.01</v>
      </c>
      <c r="E103" s="41" t="s">
        <v>100</v>
      </c>
      <c r="F103" s="126">
        <v>4.21</v>
      </c>
      <c r="G103" s="127">
        <v>4.7699999999999996</v>
      </c>
      <c r="H103" s="41" t="s">
        <v>145</v>
      </c>
      <c r="I103" s="95" t="s">
        <v>129</v>
      </c>
      <c r="J103" s="41" t="s">
        <v>263</v>
      </c>
      <c r="K103" s="41" t="s">
        <v>377</v>
      </c>
      <c r="L103" s="95" t="s">
        <v>378</v>
      </c>
      <c r="M103" s="128">
        <v>120000000</v>
      </c>
      <c r="N103" s="41" t="s">
        <v>133</v>
      </c>
      <c r="O103" s="42" t="s">
        <v>102</v>
      </c>
      <c r="P103" s="52">
        <v>100.51</v>
      </c>
      <c r="Q103" s="41" t="s">
        <v>134</v>
      </c>
      <c r="R103" s="42" t="s">
        <v>135</v>
      </c>
      <c r="S103" s="129">
        <v>6.0860926154093853E-3</v>
      </c>
      <c r="T103" s="41" t="s">
        <v>136</v>
      </c>
      <c r="U103" s="42" t="s">
        <v>177</v>
      </c>
      <c r="V103" s="41" t="s">
        <v>138</v>
      </c>
      <c r="W103" s="41" t="s">
        <v>178</v>
      </c>
      <c r="X103" s="42" t="s">
        <v>179</v>
      </c>
      <c r="Y103" s="97" t="s">
        <v>141</v>
      </c>
      <c r="Z103" s="41" t="s">
        <v>97</v>
      </c>
      <c r="AA103" s="94" t="s">
        <v>142</v>
      </c>
    </row>
    <row r="104" spans="1:27" x14ac:dyDescent="0.2">
      <c r="A104" s="96" t="s">
        <v>446</v>
      </c>
      <c r="B104" s="44" t="s">
        <v>447</v>
      </c>
      <c r="C104" s="91">
        <v>18663083</v>
      </c>
      <c r="D104" s="139">
        <v>0</v>
      </c>
      <c r="E104" s="44" t="s">
        <v>100</v>
      </c>
      <c r="F104" s="122">
        <v>0</v>
      </c>
      <c r="G104" s="123">
        <v>0</v>
      </c>
      <c r="H104" s="44" t="s">
        <v>439</v>
      </c>
      <c r="I104" s="93" t="s">
        <v>440</v>
      </c>
      <c r="J104" s="44" t="s">
        <v>182</v>
      </c>
      <c r="K104" s="44" t="s">
        <v>448</v>
      </c>
      <c r="L104" s="93" t="s">
        <v>442</v>
      </c>
      <c r="M104" s="124">
        <v>12254.31</v>
      </c>
      <c r="N104" s="44" t="s">
        <v>133</v>
      </c>
      <c r="O104" s="92" t="s">
        <v>102</v>
      </c>
      <c r="P104" s="110">
        <v>1522.98</v>
      </c>
      <c r="Q104" s="44" t="s">
        <v>134</v>
      </c>
      <c r="R104" s="92" t="s">
        <v>385</v>
      </c>
      <c r="S104" s="125">
        <v>9.2838893989801786E-4</v>
      </c>
      <c r="T104" s="44" t="s">
        <v>136</v>
      </c>
      <c r="U104" s="92" t="s">
        <v>386</v>
      </c>
      <c r="V104" s="44" t="s">
        <v>387</v>
      </c>
      <c r="W104" s="44" t="s">
        <v>178</v>
      </c>
      <c r="X104" s="92" t="s">
        <v>443</v>
      </c>
      <c r="Y104" s="96" t="s">
        <v>444</v>
      </c>
      <c r="Z104" s="44" t="s">
        <v>98</v>
      </c>
      <c r="AA104" s="91" t="s">
        <v>98</v>
      </c>
    </row>
    <row r="105" spans="1:27" x14ac:dyDescent="0.2">
      <c r="A105" s="96"/>
      <c r="B105" s="44"/>
      <c r="C105" s="91"/>
      <c r="D105" s="139"/>
      <c r="E105" s="44"/>
      <c r="F105" s="122"/>
      <c r="G105" s="123"/>
      <c r="H105" s="44"/>
      <c r="I105" s="93"/>
      <c r="J105" s="44"/>
      <c r="K105" s="44"/>
      <c r="L105" s="93"/>
      <c r="M105" s="124"/>
      <c r="N105" s="44"/>
      <c r="O105" s="92"/>
      <c r="P105" s="110"/>
      <c r="Q105" s="44"/>
      <c r="R105" s="92"/>
      <c r="S105" s="125"/>
      <c r="T105" s="44"/>
      <c r="U105" s="92"/>
      <c r="V105" s="44"/>
      <c r="W105" s="44"/>
      <c r="X105" s="92"/>
      <c r="Y105" s="96"/>
      <c r="Z105" s="44"/>
      <c r="AA105" s="91"/>
    </row>
    <row r="106" spans="1:27" x14ac:dyDescent="0.2">
      <c r="A106" s="97"/>
      <c r="B106" s="41"/>
      <c r="C106" s="94"/>
      <c r="D106" s="140"/>
      <c r="E106" s="41"/>
      <c r="F106" s="126"/>
      <c r="G106" s="127"/>
      <c r="H106" s="41"/>
      <c r="I106" s="95"/>
      <c r="J106" s="41"/>
      <c r="K106" s="41"/>
      <c r="L106" s="95"/>
      <c r="M106" s="128"/>
      <c r="N106" s="41"/>
      <c r="O106" s="42"/>
      <c r="P106" s="52"/>
      <c r="Q106" s="41"/>
      <c r="R106" s="42"/>
      <c r="S106" s="129"/>
      <c r="T106" s="41"/>
      <c r="U106" s="42"/>
      <c r="V106" s="41"/>
      <c r="W106" s="41"/>
      <c r="X106" s="42"/>
      <c r="Y106" s="97"/>
      <c r="Z106" s="41"/>
      <c r="AA106" s="94"/>
    </row>
    <row r="107" spans="1:27" x14ac:dyDescent="0.2">
      <c r="A107" s="87"/>
      <c r="B107" s="87"/>
      <c r="C107" s="88"/>
      <c r="D107" s="138"/>
      <c r="E107" s="87"/>
      <c r="F107" s="118"/>
      <c r="G107" s="119"/>
      <c r="H107" s="87"/>
      <c r="I107" s="90"/>
      <c r="J107" s="87"/>
      <c r="K107" s="87"/>
      <c r="L107" s="90"/>
      <c r="M107" s="120"/>
      <c r="N107" s="87"/>
      <c r="O107" s="89"/>
      <c r="P107" s="130"/>
      <c r="Q107" s="87"/>
      <c r="R107" s="89"/>
      <c r="S107" s="121"/>
      <c r="T107" s="87"/>
      <c r="U107" s="89"/>
      <c r="V107" s="87"/>
      <c r="W107" s="87"/>
      <c r="X107" s="89"/>
      <c r="Y107" s="87"/>
      <c r="Z107" s="87"/>
      <c r="AA107" s="88"/>
    </row>
    <row r="108" spans="1:27" x14ac:dyDescent="0.2">
      <c r="A108" s="44"/>
      <c r="B108" s="44"/>
      <c r="C108" s="91"/>
      <c r="D108" s="139"/>
      <c r="E108" s="44"/>
      <c r="F108" s="122"/>
      <c r="G108" s="123"/>
      <c r="H108" s="44"/>
      <c r="I108" s="93"/>
      <c r="J108" s="44"/>
      <c r="K108" s="44"/>
      <c r="L108" s="93"/>
      <c r="M108" s="124"/>
      <c r="N108" s="44"/>
      <c r="O108" s="92"/>
      <c r="P108" s="110"/>
      <c r="Q108" s="44"/>
      <c r="R108" s="92"/>
      <c r="S108" s="125"/>
      <c r="T108" s="44"/>
      <c r="U108" s="92"/>
      <c r="V108" s="44"/>
      <c r="W108" s="44"/>
      <c r="X108" s="92"/>
      <c r="Y108" s="44"/>
      <c r="Z108" s="44"/>
      <c r="AA108" s="91"/>
    </row>
    <row r="109" spans="1:27" x14ac:dyDescent="0.2">
      <c r="A109" s="41"/>
      <c r="B109" s="41"/>
      <c r="C109" s="94"/>
      <c r="D109" s="140"/>
      <c r="E109" s="41"/>
      <c r="F109" s="126"/>
      <c r="G109" s="127"/>
      <c r="H109" s="41"/>
      <c r="I109" s="95"/>
      <c r="J109" s="41"/>
      <c r="K109" s="41"/>
      <c r="L109" s="95"/>
      <c r="M109" s="128"/>
      <c r="N109" s="41"/>
      <c r="O109" s="42"/>
      <c r="P109" s="52"/>
      <c r="Q109" s="41"/>
      <c r="R109" s="42"/>
      <c r="S109" s="129"/>
      <c r="T109" s="41"/>
      <c r="U109" s="42"/>
      <c r="V109" s="41"/>
      <c r="W109" s="41"/>
      <c r="X109" s="42"/>
      <c r="Y109" s="41"/>
      <c r="Z109" s="41"/>
      <c r="AA109" s="94"/>
    </row>
    <row r="110" spans="1:27" x14ac:dyDescent="0.2">
      <c r="A110" s="44"/>
      <c r="B110" s="44"/>
      <c r="C110" s="91"/>
      <c r="D110" s="139"/>
      <c r="E110" s="44"/>
      <c r="F110" s="122"/>
      <c r="G110" s="123"/>
      <c r="H110" s="44"/>
      <c r="I110" s="93"/>
      <c r="J110" s="44"/>
      <c r="K110" s="44"/>
      <c r="L110" s="93"/>
      <c r="M110" s="124"/>
      <c r="N110" s="44"/>
      <c r="O110" s="92"/>
      <c r="P110" s="110"/>
      <c r="Q110" s="44"/>
      <c r="R110" s="92"/>
      <c r="S110" s="125"/>
      <c r="T110" s="44"/>
      <c r="U110" s="92"/>
      <c r="V110" s="44"/>
      <c r="W110" s="44"/>
      <c r="X110" s="92"/>
      <c r="Y110" s="44"/>
      <c r="Z110" s="44"/>
      <c r="AA110" s="91"/>
    </row>
    <row r="111" spans="1:27" x14ac:dyDescent="0.2">
      <c r="A111" s="87"/>
      <c r="B111" s="87"/>
      <c r="C111" s="88"/>
      <c r="D111" s="138"/>
      <c r="E111" s="87"/>
      <c r="F111" s="118"/>
      <c r="G111" s="119"/>
      <c r="H111" s="87"/>
      <c r="I111" s="90"/>
      <c r="J111" s="87"/>
      <c r="K111" s="87"/>
      <c r="L111" s="90"/>
      <c r="M111" s="120"/>
      <c r="N111" s="87"/>
      <c r="O111" s="89"/>
      <c r="P111" s="87"/>
      <c r="Q111" s="87"/>
      <c r="R111" s="89"/>
      <c r="S111" s="121"/>
      <c r="T111" s="87"/>
      <c r="U111" s="89"/>
      <c r="V111" s="87"/>
      <c r="W111" s="87"/>
      <c r="X111" s="89"/>
      <c r="Y111" s="87"/>
      <c r="Z111" s="87"/>
      <c r="AA111" s="88"/>
    </row>
    <row r="112" spans="1:27" x14ac:dyDescent="0.2">
      <c r="A112" s="44"/>
      <c r="B112" s="44"/>
      <c r="C112" s="91"/>
      <c r="D112" s="139"/>
      <c r="E112" s="44"/>
      <c r="F112" s="122"/>
      <c r="G112" s="123"/>
      <c r="H112" s="44"/>
      <c r="I112" s="93"/>
      <c r="J112" s="44"/>
      <c r="K112" s="44"/>
      <c r="L112" s="93"/>
      <c r="M112" s="124"/>
      <c r="N112" s="44"/>
      <c r="O112" s="92"/>
      <c r="P112" s="110"/>
      <c r="Q112" s="44"/>
      <c r="R112" s="92"/>
      <c r="S112" s="125"/>
      <c r="T112" s="44"/>
      <c r="U112" s="92"/>
      <c r="V112" s="44"/>
      <c r="W112" s="44"/>
      <c r="X112" s="92"/>
      <c r="Y112" s="44"/>
      <c r="Z112" s="44"/>
      <c r="AA112" s="91"/>
    </row>
    <row r="113" spans="1:27" x14ac:dyDescent="0.2">
      <c r="A113" s="41"/>
      <c r="B113" s="41"/>
      <c r="C113" s="94"/>
      <c r="D113" s="140"/>
      <c r="E113" s="41"/>
      <c r="F113" s="126"/>
      <c r="G113" s="127"/>
      <c r="H113" s="41"/>
      <c r="I113" s="95"/>
      <c r="J113" s="41"/>
      <c r="K113" s="41"/>
      <c r="L113" s="95"/>
      <c r="M113" s="128"/>
      <c r="N113" s="41"/>
      <c r="O113" s="42"/>
      <c r="P113" s="52"/>
      <c r="Q113" s="41"/>
      <c r="R113" s="42"/>
      <c r="S113" s="129"/>
      <c r="T113" s="41"/>
      <c r="U113" s="42"/>
      <c r="V113" s="41"/>
      <c r="W113" s="41"/>
      <c r="X113" s="42"/>
      <c r="Y113" s="41"/>
      <c r="Z113" s="41"/>
      <c r="AA113" s="94"/>
    </row>
    <row r="114" spans="1:27" x14ac:dyDescent="0.2">
      <c r="A114" s="44"/>
      <c r="B114" s="44"/>
      <c r="C114" s="91"/>
      <c r="D114" s="139"/>
      <c r="E114" s="44"/>
      <c r="F114" s="122"/>
      <c r="G114" s="123"/>
      <c r="H114" s="44"/>
      <c r="I114" s="93"/>
      <c r="J114" s="44"/>
      <c r="K114" s="44"/>
      <c r="L114" s="93"/>
      <c r="M114" s="124"/>
      <c r="N114" s="44"/>
      <c r="O114" s="92"/>
      <c r="P114" s="110"/>
      <c r="Q114" s="44"/>
      <c r="R114" s="92"/>
      <c r="S114" s="125"/>
      <c r="T114" s="44"/>
      <c r="U114" s="92"/>
      <c r="V114" s="44"/>
      <c r="W114" s="44"/>
      <c r="X114" s="92"/>
      <c r="Y114" s="44"/>
      <c r="Z114" s="44"/>
      <c r="AA114" s="91"/>
    </row>
    <row r="115" spans="1:27" x14ac:dyDescent="0.2">
      <c r="A115" s="41"/>
      <c r="B115" s="41"/>
      <c r="C115" s="94"/>
      <c r="D115" s="140"/>
      <c r="E115" s="41"/>
      <c r="F115" s="126"/>
      <c r="G115" s="127"/>
      <c r="H115" s="41"/>
      <c r="I115" s="95"/>
      <c r="J115" s="41"/>
      <c r="K115" s="41"/>
      <c r="L115" s="95"/>
      <c r="M115" s="128"/>
      <c r="N115" s="41"/>
      <c r="O115" s="42"/>
      <c r="P115" s="52"/>
      <c r="Q115" s="41"/>
      <c r="R115" s="42"/>
      <c r="S115" s="129"/>
      <c r="T115" s="41"/>
      <c r="U115" s="42"/>
      <c r="V115" s="41"/>
      <c r="W115" s="41"/>
      <c r="X115" s="42"/>
      <c r="Y115" s="41"/>
      <c r="Z115" s="41"/>
      <c r="AA115" s="94"/>
    </row>
    <row r="116" spans="1:27" x14ac:dyDescent="0.2">
      <c r="A116" s="44"/>
      <c r="B116" s="44"/>
      <c r="C116" s="91"/>
      <c r="D116" s="139"/>
      <c r="E116" s="44"/>
      <c r="F116" s="122"/>
      <c r="G116" s="123"/>
      <c r="H116" s="44"/>
      <c r="I116" s="93"/>
      <c r="J116" s="44"/>
      <c r="K116" s="44"/>
      <c r="L116" s="93"/>
      <c r="M116" s="124"/>
      <c r="N116" s="44"/>
      <c r="O116" s="92"/>
      <c r="P116" s="110"/>
      <c r="Q116" s="44"/>
      <c r="R116" s="92"/>
      <c r="S116" s="125"/>
      <c r="T116" s="44"/>
      <c r="U116" s="92"/>
      <c r="V116" s="44"/>
      <c r="W116" s="44"/>
      <c r="X116" s="92"/>
      <c r="Y116" s="44"/>
      <c r="Z116" s="44"/>
      <c r="AA116" s="91"/>
    </row>
    <row r="117" spans="1:27" x14ac:dyDescent="0.2">
      <c r="A117" s="41"/>
      <c r="B117" s="41"/>
      <c r="C117" s="94"/>
      <c r="D117" s="140"/>
      <c r="E117" s="41"/>
      <c r="F117" s="126"/>
      <c r="G117" s="127"/>
      <c r="H117" s="41"/>
      <c r="I117" s="95"/>
      <c r="J117" s="41"/>
      <c r="K117" s="41"/>
      <c r="L117" s="95"/>
      <c r="M117" s="128"/>
      <c r="N117" s="41"/>
      <c r="O117" s="42"/>
      <c r="P117" s="52"/>
      <c r="Q117" s="41"/>
      <c r="R117" s="42"/>
      <c r="S117" s="129"/>
      <c r="T117" s="41"/>
      <c r="U117" s="42"/>
      <c r="V117" s="41"/>
      <c r="W117" s="41"/>
      <c r="X117" s="42"/>
      <c r="Y117" s="41"/>
      <c r="Z117" s="41"/>
      <c r="AA117" s="94"/>
    </row>
    <row r="118" spans="1:27" x14ac:dyDescent="0.2">
      <c r="A118" s="44"/>
      <c r="B118" s="44"/>
      <c r="C118" s="91"/>
      <c r="D118" s="139"/>
      <c r="E118" s="44"/>
      <c r="F118" s="122"/>
      <c r="G118" s="123"/>
      <c r="H118" s="44"/>
      <c r="I118" s="93"/>
      <c r="J118" s="44"/>
      <c r="K118" s="44"/>
      <c r="L118" s="93"/>
      <c r="M118" s="124"/>
      <c r="N118" s="44"/>
      <c r="O118" s="92"/>
      <c r="P118" s="110"/>
      <c r="Q118" s="44"/>
      <c r="R118" s="92"/>
      <c r="S118" s="125"/>
      <c r="T118" s="44"/>
      <c r="U118" s="92"/>
      <c r="V118" s="44"/>
      <c r="W118" s="44"/>
      <c r="X118" s="92"/>
      <c r="Y118" s="44"/>
      <c r="Z118" s="44"/>
      <c r="AA118" s="91"/>
    </row>
    <row r="119" spans="1:27" x14ac:dyDescent="0.2">
      <c r="A119" s="41"/>
      <c r="B119" s="41"/>
      <c r="C119" s="94"/>
      <c r="D119" s="140"/>
      <c r="E119" s="41"/>
      <c r="F119" s="126"/>
      <c r="G119" s="127"/>
      <c r="H119" s="41"/>
      <c r="I119" s="95"/>
      <c r="J119" s="41"/>
      <c r="K119" s="41"/>
      <c r="L119" s="95"/>
      <c r="M119" s="128"/>
      <c r="N119" s="41"/>
      <c r="O119" s="42"/>
      <c r="P119" s="52"/>
      <c r="Q119" s="41"/>
      <c r="R119" s="42"/>
      <c r="S119" s="129"/>
      <c r="T119" s="41"/>
      <c r="U119" s="42"/>
      <c r="V119" s="41"/>
      <c r="W119" s="41"/>
      <c r="X119" s="42"/>
      <c r="Y119" s="41"/>
      <c r="Z119" s="41"/>
      <c r="AA119" s="94"/>
    </row>
    <row r="120" spans="1:27" x14ac:dyDescent="0.2">
      <c r="A120" s="44"/>
      <c r="B120" s="44"/>
      <c r="C120" s="91"/>
      <c r="D120" s="139"/>
      <c r="E120" s="44"/>
      <c r="F120" s="122"/>
      <c r="G120" s="123"/>
      <c r="H120" s="44"/>
      <c r="I120" s="93"/>
      <c r="J120" s="44"/>
      <c r="K120" s="44"/>
      <c r="L120" s="93"/>
      <c r="M120" s="124"/>
      <c r="N120" s="44"/>
      <c r="O120" s="92"/>
      <c r="P120" s="110"/>
      <c r="Q120" s="44"/>
      <c r="R120" s="92"/>
      <c r="S120" s="125"/>
      <c r="T120" s="44"/>
      <c r="U120" s="92"/>
      <c r="V120" s="44"/>
      <c r="W120" s="44"/>
      <c r="X120" s="92"/>
      <c r="Y120" s="44"/>
      <c r="Z120" s="44"/>
      <c r="AA120" s="91"/>
    </row>
    <row r="121" spans="1:27" x14ac:dyDescent="0.2">
      <c r="A121" s="41"/>
      <c r="B121" s="41"/>
      <c r="C121" s="94"/>
      <c r="D121" s="140"/>
      <c r="E121" s="41"/>
      <c r="F121" s="126"/>
      <c r="G121" s="127"/>
      <c r="H121" s="41"/>
      <c r="I121" s="95"/>
      <c r="J121" s="41"/>
      <c r="K121" s="41"/>
      <c r="L121" s="95"/>
      <c r="M121" s="128"/>
      <c r="N121" s="41"/>
      <c r="O121" s="42"/>
      <c r="P121" s="52"/>
      <c r="Q121" s="41"/>
      <c r="R121" s="42"/>
      <c r="S121" s="129"/>
      <c r="T121" s="41"/>
      <c r="U121" s="42"/>
      <c r="V121" s="41"/>
      <c r="W121" s="41"/>
      <c r="X121" s="42"/>
      <c r="Y121" s="41"/>
      <c r="Z121" s="41"/>
      <c r="AA121" s="94"/>
    </row>
    <row r="122" spans="1:27" x14ac:dyDescent="0.2">
      <c r="A122" s="44"/>
      <c r="B122" s="44"/>
      <c r="C122" s="91"/>
      <c r="D122" s="139"/>
      <c r="E122" s="44"/>
      <c r="F122" s="122"/>
      <c r="G122" s="123"/>
      <c r="H122" s="44"/>
      <c r="I122" s="93"/>
      <c r="J122" s="44"/>
      <c r="K122" s="44"/>
      <c r="L122" s="93"/>
      <c r="M122" s="124"/>
      <c r="N122" s="44"/>
      <c r="O122" s="92"/>
      <c r="P122" s="110"/>
      <c r="Q122" s="44"/>
      <c r="R122" s="92"/>
      <c r="S122" s="125"/>
      <c r="T122" s="44"/>
      <c r="U122" s="92"/>
      <c r="V122" s="44"/>
      <c r="W122" s="44"/>
      <c r="X122" s="92"/>
      <c r="Y122" s="44"/>
      <c r="Z122" s="44"/>
      <c r="AA122" s="91"/>
    </row>
    <row r="123" spans="1:27" x14ac:dyDescent="0.2">
      <c r="A123" s="41"/>
      <c r="B123" s="41"/>
      <c r="C123" s="94"/>
      <c r="D123" s="140"/>
      <c r="E123" s="41"/>
      <c r="F123" s="126"/>
      <c r="G123" s="127"/>
      <c r="H123" s="41"/>
      <c r="I123" s="95"/>
      <c r="J123" s="41"/>
      <c r="K123" s="41"/>
      <c r="L123" s="95"/>
      <c r="M123" s="128"/>
      <c r="N123" s="41"/>
      <c r="O123" s="42"/>
      <c r="P123" s="52"/>
      <c r="Q123" s="41"/>
      <c r="R123" s="42"/>
      <c r="S123" s="129"/>
      <c r="T123" s="41"/>
      <c r="U123" s="42"/>
      <c r="V123" s="41"/>
      <c r="W123" s="41"/>
      <c r="X123" s="42"/>
      <c r="Y123" s="41"/>
      <c r="Z123" s="41"/>
      <c r="AA123" s="94"/>
    </row>
    <row r="124" spans="1:27" x14ac:dyDescent="0.2">
      <c r="A124" s="44"/>
      <c r="B124" s="44"/>
      <c r="C124" s="91"/>
      <c r="D124" s="139"/>
      <c r="E124" s="44"/>
      <c r="F124" s="122"/>
      <c r="G124" s="123"/>
      <c r="H124" s="44"/>
      <c r="I124" s="93"/>
      <c r="J124" s="44"/>
      <c r="K124" s="44"/>
      <c r="L124" s="93"/>
      <c r="M124" s="124"/>
      <c r="N124" s="44"/>
      <c r="O124" s="92"/>
      <c r="P124" s="110"/>
      <c r="Q124" s="44"/>
      <c r="R124" s="92"/>
      <c r="S124" s="125"/>
      <c r="T124" s="44"/>
      <c r="U124" s="92"/>
      <c r="V124" s="44"/>
      <c r="W124" s="44"/>
      <c r="X124" s="92"/>
      <c r="Y124" s="44"/>
      <c r="Z124" s="44"/>
      <c r="AA124" s="91"/>
    </row>
    <row r="125" spans="1:27" x14ac:dyDescent="0.2">
      <c r="A125" s="41"/>
      <c r="B125" s="41"/>
      <c r="C125" s="94"/>
      <c r="D125" s="140"/>
      <c r="E125" s="41"/>
      <c r="F125" s="126"/>
      <c r="G125" s="127"/>
      <c r="H125" s="41"/>
      <c r="I125" s="95"/>
      <c r="J125" s="41"/>
      <c r="K125" s="41"/>
      <c r="L125" s="95"/>
      <c r="M125" s="128"/>
      <c r="N125" s="41"/>
      <c r="O125" s="42"/>
      <c r="P125" s="52"/>
      <c r="Q125" s="41"/>
      <c r="R125" s="42"/>
      <c r="S125" s="129"/>
      <c r="T125" s="41"/>
      <c r="U125" s="42"/>
      <c r="V125" s="41"/>
      <c r="W125" s="41"/>
      <c r="X125" s="42"/>
      <c r="Y125" s="41"/>
      <c r="Z125" s="41"/>
      <c r="AA125" s="94"/>
    </row>
    <row r="126" spans="1:27" x14ac:dyDescent="0.2">
      <c r="A126" s="44"/>
      <c r="B126" s="44"/>
      <c r="C126" s="91"/>
      <c r="D126" s="139"/>
      <c r="E126" s="44"/>
      <c r="F126" s="122"/>
      <c r="G126" s="123"/>
      <c r="H126" s="44"/>
      <c r="I126" s="93"/>
      <c r="J126" s="44"/>
      <c r="K126" s="44"/>
      <c r="L126" s="93"/>
      <c r="M126" s="124"/>
      <c r="N126" s="44"/>
      <c r="O126" s="92"/>
      <c r="P126" s="110"/>
      <c r="Q126" s="44"/>
      <c r="R126" s="92"/>
      <c r="S126" s="125"/>
      <c r="T126" s="44"/>
      <c r="U126" s="92"/>
      <c r="V126" s="44"/>
      <c r="W126" s="44"/>
      <c r="X126" s="92"/>
      <c r="Y126" s="44"/>
      <c r="Z126" s="44"/>
      <c r="AA126" s="91"/>
    </row>
    <row r="127" spans="1:27" x14ac:dyDescent="0.2">
      <c r="A127" s="41"/>
      <c r="B127" s="41"/>
      <c r="C127" s="94"/>
      <c r="D127" s="140"/>
      <c r="E127" s="41"/>
      <c r="F127" s="126"/>
      <c r="G127" s="127"/>
      <c r="H127" s="41"/>
      <c r="I127" s="95"/>
      <c r="J127" s="41"/>
      <c r="K127" s="41"/>
      <c r="L127" s="95"/>
      <c r="M127" s="128"/>
      <c r="N127" s="41"/>
      <c r="O127" s="42"/>
      <c r="P127" s="52"/>
      <c r="Q127" s="41"/>
      <c r="R127" s="42"/>
      <c r="S127" s="129"/>
      <c r="T127" s="41"/>
      <c r="U127" s="42"/>
      <c r="V127" s="41"/>
      <c r="W127" s="41"/>
      <c r="X127" s="42"/>
      <c r="Y127" s="41"/>
      <c r="Z127" s="41"/>
      <c r="AA127" s="94"/>
    </row>
    <row r="128" spans="1:27" x14ac:dyDescent="0.2">
      <c r="A128" s="44"/>
      <c r="B128" s="44"/>
      <c r="C128" s="91"/>
      <c r="D128" s="139"/>
      <c r="E128" s="44"/>
      <c r="F128" s="122"/>
      <c r="G128" s="123"/>
      <c r="H128" s="44"/>
      <c r="I128" s="93"/>
      <c r="J128" s="44"/>
      <c r="K128" s="44"/>
      <c r="L128" s="93"/>
      <c r="M128" s="124"/>
      <c r="N128" s="44"/>
      <c r="O128" s="92"/>
      <c r="P128" s="110"/>
      <c r="Q128" s="44"/>
      <c r="R128" s="92"/>
      <c r="S128" s="125"/>
      <c r="T128" s="44"/>
      <c r="U128" s="92"/>
      <c r="V128" s="44"/>
      <c r="W128" s="44"/>
      <c r="X128" s="92"/>
      <c r="Y128" s="44"/>
      <c r="Z128" s="44"/>
      <c r="AA128" s="91"/>
    </row>
    <row r="129" spans="1:27" x14ac:dyDescent="0.2">
      <c r="A129" s="41"/>
      <c r="B129" s="41"/>
      <c r="C129" s="94"/>
      <c r="D129" s="140"/>
      <c r="E129" s="41"/>
      <c r="F129" s="127"/>
      <c r="G129" s="127"/>
      <c r="H129" s="41"/>
      <c r="I129" s="95"/>
      <c r="J129" s="41"/>
      <c r="K129" s="41"/>
      <c r="L129" s="95"/>
      <c r="M129" s="128"/>
      <c r="N129" s="41"/>
      <c r="O129" s="42"/>
      <c r="P129" s="52"/>
      <c r="Q129" s="41"/>
      <c r="R129" s="42"/>
      <c r="S129" s="129"/>
      <c r="T129" s="41"/>
      <c r="U129" s="42"/>
      <c r="V129" s="41"/>
      <c r="W129" s="41"/>
      <c r="X129" s="42"/>
      <c r="Y129" s="41"/>
      <c r="Z129" s="41"/>
      <c r="AA129" s="94"/>
    </row>
    <row r="130" spans="1:27" x14ac:dyDescent="0.2">
      <c r="A130" s="44"/>
      <c r="B130" s="44"/>
      <c r="C130" s="91"/>
      <c r="D130" s="139"/>
      <c r="E130" s="44"/>
      <c r="F130" s="122"/>
      <c r="G130" s="123"/>
      <c r="H130" s="44"/>
      <c r="I130" s="93"/>
      <c r="J130" s="44"/>
      <c r="K130" s="44"/>
      <c r="L130" s="93"/>
      <c r="M130" s="124"/>
      <c r="N130" s="44"/>
      <c r="O130" s="92"/>
      <c r="P130" s="110"/>
      <c r="Q130" s="44"/>
      <c r="R130" s="92"/>
      <c r="S130" s="125"/>
      <c r="T130" s="44"/>
      <c r="U130" s="92"/>
      <c r="V130" s="44"/>
      <c r="W130" s="44"/>
      <c r="X130" s="92"/>
      <c r="Y130" s="44"/>
      <c r="Z130" s="44"/>
      <c r="AA130" s="91"/>
    </row>
    <row r="131" spans="1:27" x14ac:dyDescent="0.2">
      <c r="A131" s="41"/>
      <c r="B131" s="41"/>
      <c r="C131" s="94"/>
      <c r="D131" s="140"/>
      <c r="E131" s="41"/>
      <c r="F131" s="126"/>
      <c r="G131" s="127"/>
      <c r="H131" s="41"/>
      <c r="I131" s="95"/>
      <c r="J131" s="41"/>
      <c r="K131" s="41"/>
      <c r="L131" s="95"/>
      <c r="M131" s="128"/>
      <c r="N131" s="41"/>
      <c r="O131" s="42"/>
      <c r="P131" s="52"/>
      <c r="Q131" s="41"/>
      <c r="R131" s="42"/>
      <c r="S131" s="129"/>
      <c r="T131" s="41"/>
      <c r="U131" s="42"/>
      <c r="V131" s="41"/>
      <c r="W131" s="41"/>
      <c r="X131" s="42"/>
      <c r="Y131" s="41"/>
      <c r="Z131" s="41"/>
      <c r="AA131" s="94"/>
    </row>
    <row r="132" spans="1:27" x14ac:dyDescent="0.2">
      <c r="A132" s="44"/>
      <c r="B132" s="44"/>
      <c r="C132" s="91"/>
      <c r="D132" s="139"/>
      <c r="E132" s="44"/>
      <c r="F132" s="122"/>
      <c r="G132" s="123"/>
      <c r="H132" s="44"/>
      <c r="I132" s="93"/>
      <c r="J132" s="44"/>
      <c r="K132" s="44"/>
      <c r="L132" s="93"/>
      <c r="M132" s="124"/>
      <c r="N132" s="44"/>
      <c r="O132" s="92"/>
      <c r="P132" s="110"/>
      <c r="Q132" s="44"/>
      <c r="R132" s="92"/>
      <c r="S132" s="125"/>
      <c r="T132" s="44"/>
      <c r="U132" s="92"/>
      <c r="V132" s="44"/>
      <c r="W132" s="44"/>
      <c r="X132" s="92"/>
      <c r="Y132" s="44"/>
      <c r="Z132" s="44"/>
      <c r="AA132" s="91"/>
    </row>
    <row r="133" spans="1:27" x14ac:dyDescent="0.2">
      <c r="A133" s="41"/>
      <c r="B133" s="41"/>
      <c r="C133" s="94"/>
      <c r="D133" s="140"/>
      <c r="E133" s="41"/>
      <c r="F133" s="126"/>
      <c r="G133" s="127"/>
      <c r="H133" s="41"/>
      <c r="I133" s="95"/>
      <c r="J133" s="41"/>
      <c r="K133" s="41"/>
      <c r="L133" s="95"/>
      <c r="M133" s="128"/>
      <c r="N133" s="41"/>
      <c r="O133" s="42"/>
      <c r="P133" s="52"/>
      <c r="Q133" s="41"/>
      <c r="R133" s="42"/>
      <c r="S133" s="129"/>
      <c r="T133" s="41"/>
      <c r="U133" s="42"/>
      <c r="V133" s="41"/>
      <c r="W133" s="41"/>
      <c r="X133" s="42"/>
      <c r="Y133" s="41"/>
      <c r="Z133" s="41"/>
      <c r="AA133" s="94"/>
    </row>
    <row r="134" spans="1:27" x14ac:dyDescent="0.2">
      <c r="A134" s="44"/>
      <c r="B134" s="44"/>
      <c r="C134" s="91"/>
      <c r="D134" s="139"/>
      <c r="E134" s="44"/>
      <c r="F134" s="122"/>
      <c r="G134" s="123"/>
      <c r="H134" s="44"/>
      <c r="I134" s="93"/>
      <c r="J134" s="44"/>
      <c r="K134" s="44"/>
      <c r="L134" s="93"/>
      <c r="M134" s="124"/>
      <c r="N134" s="44"/>
      <c r="O134" s="92"/>
      <c r="P134" s="110"/>
      <c r="Q134" s="44"/>
      <c r="R134" s="92"/>
      <c r="S134" s="125"/>
      <c r="T134" s="44"/>
      <c r="U134" s="92"/>
      <c r="V134" s="44"/>
      <c r="W134" s="44"/>
      <c r="X134" s="92"/>
      <c r="Y134" s="44"/>
      <c r="Z134" s="44"/>
      <c r="AA134" s="91"/>
    </row>
    <row r="135" spans="1:27" x14ac:dyDescent="0.2">
      <c r="A135" s="41"/>
      <c r="B135" s="41"/>
      <c r="C135" s="94"/>
      <c r="D135" s="140"/>
      <c r="E135" s="41"/>
      <c r="F135" s="126"/>
      <c r="G135" s="127"/>
      <c r="H135" s="41"/>
      <c r="I135" s="95"/>
      <c r="J135" s="41"/>
      <c r="K135" s="41"/>
      <c r="L135" s="95"/>
      <c r="M135" s="128"/>
      <c r="N135" s="41"/>
      <c r="O135" s="42"/>
      <c r="P135" s="52"/>
      <c r="Q135" s="41"/>
      <c r="R135" s="42"/>
      <c r="S135" s="129"/>
      <c r="T135" s="41"/>
      <c r="U135" s="42"/>
      <c r="V135" s="41"/>
      <c r="W135" s="41"/>
      <c r="X135" s="42"/>
      <c r="Y135" s="41"/>
      <c r="Z135" s="41"/>
      <c r="AA135" s="94"/>
    </row>
    <row r="136" spans="1:27" x14ac:dyDescent="0.2">
      <c r="A136" s="44"/>
      <c r="B136" s="44"/>
      <c r="C136" s="91"/>
      <c r="D136" s="139"/>
      <c r="E136" s="44"/>
      <c r="F136" s="122"/>
      <c r="G136" s="123"/>
      <c r="H136" s="44"/>
      <c r="I136" s="93"/>
      <c r="J136" s="44"/>
      <c r="K136" s="44"/>
      <c r="L136" s="93"/>
      <c r="M136" s="124"/>
      <c r="N136" s="44"/>
      <c r="O136" s="92"/>
      <c r="P136" s="110"/>
      <c r="Q136" s="44"/>
      <c r="R136" s="92"/>
      <c r="S136" s="125"/>
      <c r="T136" s="44"/>
      <c r="U136" s="92"/>
      <c r="V136" s="44"/>
      <c r="W136" s="44"/>
      <c r="X136" s="92"/>
      <c r="Y136" s="44"/>
      <c r="Z136" s="44"/>
      <c r="AA136" s="91"/>
    </row>
    <row r="137" spans="1:27" x14ac:dyDescent="0.2">
      <c r="A137" s="96"/>
      <c r="B137" s="44"/>
      <c r="C137" s="91"/>
      <c r="D137" s="139"/>
      <c r="E137" s="44"/>
      <c r="F137" s="122"/>
      <c r="G137" s="123"/>
      <c r="H137" s="44"/>
      <c r="I137" s="93"/>
      <c r="J137" s="44"/>
      <c r="K137" s="44"/>
      <c r="L137" s="93"/>
      <c r="M137" s="124"/>
      <c r="N137" s="44"/>
      <c r="O137" s="92"/>
      <c r="P137" s="110"/>
      <c r="Q137" s="44"/>
      <c r="R137" s="92"/>
      <c r="S137" s="125"/>
      <c r="T137" s="44"/>
      <c r="U137" s="92"/>
      <c r="V137" s="44"/>
      <c r="W137" s="44"/>
      <c r="X137" s="92"/>
      <c r="Y137" s="96"/>
      <c r="Z137" s="44"/>
      <c r="AA137" s="91"/>
    </row>
    <row r="138" spans="1:27" x14ac:dyDescent="0.2">
      <c r="A138" s="97"/>
      <c r="B138" s="41"/>
      <c r="C138" s="94"/>
      <c r="D138" s="140"/>
      <c r="E138" s="41"/>
      <c r="F138" s="126"/>
      <c r="G138" s="127"/>
      <c r="H138" s="41"/>
      <c r="I138" s="95"/>
      <c r="J138" s="41"/>
      <c r="K138" s="41"/>
      <c r="L138" s="95"/>
      <c r="M138" s="128"/>
      <c r="N138" s="41"/>
      <c r="O138" s="42"/>
      <c r="P138" s="52"/>
      <c r="Q138" s="41"/>
      <c r="R138" s="42"/>
      <c r="S138" s="129"/>
      <c r="T138" s="41"/>
      <c r="U138" s="42"/>
      <c r="V138" s="41"/>
      <c r="W138" s="41"/>
      <c r="X138" s="42"/>
      <c r="Y138" s="97"/>
      <c r="Z138" s="41"/>
      <c r="AA138" s="94"/>
    </row>
    <row r="139" spans="1:27" x14ac:dyDescent="0.2">
      <c r="A139" s="96"/>
      <c r="B139" s="44"/>
      <c r="C139" s="91"/>
      <c r="D139" s="139"/>
      <c r="E139" s="44"/>
      <c r="F139" s="122"/>
      <c r="G139" s="123"/>
      <c r="H139" s="44"/>
      <c r="I139" s="93"/>
      <c r="J139" s="44"/>
      <c r="K139" s="44"/>
      <c r="L139" s="93"/>
      <c r="M139" s="124"/>
      <c r="N139" s="44"/>
      <c r="O139" s="92"/>
      <c r="P139" s="110"/>
      <c r="Q139" s="44"/>
      <c r="R139" s="92"/>
      <c r="S139" s="125"/>
      <c r="T139" s="44"/>
      <c r="U139" s="92"/>
      <c r="V139" s="44"/>
      <c r="W139" s="44"/>
      <c r="X139" s="92"/>
      <c r="Y139" s="96"/>
      <c r="Z139" s="44"/>
      <c r="AA139" s="91"/>
    </row>
    <row r="140" spans="1:27" x14ac:dyDescent="0.2">
      <c r="A140" s="97"/>
      <c r="B140" s="41"/>
      <c r="C140" s="94"/>
      <c r="D140" s="140"/>
      <c r="E140" s="41"/>
      <c r="F140" s="126"/>
      <c r="G140" s="127"/>
      <c r="H140" s="41"/>
      <c r="I140" s="95"/>
      <c r="J140" s="41"/>
      <c r="K140" s="41"/>
      <c r="L140" s="95"/>
      <c r="M140" s="128"/>
      <c r="N140" s="41"/>
      <c r="O140" s="42"/>
      <c r="P140" s="52"/>
      <c r="Q140" s="41"/>
      <c r="R140" s="42"/>
      <c r="S140" s="129"/>
      <c r="T140" s="41"/>
      <c r="U140" s="42"/>
      <c r="V140" s="41"/>
      <c r="W140" s="41"/>
      <c r="X140" s="42"/>
      <c r="Y140" s="97"/>
      <c r="Z140" s="41"/>
      <c r="AA140" s="94"/>
    </row>
    <row r="141" spans="1:27" x14ac:dyDescent="0.2">
      <c r="A141" s="97"/>
      <c r="B141" s="41"/>
      <c r="C141" s="94"/>
      <c r="D141" s="140"/>
      <c r="E141" s="41"/>
      <c r="F141" s="126"/>
      <c r="G141" s="127"/>
      <c r="H141" s="41"/>
      <c r="I141" s="95"/>
      <c r="J141" s="41"/>
      <c r="K141" s="41"/>
      <c r="L141" s="95"/>
      <c r="M141" s="128"/>
      <c r="N141" s="41"/>
      <c r="O141" s="42"/>
      <c r="P141" s="52"/>
      <c r="Q141" s="41"/>
      <c r="R141" s="42"/>
      <c r="S141" s="129"/>
      <c r="T141" s="41"/>
      <c r="U141" s="42"/>
      <c r="V141" s="41"/>
      <c r="W141" s="41"/>
      <c r="X141" s="42"/>
      <c r="Y141" s="97"/>
      <c r="Z141" s="41"/>
      <c r="AA141" s="94"/>
    </row>
    <row r="142" spans="1:27" x14ac:dyDescent="0.2">
      <c r="A142" s="97"/>
      <c r="B142" s="41"/>
      <c r="C142" s="94"/>
      <c r="D142" s="140"/>
      <c r="E142" s="41"/>
      <c r="F142" s="126"/>
      <c r="G142" s="127"/>
      <c r="H142" s="41"/>
      <c r="I142" s="95"/>
      <c r="J142" s="41"/>
      <c r="K142" s="41"/>
      <c r="L142" s="95"/>
      <c r="M142" s="128"/>
      <c r="N142" s="41"/>
      <c r="O142" s="42"/>
      <c r="P142" s="52"/>
      <c r="Q142" s="41"/>
      <c r="R142" s="42"/>
      <c r="S142" s="129"/>
      <c r="T142" s="41"/>
      <c r="U142" s="42"/>
      <c r="V142" s="41"/>
      <c r="W142" s="41"/>
      <c r="X142" s="42"/>
      <c r="Y142" s="97"/>
      <c r="Z142" s="41"/>
      <c r="AA142" s="94"/>
    </row>
    <row r="143" spans="1:27" x14ac:dyDescent="0.2">
      <c r="A143" s="97"/>
      <c r="B143" s="41"/>
      <c r="C143" s="94"/>
      <c r="D143" s="140"/>
      <c r="E143" s="41"/>
      <c r="F143" s="126"/>
      <c r="G143" s="127"/>
      <c r="H143" s="41"/>
      <c r="I143" s="95"/>
      <c r="J143" s="41"/>
      <c r="K143" s="41"/>
      <c r="L143" s="95"/>
      <c r="M143" s="128"/>
      <c r="N143" s="41"/>
      <c r="O143" s="42"/>
      <c r="P143" s="52"/>
      <c r="Q143" s="41"/>
      <c r="R143" s="42"/>
      <c r="S143" s="129"/>
      <c r="T143" s="41"/>
      <c r="U143" s="42"/>
      <c r="V143" s="41"/>
      <c r="W143" s="41"/>
      <c r="X143" s="42"/>
      <c r="Y143" s="97"/>
      <c r="Z143" s="41"/>
      <c r="AA143" s="94"/>
    </row>
    <row r="144" spans="1:27" x14ac:dyDescent="0.2">
      <c r="A144" s="96"/>
      <c r="B144" s="44"/>
      <c r="C144" s="91"/>
      <c r="D144" s="139"/>
      <c r="E144" s="44"/>
      <c r="F144" s="122"/>
      <c r="G144" s="123"/>
      <c r="H144" s="44"/>
      <c r="I144" s="93"/>
      <c r="J144" s="44"/>
      <c r="K144" s="44"/>
      <c r="L144" s="93"/>
      <c r="M144" s="124"/>
      <c r="N144" s="44"/>
      <c r="O144" s="92"/>
      <c r="P144" s="110"/>
      <c r="Q144" s="44"/>
      <c r="R144" s="92"/>
      <c r="S144" s="125"/>
      <c r="T144" s="44"/>
      <c r="U144" s="92"/>
      <c r="V144" s="44"/>
      <c r="W144" s="44"/>
      <c r="X144" s="92"/>
      <c r="Y144" s="96"/>
      <c r="Z144" s="44"/>
      <c r="AA144" s="91"/>
    </row>
    <row r="145" spans="1:27" x14ac:dyDescent="0.2">
      <c r="A145" s="96"/>
      <c r="B145" s="44"/>
      <c r="C145" s="91"/>
      <c r="D145" s="139"/>
      <c r="E145" s="44"/>
      <c r="F145" s="122"/>
      <c r="G145" s="123"/>
      <c r="H145" s="44"/>
      <c r="I145" s="93"/>
      <c r="J145" s="44"/>
      <c r="K145" s="44"/>
      <c r="L145" s="93"/>
      <c r="M145" s="124"/>
      <c r="N145" s="44"/>
      <c r="O145" s="92"/>
      <c r="P145" s="110"/>
      <c r="Q145" s="44"/>
      <c r="R145" s="92"/>
      <c r="S145" s="125"/>
      <c r="T145" s="44"/>
      <c r="U145" s="92"/>
      <c r="V145" s="44"/>
      <c r="W145" s="44"/>
      <c r="X145" s="92"/>
      <c r="Y145" s="96"/>
      <c r="Z145" s="44"/>
      <c r="AA145" s="91"/>
    </row>
    <row r="146" spans="1:27" x14ac:dyDescent="0.2">
      <c r="A146" s="96"/>
      <c r="B146" s="44"/>
      <c r="C146" s="91"/>
      <c r="D146" s="139"/>
      <c r="E146" s="44"/>
      <c r="F146" s="122"/>
      <c r="G146" s="123"/>
      <c r="H146" s="44"/>
      <c r="I146" s="93"/>
      <c r="J146" s="44"/>
      <c r="K146" s="44"/>
      <c r="L146" s="93"/>
      <c r="M146" s="124"/>
      <c r="N146" s="44"/>
      <c r="O146" s="92"/>
      <c r="P146" s="110"/>
      <c r="Q146" s="44"/>
      <c r="R146" s="92"/>
      <c r="S146" s="125"/>
      <c r="T146" s="44"/>
      <c r="U146" s="92"/>
      <c r="V146" s="44"/>
      <c r="W146" s="44"/>
      <c r="X146" s="92"/>
      <c r="Y146" s="96"/>
      <c r="Z146" s="44"/>
      <c r="AA146" s="91"/>
    </row>
    <row r="147" spans="1:27" x14ac:dyDescent="0.2">
      <c r="A147" s="96"/>
      <c r="B147" s="44"/>
      <c r="C147" s="91"/>
      <c r="D147" s="139"/>
      <c r="E147" s="44"/>
      <c r="F147" s="122"/>
      <c r="G147" s="123"/>
      <c r="H147" s="44"/>
      <c r="I147" s="93"/>
      <c r="J147" s="44"/>
      <c r="K147" s="44"/>
      <c r="L147" s="93"/>
      <c r="M147" s="124"/>
      <c r="N147" s="44"/>
      <c r="O147" s="92"/>
      <c r="P147" s="110"/>
      <c r="Q147" s="44"/>
      <c r="R147" s="92"/>
      <c r="S147" s="125"/>
      <c r="T147" s="44"/>
      <c r="U147" s="92"/>
      <c r="V147" s="44"/>
      <c r="W147" s="44"/>
      <c r="X147" s="92"/>
      <c r="Y147" s="96"/>
      <c r="Z147" s="44"/>
      <c r="AA147" s="91"/>
    </row>
    <row r="148" spans="1:27" x14ac:dyDescent="0.2">
      <c r="A148" s="96"/>
      <c r="B148" s="44"/>
      <c r="C148" s="91"/>
      <c r="D148" s="139"/>
      <c r="E148" s="44"/>
      <c r="F148" s="122"/>
      <c r="G148" s="123"/>
      <c r="H148" s="44"/>
      <c r="I148" s="93"/>
      <c r="J148" s="44"/>
      <c r="K148" s="44"/>
      <c r="L148" s="93"/>
      <c r="M148" s="124"/>
      <c r="N148" s="44"/>
      <c r="O148" s="92"/>
      <c r="P148" s="110"/>
      <c r="Q148" s="44"/>
      <c r="R148" s="92"/>
      <c r="S148" s="125"/>
      <c r="T148" s="44"/>
      <c r="U148" s="92"/>
      <c r="V148" s="44"/>
      <c r="W148" s="44"/>
      <c r="X148" s="92"/>
      <c r="Y148" s="96"/>
      <c r="Z148" s="44"/>
      <c r="AA148" s="91"/>
    </row>
    <row r="149" spans="1:27" x14ac:dyDescent="0.2">
      <c r="A149" s="97"/>
      <c r="B149" s="41"/>
      <c r="C149" s="94"/>
      <c r="D149" s="140"/>
      <c r="E149" s="41"/>
      <c r="F149" s="126"/>
      <c r="G149" s="127"/>
      <c r="H149" s="41"/>
      <c r="I149" s="95"/>
      <c r="J149" s="41"/>
      <c r="K149" s="41"/>
      <c r="L149" s="95"/>
      <c r="M149" s="128"/>
      <c r="N149" s="41"/>
      <c r="O149" s="42"/>
      <c r="P149" s="52"/>
      <c r="Q149" s="41"/>
      <c r="R149" s="42"/>
      <c r="S149" s="129"/>
      <c r="T149" s="41"/>
      <c r="U149" s="42"/>
      <c r="V149" s="41"/>
      <c r="W149" s="41"/>
      <c r="X149" s="42"/>
      <c r="Y149" s="97"/>
      <c r="Z149" s="41"/>
      <c r="AA149" s="94"/>
    </row>
    <row r="150" spans="1:27" x14ac:dyDescent="0.2">
      <c r="A150" s="96"/>
      <c r="B150" s="44"/>
      <c r="C150" s="91"/>
      <c r="D150" s="139"/>
      <c r="E150" s="44"/>
      <c r="F150" s="122"/>
      <c r="G150" s="123"/>
      <c r="H150" s="44"/>
      <c r="I150" s="93"/>
      <c r="J150" s="44"/>
      <c r="K150" s="44"/>
      <c r="L150" s="93"/>
      <c r="M150" s="124"/>
      <c r="N150" s="44"/>
      <c r="O150" s="92"/>
      <c r="P150" s="110"/>
      <c r="Q150" s="44"/>
      <c r="R150" s="92"/>
      <c r="S150" s="125"/>
      <c r="T150" s="44"/>
      <c r="U150" s="92"/>
      <c r="V150" s="44"/>
      <c r="W150" s="44"/>
      <c r="X150" s="92"/>
      <c r="Y150" s="96"/>
      <c r="Z150" s="44"/>
      <c r="AA150" s="91"/>
    </row>
    <row r="151" spans="1:27" x14ac:dyDescent="0.2">
      <c r="A151" s="97"/>
      <c r="B151" s="41"/>
      <c r="C151" s="94"/>
      <c r="D151" s="140"/>
      <c r="E151" s="41"/>
      <c r="F151" s="126"/>
      <c r="G151" s="127"/>
      <c r="H151" s="41"/>
      <c r="I151" s="95"/>
      <c r="J151" s="41"/>
      <c r="K151" s="41"/>
      <c r="L151" s="95"/>
      <c r="M151" s="128"/>
      <c r="N151" s="41"/>
      <c r="O151" s="42"/>
      <c r="P151" s="52"/>
      <c r="Q151" s="41"/>
      <c r="R151" s="42"/>
      <c r="S151" s="129"/>
      <c r="T151" s="41"/>
      <c r="U151" s="42"/>
      <c r="V151" s="41"/>
      <c r="W151" s="41"/>
      <c r="X151" s="42"/>
      <c r="Y151" s="97"/>
      <c r="Z151" s="41"/>
      <c r="AA151" s="94"/>
    </row>
    <row r="152" spans="1:27" x14ac:dyDescent="0.2">
      <c r="A152" s="96"/>
      <c r="B152" s="44"/>
      <c r="C152" s="91"/>
      <c r="D152" s="139"/>
      <c r="E152" s="44"/>
      <c r="F152" s="122"/>
      <c r="G152" s="123"/>
      <c r="H152" s="44"/>
      <c r="I152" s="93"/>
      <c r="J152" s="44"/>
      <c r="K152" s="44"/>
      <c r="L152" s="93"/>
      <c r="M152" s="124"/>
      <c r="N152" s="44"/>
      <c r="O152" s="92"/>
      <c r="P152" s="110"/>
      <c r="Q152" s="44"/>
      <c r="R152" s="92"/>
      <c r="S152" s="125"/>
      <c r="T152" s="44"/>
      <c r="U152" s="92"/>
      <c r="V152" s="44"/>
      <c r="W152" s="44"/>
      <c r="X152" s="92"/>
      <c r="Y152" s="96"/>
      <c r="Z152" s="44"/>
      <c r="AA152" s="91"/>
    </row>
    <row r="153" spans="1:27" x14ac:dyDescent="0.2">
      <c r="A153" s="96"/>
      <c r="B153" s="44"/>
      <c r="C153" s="91"/>
      <c r="D153" s="139"/>
      <c r="E153" s="44"/>
      <c r="F153" s="122"/>
      <c r="G153" s="123"/>
      <c r="H153" s="44"/>
      <c r="I153" s="93"/>
      <c r="J153" s="44"/>
      <c r="K153" s="44"/>
      <c r="L153" s="93"/>
      <c r="M153" s="124"/>
      <c r="N153" s="44"/>
      <c r="O153" s="92"/>
      <c r="P153" s="110"/>
      <c r="Q153" s="44"/>
      <c r="R153" s="92"/>
      <c r="S153" s="125"/>
      <c r="T153" s="44"/>
      <c r="U153" s="92"/>
      <c r="V153" s="44"/>
      <c r="W153" s="44"/>
      <c r="X153" s="92"/>
      <c r="Y153" s="96"/>
      <c r="Z153" s="44"/>
      <c r="AA153" s="91"/>
    </row>
    <row r="154" spans="1:27" x14ac:dyDescent="0.2">
      <c r="A154" s="97"/>
      <c r="B154" s="41"/>
      <c r="C154" s="94"/>
      <c r="D154" s="140"/>
      <c r="E154" s="41"/>
      <c r="F154" s="126"/>
      <c r="G154" s="127"/>
      <c r="H154" s="41"/>
      <c r="I154" s="95"/>
      <c r="J154" s="41"/>
      <c r="K154" s="41"/>
      <c r="L154" s="95"/>
      <c r="M154" s="128"/>
      <c r="N154" s="41"/>
      <c r="O154" s="42"/>
      <c r="P154" s="52"/>
      <c r="Q154" s="41"/>
      <c r="R154" s="42"/>
      <c r="S154" s="129"/>
      <c r="T154" s="41"/>
      <c r="U154" s="42"/>
      <c r="V154" s="41"/>
      <c r="W154" s="41"/>
      <c r="X154" s="42"/>
      <c r="Y154" s="97"/>
      <c r="Z154" s="41"/>
      <c r="AA154" s="94"/>
    </row>
    <row r="155" spans="1:27" x14ac:dyDescent="0.2">
      <c r="A155" s="96"/>
      <c r="B155" s="44"/>
      <c r="C155" s="91"/>
      <c r="D155" s="139"/>
      <c r="E155" s="44"/>
      <c r="F155" s="122"/>
      <c r="G155" s="123"/>
      <c r="H155" s="44"/>
      <c r="I155" s="93"/>
      <c r="J155" s="44"/>
      <c r="K155" s="44"/>
      <c r="L155" s="93"/>
      <c r="M155" s="124"/>
      <c r="N155" s="44"/>
      <c r="O155" s="92"/>
      <c r="P155" s="110"/>
      <c r="Q155" s="44"/>
      <c r="R155" s="92"/>
      <c r="S155" s="125"/>
      <c r="T155" s="44"/>
      <c r="U155" s="92"/>
      <c r="V155" s="44"/>
      <c r="W155" s="44"/>
      <c r="X155" s="92"/>
      <c r="Y155" s="96"/>
      <c r="Z155" s="44"/>
      <c r="AA155" s="91"/>
    </row>
    <row r="156" spans="1:27" x14ac:dyDescent="0.2">
      <c r="A156" s="96"/>
      <c r="B156" s="44"/>
      <c r="C156" s="91"/>
      <c r="D156" s="139"/>
      <c r="E156" s="44"/>
      <c r="F156" s="122"/>
      <c r="G156" s="123"/>
      <c r="H156" s="44"/>
      <c r="I156" s="93"/>
      <c r="J156" s="44"/>
      <c r="K156" s="44"/>
      <c r="L156" s="93"/>
      <c r="M156" s="124"/>
      <c r="N156" s="44"/>
      <c r="O156" s="92"/>
      <c r="P156" s="110"/>
      <c r="Q156" s="44"/>
      <c r="R156" s="92"/>
      <c r="S156" s="125"/>
      <c r="T156" s="44"/>
      <c r="U156" s="92"/>
      <c r="V156" s="44"/>
      <c r="W156" s="44"/>
      <c r="X156" s="92"/>
      <c r="Y156" s="96"/>
      <c r="Z156" s="44"/>
      <c r="AA156" s="91"/>
    </row>
    <row r="157" spans="1:27" x14ac:dyDescent="0.2">
      <c r="A157" s="97"/>
      <c r="B157" s="41"/>
      <c r="C157" s="94"/>
      <c r="D157" s="140"/>
      <c r="E157" s="41"/>
      <c r="F157" s="126"/>
      <c r="G157" s="127"/>
      <c r="H157" s="41"/>
      <c r="I157" s="95"/>
      <c r="J157" s="41"/>
      <c r="K157" s="41"/>
      <c r="L157" s="95"/>
      <c r="M157" s="128"/>
      <c r="N157" s="41"/>
      <c r="O157" s="42"/>
      <c r="P157" s="52"/>
      <c r="Q157" s="41"/>
      <c r="R157" s="42"/>
      <c r="S157" s="129"/>
      <c r="T157" s="41"/>
      <c r="U157" s="42"/>
      <c r="V157" s="41"/>
      <c r="W157" s="41"/>
      <c r="X157" s="42"/>
      <c r="Y157" s="97"/>
      <c r="Z157" s="41"/>
      <c r="AA157" s="94"/>
    </row>
    <row r="158" spans="1:27" x14ac:dyDescent="0.2">
      <c r="A158" s="97"/>
      <c r="B158" s="41"/>
      <c r="C158" s="94"/>
      <c r="D158" s="140"/>
      <c r="E158" s="41"/>
      <c r="F158" s="126"/>
      <c r="G158" s="127"/>
      <c r="H158" s="41"/>
      <c r="I158" s="95"/>
      <c r="J158" s="41"/>
      <c r="K158" s="41"/>
      <c r="L158" s="95"/>
      <c r="M158" s="128"/>
      <c r="N158" s="41"/>
      <c r="O158" s="42"/>
      <c r="P158" s="52"/>
      <c r="Q158" s="41"/>
      <c r="R158" s="42"/>
      <c r="S158" s="129"/>
      <c r="T158" s="41"/>
      <c r="U158" s="42"/>
      <c r="V158" s="41"/>
      <c r="W158" s="41"/>
      <c r="X158" s="42"/>
      <c r="Y158" s="97"/>
      <c r="Z158" s="41"/>
      <c r="AA158" s="94"/>
    </row>
    <row r="159" spans="1:27" x14ac:dyDescent="0.2">
      <c r="A159" s="96"/>
      <c r="B159" s="44"/>
      <c r="C159" s="91"/>
      <c r="D159" s="139"/>
      <c r="E159" s="44"/>
      <c r="F159" s="122"/>
      <c r="G159" s="123"/>
      <c r="H159" s="44"/>
      <c r="I159" s="93"/>
      <c r="J159" s="44"/>
      <c r="K159" s="44"/>
      <c r="L159" s="93"/>
      <c r="M159" s="124"/>
      <c r="N159" s="44"/>
      <c r="O159" s="92"/>
      <c r="P159" s="110"/>
      <c r="Q159" s="44"/>
      <c r="R159" s="92"/>
      <c r="S159" s="125"/>
      <c r="T159" s="44"/>
      <c r="U159" s="92"/>
      <c r="V159" s="44"/>
      <c r="W159" s="44"/>
      <c r="X159" s="92"/>
      <c r="Y159" s="96"/>
      <c r="Z159" s="44"/>
      <c r="AA159" s="91"/>
    </row>
    <row r="160" spans="1:27" x14ac:dyDescent="0.2">
      <c r="A160" s="96"/>
      <c r="B160" s="44"/>
      <c r="C160" s="91"/>
      <c r="D160" s="139"/>
      <c r="E160" s="44"/>
      <c r="F160" s="122"/>
      <c r="G160" s="123"/>
      <c r="H160" s="44"/>
      <c r="I160" s="93"/>
      <c r="J160" s="44"/>
      <c r="K160" s="44"/>
      <c r="L160" s="93"/>
      <c r="M160" s="124"/>
      <c r="N160" s="44"/>
      <c r="O160" s="92"/>
      <c r="P160" s="110"/>
      <c r="Q160" s="44"/>
      <c r="R160" s="92"/>
      <c r="S160" s="125"/>
      <c r="T160" s="44"/>
      <c r="U160" s="92"/>
      <c r="V160" s="44"/>
      <c r="W160" s="44"/>
      <c r="X160" s="92"/>
      <c r="Y160" s="96"/>
      <c r="Z160" s="44"/>
      <c r="AA160" s="91"/>
    </row>
    <row r="161" spans="1:27" x14ac:dyDescent="0.2">
      <c r="A161" s="97"/>
      <c r="B161" s="41"/>
      <c r="C161" s="94"/>
      <c r="D161" s="140"/>
      <c r="E161" s="41"/>
      <c r="F161" s="126"/>
      <c r="G161" s="127"/>
      <c r="H161" s="41"/>
      <c r="I161" s="95"/>
      <c r="J161" s="41"/>
      <c r="K161" s="41"/>
      <c r="L161" s="95"/>
      <c r="M161" s="128"/>
      <c r="N161" s="41"/>
      <c r="O161" s="42"/>
      <c r="P161" s="52"/>
      <c r="Q161" s="41"/>
      <c r="R161" s="42"/>
      <c r="S161" s="129"/>
      <c r="T161" s="41"/>
      <c r="U161" s="42"/>
      <c r="V161" s="41"/>
      <c r="W161" s="41"/>
      <c r="X161" s="42"/>
      <c r="Y161" s="97"/>
      <c r="Z161" s="41"/>
      <c r="AA161" s="94"/>
    </row>
    <row r="162" spans="1:27" x14ac:dyDescent="0.2">
      <c r="A162" s="87"/>
      <c r="B162" s="87"/>
      <c r="C162" s="88"/>
      <c r="D162" s="138"/>
      <c r="E162" s="87"/>
      <c r="F162" s="118"/>
      <c r="G162" s="119"/>
      <c r="H162" s="87"/>
      <c r="I162" s="90"/>
      <c r="J162" s="87"/>
      <c r="K162" s="87"/>
      <c r="L162" s="90"/>
      <c r="M162" s="120"/>
      <c r="N162" s="87"/>
      <c r="O162" s="89"/>
      <c r="P162" s="130"/>
      <c r="Q162" s="87"/>
      <c r="R162" s="89"/>
      <c r="S162" s="121"/>
      <c r="T162" s="87"/>
      <c r="U162" s="89"/>
      <c r="V162" s="87"/>
      <c r="W162" s="87"/>
      <c r="X162" s="89"/>
      <c r="Y162" s="87"/>
      <c r="Z162" s="87"/>
      <c r="AA162" s="88"/>
    </row>
    <row r="163" spans="1:27" x14ac:dyDescent="0.2">
      <c r="A163" s="44"/>
      <c r="B163" s="44"/>
      <c r="C163" s="91"/>
      <c r="D163" s="139"/>
      <c r="E163" s="44"/>
      <c r="F163" s="122"/>
      <c r="G163" s="123"/>
      <c r="H163" s="44"/>
      <c r="I163" s="93"/>
      <c r="J163" s="44"/>
      <c r="K163" s="44"/>
      <c r="L163" s="93"/>
      <c r="M163" s="124"/>
      <c r="N163" s="44"/>
      <c r="O163" s="92"/>
      <c r="P163" s="110"/>
      <c r="Q163" s="44"/>
      <c r="R163" s="92"/>
      <c r="S163" s="125"/>
      <c r="T163" s="44"/>
      <c r="U163" s="92"/>
      <c r="V163" s="44"/>
      <c r="W163" s="44"/>
      <c r="X163" s="92"/>
      <c r="Y163" s="44"/>
      <c r="Z163" s="44"/>
      <c r="AA163" s="91"/>
    </row>
    <row r="164" spans="1:27" x14ac:dyDescent="0.2">
      <c r="A164" s="41"/>
      <c r="B164" s="41"/>
      <c r="C164" s="94"/>
      <c r="D164" s="140"/>
      <c r="E164" s="41"/>
      <c r="F164" s="126"/>
      <c r="G164" s="127"/>
      <c r="H164" s="41"/>
      <c r="I164" s="95"/>
      <c r="J164" s="41"/>
      <c r="K164" s="41"/>
      <c r="L164" s="95"/>
      <c r="M164" s="128"/>
      <c r="N164" s="41"/>
      <c r="O164" s="42"/>
      <c r="P164" s="52"/>
      <c r="Q164" s="41"/>
      <c r="R164" s="42"/>
      <c r="S164" s="129"/>
      <c r="T164" s="41"/>
      <c r="U164" s="42"/>
      <c r="V164" s="41"/>
      <c r="W164" s="41"/>
      <c r="X164" s="42"/>
      <c r="Y164" s="41"/>
      <c r="Z164" s="41"/>
      <c r="AA164" s="94"/>
    </row>
    <row r="165" spans="1:27" x14ac:dyDescent="0.2">
      <c r="A165" s="44"/>
      <c r="B165" s="44"/>
      <c r="C165" s="91"/>
      <c r="D165" s="139"/>
      <c r="E165" s="44"/>
      <c r="F165" s="122"/>
      <c r="G165" s="123"/>
      <c r="H165" s="44"/>
      <c r="I165" s="93"/>
      <c r="J165" s="44"/>
      <c r="K165" s="44"/>
      <c r="L165" s="93"/>
      <c r="M165" s="124"/>
      <c r="N165" s="44"/>
      <c r="O165" s="92"/>
      <c r="P165" s="110"/>
      <c r="Q165" s="44"/>
      <c r="R165" s="92"/>
      <c r="S165" s="125"/>
      <c r="T165" s="44"/>
      <c r="U165" s="92"/>
      <c r="V165" s="44"/>
      <c r="W165" s="44"/>
      <c r="X165" s="92"/>
      <c r="Y165" s="44"/>
      <c r="Z165" s="44"/>
      <c r="AA165" s="91"/>
    </row>
    <row r="166" spans="1:27" x14ac:dyDescent="0.2">
      <c r="A166" s="87"/>
      <c r="B166" s="87"/>
      <c r="C166" s="88"/>
      <c r="D166" s="138"/>
      <c r="E166" s="87"/>
      <c r="F166" s="118"/>
      <c r="G166" s="119"/>
      <c r="H166" s="87"/>
      <c r="I166" s="90"/>
      <c r="J166" s="87"/>
      <c r="K166" s="87"/>
      <c r="L166" s="90"/>
      <c r="M166" s="120"/>
      <c r="N166" s="87"/>
      <c r="O166" s="89"/>
      <c r="P166" s="87"/>
      <c r="Q166" s="87"/>
      <c r="R166" s="89"/>
      <c r="S166" s="121"/>
      <c r="T166" s="87"/>
      <c r="U166" s="89"/>
      <c r="V166" s="87"/>
      <c r="W166" s="87"/>
      <c r="X166" s="89"/>
      <c r="Y166" s="87"/>
      <c r="Z166" s="87"/>
      <c r="AA166" s="88"/>
    </row>
    <row r="167" spans="1:27" x14ac:dyDescent="0.2">
      <c r="A167" s="44"/>
      <c r="B167" s="44"/>
      <c r="C167" s="91"/>
      <c r="D167" s="139"/>
      <c r="E167" s="44"/>
      <c r="F167" s="122"/>
      <c r="G167" s="123"/>
      <c r="H167" s="44"/>
      <c r="I167" s="93"/>
      <c r="J167" s="44"/>
      <c r="K167" s="44"/>
      <c r="L167" s="93"/>
      <c r="M167" s="124"/>
      <c r="N167" s="44"/>
      <c r="O167" s="92"/>
      <c r="P167" s="110"/>
      <c r="Q167" s="44"/>
      <c r="R167" s="92"/>
      <c r="S167" s="125"/>
      <c r="T167" s="44"/>
      <c r="U167" s="92"/>
      <c r="V167" s="44"/>
      <c r="W167" s="44"/>
      <c r="X167" s="92"/>
      <c r="Y167" s="44"/>
      <c r="Z167" s="44"/>
      <c r="AA167" s="91"/>
    </row>
    <row r="168" spans="1:27" x14ac:dyDescent="0.2">
      <c r="A168" s="41"/>
      <c r="B168" s="41"/>
      <c r="C168" s="94"/>
      <c r="D168" s="140"/>
      <c r="E168" s="41"/>
      <c r="F168" s="126"/>
      <c r="G168" s="127"/>
      <c r="H168" s="41"/>
      <c r="I168" s="95"/>
      <c r="J168" s="41"/>
      <c r="K168" s="41"/>
      <c r="L168" s="95"/>
      <c r="M168" s="128"/>
      <c r="N168" s="41"/>
      <c r="O168" s="42"/>
      <c r="P168" s="52"/>
      <c r="Q168" s="41"/>
      <c r="R168" s="42"/>
      <c r="S168" s="129"/>
      <c r="T168" s="41"/>
      <c r="U168" s="42"/>
      <c r="V168" s="41"/>
      <c r="W168" s="41"/>
      <c r="X168" s="42"/>
      <c r="Y168" s="41"/>
      <c r="Z168" s="41"/>
      <c r="AA168" s="94"/>
    </row>
    <row r="169" spans="1:27" x14ac:dyDescent="0.2">
      <c r="A169" s="44"/>
      <c r="B169" s="44"/>
      <c r="C169" s="91"/>
      <c r="D169" s="139"/>
      <c r="E169" s="44"/>
      <c r="F169" s="122"/>
      <c r="G169" s="123"/>
      <c r="H169" s="44"/>
      <c r="I169" s="93"/>
      <c r="J169" s="44"/>
      <c r="K169" s="44"/>
      <c r="L169" s="93"/>
      <c r="M169" s="124"/>
      <c r="N169" s="44"/>
      <c r="O169" s="92"/>
      <c r="P169" s="110"/>
      <c r="Q169" s="44"/>
      <c r="R169" s="92"/>
      <c r="S169" s="125"/>
      <c r="T169" s="44"/>
      <c r="U169" s="92"/>
      <c r="V169" s="44"/>
      <c r="W169" s="44"/>
      <c r="X169" s="92"/>
      <c r="Y169" s="44"/>
      <c r="Z169" s="44"/>
      <c r="AA169" s="91"/>
    </row>
    <row r="170" spans="1:27" x14ac:dyDescent="0.2">
      <c r="A170" s="41"/>
      <c r="B170" s="41"/>
      <c r="C170" s="94"/>
      <c r="D170" s="140"/>
      <c r="E170" s="41"/>
      <c r="F170" s="126"/>
      <c r="G170" s="127"/>
      <c r="H170" s="41"/>
      <c r="I170" s="95"/>
      <c r="J170" s="41"/>
      <c r="K170" s="41"/>
      <c r="L170" s="95"/>
      <c r="M170" s="128"/>
      <c r="N170" s="41"/>
      <c r="O170" s="42"/>
      <c r="P170" s="52"/>
      <c r="Q170" s="41"/>
      <c r="R170" s="42"/>
      <c r="S170" s="129"/>
      <c r="T170" s="41"/>
      <c r="U170" s="42"/>
      <c r="V170" s="41"/>
      <c r="W170" s="41"/>
      <c r="X170" s="42"/>
      <c r="Y170" s="41"/>
      <c r="Z170" s="41"/>
      <c r="AA170" s="94"/>
    </row>
    <row r="171" spans="1:27" x14ac:dyDescent="0.2">
      <c r="A171" s="44"/>
      <c r="B171" s="44"/>
      <c r="C171" s="91"/>
      <c r="D171" s="139"/>
      <c r="E171" s="44"/>
      <c r="F171" s="122"/>
      <c r="G171" s="123"/>
      <c r="H171" s="44"/>
      <c r="I171" s="93"/>
      <c r="J171" s="44"/>
      <c r="K171" s="44"/>
      <c r="L171" s="93"/>
      <c r="M171" s="124"/>
      <c r="N171" s="44"/>
      <c r="O171" s="92"/>
      <c r="P171" s="110"/>
      <c r="Q171" s="44"/>
      <c r="R171" s="92"/>
      <c r="S171" s="125"/>
      <c r="T171" s="44"/>
      <c r="U171" s="92"/>
      <c r="V171" s="44"/>
      <c r="W171" s="44"/>
      <c r="X171" s="92"/>
      <c r="Y171" s="44"/>
      <c r="Z171" s="44"/>
      <c r="AA171" s="91"/>
    </row>
    <row r="172" spans="1:27" x14ac:dyDescent="0.2">
      <c r="A172" s="41"/>
      <c r="B172" s="41"/>
      <c r="C172" s="94"/>
      <c r="D172" s="140"/>
      <c r="E172" s="41"/>
      <c r="F172" s="126"/>
      <c r="G172" s="127"/>
      <c r="H172" s="41"/>
      <c r="I172" s="95"/>
      <c r="J172" s="41"/>
      <c r="K172" s="41"/>
      <c r="L172" s="95"/>
      <c r="M172" s="128"/>
      <c r="N172" s="41"/>
      <c r="O172" s="42"/>
      <c r="P172" s="52"/>
      <c r="Q172" s="41"/>
      <c r="R172" s="42"/>
      <c r="S172" s="129"/>
      <c r="T172" s="41"/>
      <c r="U172" s="42"/>
      <c r="V172" s="41"/>
      <c r="W172" s="41"/>
      <c r="X172" s="42"/>
      <c r="Y172" s="41"/>
      <c r="Z172" s="41"/>
      <c r="AA172" s="94"/>
    </row>
    <row r="173" spans="1:27" x14ac:dyDescent="0.2">
      <c r="A173" s="44"/>
      <c r="B173" s="44"/>
      <c r="C173" s="91"/>
      <c r="D173" s="139"/>
      <c r="E173" s="44"/>
      <c r="F173" s="122"/>
      <c r="G173" s="123"/>
      <c r="H173" s="44"/>
      <c r="I173" s="93"/>
      <c r="J173" s="44"/>
      <c r="K173" s="44"/>
      <c r="L173" s="93"/>
      <c r="M173" s="124"/>
      <c r="N173" s="44"/>
      <c r="O173" s="92"/>
      <c r="P173" s="110"/>
      <c r="Q173" s="44"/>
      <c r="R173" s="92"/>
      <c r="S173" s="125"/>
      <c r="T173" s="44"/>
      <c r="U173" s="92"/>
      <c r="V173" s="44"/>
      <c r="W173" s="44"/>
      <c r="X173" s="92"/>
      <c r="Y173" s="44"/>
      <c r="Z173" s="44"/>
      <c r="AA173" s="91"/>
    </row>
    <row r="174" spans="1:27" x14ac:dyDescent="0.2">
      <c r="A174" s="41"/>
      <c r="B174" s="41"/>
      <c r="C174" s="94"/>
      <c r="D174" s="140"/>
      <c r="E174" s="41"/>
      <c r="F174" s="126"/>
      <c r="G174" s="127"/>
      <c r="H174" s="41"/>
      <c r="I174" s="95"/>
      <c r="J174" s="41"/>
      <c r="K174" s="41"/>
      <c r="L174" s="95"/>
      <c r="M174" s="128"/>
      <c r="N174" s="41"/>
      <c r="O174" s="42"/>
      <c r="P174" s="52"/>
      <c r="Q174" s="41"/>
      <c r="R174" s="42"/>
      <c r="S174" s="129"/>
      <c r="T174" s="41"/>
      <c r="U174" s="42"/>
      <c r="V174" s="41"/>
      <c r="W174" s="41"/>
      <c r="X174" s="42"/>
      <c r="Y174" s="41"/>
      <c r="Z174" s="41"/>
      <c r="AA174" s="94"/>
    </row>
    <row r="175" spans="1:27" x14ac:dyDescent="0.2">
      <c r="A175" s="44"/>
      <c r="B175" s="44"/>
      <c r="C175" s="91"/>
      <c r="D175" s="139"/>
      <c r="E175" s="44"/>
      <c r="F175" s="122"/>
      <c r="G175" s="123"/>
      <c r="H175" s="44"/>
      <c r="I175" s="93"/>
      <c r="J175" s="44"/>
      <c r="K175" s="44"/>
      <c r="L175" s="93"/>
      <c r="M175" s="124"/>
      <c r="N175" s="44"/>
      <c r="O175" s="92"/>
      <c r="P175" s="110"/>
      <c r="Q175" s="44"/>
      <c r="R175" s="92"/>
      <c r="S175" s="125"/>
      <c r="T175" s="44"/>
      <c r="U175" s="92"/>
      <c r="V175" s="44"/>
      <c r="W175" s="44"/>
      <c r="X175" s="92"/>
      <c r="Y175" s="44"/>
      <c r="Z175" s="44"/>
      <c r="AA175" s="91"/>
    </row>
    <row r="176" spans="1:27" x14ac:dyDescent="0.2">
      <c r="A176" s="41"/>
      <c r="B176" s="41"/>
      <c r="C176" s="94"/>
      <c r="D176" s="140"/>
      <c r="E176" s="41"/>
      <c r="F176" s="126"/>
      <c r="G176" s="127"/>
      <c r="H176" s="41"/>
      <c r="I176" s="95"/>
      <c r="J176" s="41"/>
      <c r="K176" s="41"/>
      <c r="L176" s="95"/>
      <c r="M176" s="128"/>
      <c r="N176" s="41"/>
      <c r="O176" s="42"/>
      <c r="P176" s="52"/>
      <c r="Q176" s="41"/>
      <c r="R176" s="42"/>
      <c r="S176" s="129"/>
      <c r="T176" s="41"/>
      <c r="U176" s="42"/>
      <c r="V176" s="41"/>
      <c r="W176" s="41"/>
      <c r="X176" s="42"/>
      <c r="Y176" s="41"/>
      <c r="Z176" s="41"/>
      <c r="AA176" s="94"/>
    </row>
    <row r="177" spans="1:27" x14ac:dyDescent="0.2">
      <c r="A177" s="44"/>
      <c r="B177" s="44"/>
      <c r="C177" s="91"/>
      <c r="D177" s="139"/>
      <c r="E177" s="44"/>
      <c r="F177" s="122"/>
      <c r="G177" s="123"/>
      <c r="H177" s="44"/>
      <c r="I177" s="93"/>
      <c r="J177" s="44"/>
      <c r="K177" s="44"/>
      <c r="L177" s="93"/>
      <c r="M177" s="124"/>
      <c r="N177" s="44"/>
      <c r="O177" s="92"/>
      <c r="P177" s="110"/>
      <c r="Q177" s="44"/>
      <c r="R177" s="92"/>
      <c r="S177" s="125"/>
      <c r="T177" s="44"/>
      <c r="U177" s="92"/>
      <c r="V177" s="44"/>
      <c r="W177" s="44"/>
      <c r="X177" s="92"/>
      <c r="Y177" s="44"/>
      <c r="Z177" s="44"/>
      <c r="AA177" s="91"/>
    </row>
    <row r="178" spans="1:27" x14ac:dyDescent="0.2">
      <c r="A178" s="41"/>
      <c r="B178" s="41"/>
      <c r="C178" s="94"/>
      <c r="D178" s="140"/>
      <c r="E178" s="41"/>
      <c r="F178" s="126"/>
      <c r="G178" s="127"/>
      <c r="H178" s="41"/>
      <c r="I178" s="95"/>
      <c r="J178" s="41"/>
      <c r="K178" s="41"/>
      <c r="L178" s="95"/>
      <c r="M178" s="128"/>
      <c r="N178" s="41"/>
      <c r="O178" s="42"/>
      <c r="P178" s="52"/>
      <c r="Q178" s="41"/>
      <c r="R178" s="42"/>
      <c r="S178" s="129"/>
      <c r="T178" s="41"/>
      <c r="U178" s="42"/>
      <c r="V178" s="41"/>
      <c r="W178" s="41"/>
      <c r="X178" s="42"/>
      <c r="Y178" s="41"/>
      <c r="Z178" s="41"/>
      <c r="AA178" s="94"/>
    </row>
    <row r="179" spans="1:27" x14ac:dyDescent="0.2">
      <c r="A179" s="44"/>
      <c r="B179" s="44"/>
      <c r="C179" s="91"/>
      <c r="D179" s="139"/>
      <c r="E179" s="44"/>
      <c r="F179" s="122"/>
      <c r="G179" s="123"/>
      <c r="H179" s="44"/>
      <c r="I179" s="93"/>
      <c r="J179" s="44"/>
      <c r="K179" s="44"/>
      <c r="L179" s="93"/>
      <c r="M179" s="124"/>
      <c r="N179" s="44"/>
      <c r="O179" s="92"/>
      <c r="P179" s="110"/>
      <c r="Q179" s="44"/>
      <c r="R179" s="92"/>
      <c r="S179" s="125"/>
      <c r="T179" s="44"/>
      <c r="U179" s="92"/>
      <c r="V179" s="44"/>
      <c r="W179" s="44"/>
      <c r="X179" s="92"/>
      <c r="Y179" s="44"/>
      <c r="Z179" s="44"/>
      <c r="AA179" s="91"/>
    </row>
    <row r="180" spans="1:27" x14ac:dyDescent="0.2">
      <c r="A180" s="41"/>
      <c r="B180" s="41"/>
      <c r="C180" s="94"/>
      <c r="D180" s="140"/>
      <c r="E180" s="41"/>
      <c r="F180" s="126"/>
      <c r="G180" s="127"/>
      <c r="H180" s="41"/>
      <c r="I180" s="95"/>
      <c r="J180" s="41"/>
      <c r="K180" s="41"/>
      <c r="L180" s="95"/>
      <c r="M180" s="128"/>
      <c r="N180" s="41"/>
      <c r="O180" s="42"/>
      <c r="P180" s="52"/>
      <c r="Q180" s="41"/>
      <c r="R180" s="42"/>
      <c r="S180" s="129"/>
      <c r="T180" s="41"/>
      <c r="U180" s="42"/>
      <c r="V180" s="41"/>
      <c r="W180" s="41"/>
      <c r="X180" s="42"/>
      <c r="Y180" s="41"/>
      <c r="Z180" s="41"/>
      <c r="AA180" s="94"/>
    </row>
    <row r="181" spans="1:27" x14ac:dyDescent="0.2">
      <c r="A181" s="44"/>
      <c r="B181" s="44"/>
      <c r="C181" s="91"/>
      <c r="D181" s="139"/>
      <c r="E181" s="44"/>
      <c r="F181" s="122"/>
      <c r="G181" s="123"/>
      <c r="H181" s="44"/>
      <c r="I181" s="93"/>
      <c r="J181" s="44"/>
      <c r="K181" s="44"/>
      <c r="L181" s="93"/>
      <c r="M181" s="124"/>
      <c r="N181" s="44"/>
      <c r="O181" s="92"/>
      <c r="P181" s="110"/>
      <c r="Q181" s="44"/>
      <c r="R181" s="92"/>
      <c r="S181" s="125"/>
      <c r="T181" s="44"/>
      <c r="U181" s="92"/>
      <c r="V181" s="44"/>
      <c r="W181" s="44"/>
      <c r="X181" s="92"/>
      <c r="Y181" s="44"/>
      <c r="Z181" s="44"/>
      <c r="AA181" s="91"/>
    </row>
    <row r="182" spans="1:27" x14ac:dyDescent="0.2">
      <c r="A182" s="41"/>
      <c r="B182" s="41"/>
      <c r="C182" s="94"/>
      <c r="D182" s="140"/>
      <c r="E182" s="41"/>
      <c r="F182" s="126"/>
      <c r="G182" s="127"/>
      <c r="H182" s="41"/>
      <c r="I182" s="95"/>
      <c r="J182" s="41"/>
      <c r="K182" s="41"/>
      <c r="L182" s="95"/>
      <c r="M182" s="128"/>
      <c r="N182" s="41"/>
      <c r="O182" s="42"/>
      <c r="P182" s="52"/>
      <c r="Q182" s="41"/>
      <c r="R182" s="42"/>
      <c r="S182" s="129"/>
      <c r="T182" s="41"/>
      <c r="U182" s="42"/>
      <c r="V182" s="41"/>
      <c r="W182" s="41"/>
      <c r="X182" s="42"/>
      <c r="Y182" s="41"/>
      <c r="Z182" s="41"/>
      <c r="AA182" s="94"/>
    </row>
    <row r="183" spans="1:27" x14ac:dyDescent="0.2">
      <c r="A183" s="44"/>
      <c r="B183" s="44"/>
      <c r="C183" s="91"/>
      <c r="D183" s="139"/>
      <c r="E183" s="44"/>
      <c r="F183" s="122"/>
      <c r="G183" s="123"/>
      <c r="H183" s="44"/>
      <c r="I183" s="93"/>
      <c r="J183" s="44"/>
      <c r="K183" s="44"/>
      <c r="L183" s="93"/>
      <c r="M183" s="124"/>
      <c r="N183" s="44"/>
      <c r="O183" s="92"/>
      <c r="P183" s="110"/>
      <c r="Q183" s="44"/>
      <c r="R183" s="92"/>
      <c r="S183" s="125"/>
      <c r="T183" s="44"/>
      <c r="U183" s="92"/>
      <c r="V183" s="44"/>
      <c r="W183" s="44"/>
      <c r="X183" s="92"/>
      <c r="Y183" s="44"/>
      <c r="Z183" s="44"/>
      <c r="AA183" s="91"/>
    </row>
    <row r="184" spans="1:27" x14ac:dyDescent="0.2">
      <c r="A184" s="41"/>
      <c r="B184" s="41"/>
      <c r="C184" s="94"/>
      <c r="D184" s="140"/>
      <c r="E184" s="41"/>
      <c r="F184" s="127"/>
      <c r="G184" s="127"/>
      <c r="H184" s="41"/>
      <c r="I184" s="95"/>
      <c r="J184" s="41"/>
      <c r="K184" s="41"/>
      <c r="L184" s="95"/>
      <c r="M184" s="128"/>
      <c r="N184" s="41"/>
      <c r="O184" s="42"/>
      <c r="P184" s="52"/>
      <c r="Q184" s="41"/>
      <c r="R184" s="42"/>
      <c r="S184" s="129"/>
      <c r="T184" s="41"/>
      <c r="U184" s="42"/>
      <c r="V184" s="41"/>
      <c r="W184" s="41"/>
      <c r="X184" s="42"/>
      <c r="Y184" s="41"/>
      <c r="Z184" s="41"/>
      <c r="AA184" s="94"/>
    </row>
    <row r="185" spans="1:27" x14ac:dyDescent="0.2">
      <c r="A185" s="44"/>
      <c r="B185" s="44"/>
      <c r="C185" s="91"/>
      <c r="D185" s="139"/>
      <c r="E185" s="44"/>
      <c r="F185" s="122"/>
      <c r="G185" s="123"/>
      <c r="H185" s="44"/>
      <c r="I185" s="93"/>
      <c r="J185" s="44"/>
      <c r="K185" s="44"/>
      <c r="L185" s="93"/>
      <c r="M185" s="124"/>
      <c r="N185" s="44"/>
      <c r="O185" s="92"/>
      <c r="P185" s="110"/>
      <c r="Q185" s="44"/>
      <c r="R185" s="92"/>
      <c r="S185" s="125"/>
      <c r="T185" s="44"/>
      <c r="U185" s="92"/>
      <c r="V185" s="44"/>
      <c r="W185" s="44"/>
      <c r="X185" s="92"/>
      <c r="Y185" s="44"/>
      <c r="Z185" s="44"/>
      <c r="AA185" s="91"/>
    </row>
    <row r="186" spans="1:27" x14ac:dyDescent="0.2">
      <c r="A186" s="41"/>
      <c r="B186" s="41"/>
      <c r="C186" s="94"/>
      <c r="D186" s="140"/>
      <c r="E186" s="41"/>
      <c r="F186" s="126"/>
      <c r="G186" s="127"/>
      <c r="H186" s="41"/>
      <c r="I186" s="95"/>
      <c r="J186" s="41"/>
      <c r="K186" s="41"/>
      <c r="L186" s="95"/>
      <c r="M186" s="128"/>
      <c r="N186" s="41"/>
      <c r="O186" s="42"/>
      <c r="P186" s="52"/>
      <c r="Q186" s="41"/>
      <c r="R186" s="42"/>
      <c r="S186" s="129"/>
      <c r="T186" s="41"/>
      <c r="U186" s="42"/>
      <c r="V186" s="41"/>
      <c r="W186" s="41"/>
      <c r="X186" s="42"/>
      <c r="Y186" s="41"/>
      <c r="Z186" s="41"/>
      <c r="AA186" s="94"/>
    </row>
    <row r="187" spans="1:27" x14ac:dyDescent="0.2">
      <c r="A187" s="44"/>
      <c r="B187" s="44"/>
      <c r="C187" s="91"/>
      <c r="D187" s="139"/>
      <c r="E187" s="44"/>
      <c r="F187" s="122"/>
      <c r="G187" s="123"/>
      <c r="H187" s="44"/>
      <c r="I187" s="93"/>
      <c r="J187" s="44"/>
      <c r="K187" s="44"/>
      <c r="L187" s="93"/>
      <c r="M187" s="124"/>
      <c r="N187" s="44"/>
      <c r="O187" s="92"/>
      <c r="P187" s="110"/>
      <c r="Q187" s="44"/>
      <c r="R187" s="92"/>
      <c r="S187" s="125"/>
      <c r="T187" s="44"/>
      <c r="U187" s="92"/>
      <c r="V187" s="44"/>
      <c r="W187" s="44"/>
      <c r="X187" s="92"/>
      <c r="Y187" s="44"/>
      <c r="Z187" s="44"/>
      <c r="AA187" s="91"/>
    </row>
    <row r="188" spans="1:27" x14ac:dyDescent="0.2">
      <c r="A188" s="41"/>
      <c r="B188" s="41"/>
      <c r="C188" s="94"/>
      <c r="D188" s="140"/>
      <c r="E188" s="41"/>
      <c r="F188" s="126"/>
      <c r="G188" s="127"/>
      <c r="H188" s="41"/>
      <c r="I188" s="95"/>
      <c r="J188" s="41"/>
      <c r="K188" s="41"/>
      <c r="L188" s="95"/>
      <c r="M188" s="128"/>
      <c r="N188" s="41"/>
      <c r="O188" s="42"/>
      <c r="P188" s="52"/>
      <c r="Q188" s="41"/>
      <c r="R188" s="42"/>
      <c r="S188" s="129"/>
      <c r="T188" s="41"/>
      <c r="U188" s="42"/>
      <c r="V188" s="41"/>
      <c r="W188" s="41"/>
      <c r="X188" s="42"/>
      <c r="Y188" s="41"/>
      <c r="Z188" s="41"/>
      <c r="AA188" s="94"/>
    </row>
    <row r="189" spans="1:27" x14ac:dyDescent="0.2">
      <c r="A189" s="44"/>
      <c r="B189" s="44"/>
      <c r="C189" s="91"/>
      <c r="D189" s="139"/>
      <c r="E189" s="44"/>
      <c r="F189" s="122"/>
      <c r="G189" s="123"/>
      <c r="H189" s="44"/>
      <c r="I189" s="93"/>
      <c r="J189" s="44"/>
      <c r="K189" s="44"/>
      <c r="L189" s="93"/>
      <c r="M189" s="124"/>
      <c r="N189" s="44"/>
      <c r="O189" s="92"/>
      <c r="P189" s="110"/>
      <c r="Q189" s="44"/>
      <c r="R189" s="92"/>
      <c r="S189" s="125"/>
      <c r="T189" s="44"/>
      <c r="U189" s="92"/>
      <c r="V189" s="44"/>
      <c r="W189" s="44"/>
      <c r="X189" s="92"/>
      <c r="Y189" s="44"/>
      <c r="Z189" s="44"/>
      <c r="AA189" s="91"/>
    </row>
    <row r="190" spans="1:27" x14ac:dyDescent="0.2">
      <c r="A190" s="41"/>
      <c r="B190" s="41"/>
      <c r="C190" s="94"/>
      <c r="D190" s="140"/>
      <c r="E190" s="41"/>
      <c r="F190" s="126"/>
      <c r="G190" s="127"/>
      <c r="H190" s="41"/>
      <c r="I190" s="95"/>
      <c r="J190" s="41"/>
      <c r="K190" s="41"/>
      <c r="L190" s="95"/>
      <c r="M190" s="128"/>
      <c r="N190" s="41"/>
      <c r="O190" s="42"/>
      <c r="P190" s="52"/>
      <c r="Q190" s="41"/>
      <c r="R190" s="42"/>
      <c r="S190" s="129"/>
      <c r="T190" s="41"/>
      <c r="U190" s="42"/>
      <c r="V190" s="41"/>
      <c r="W190" s="41"/>
      <c r="X190" s="42"/>
      <c r="Y190" s="41"/>
      <c r="Z190" s="41"/>
      <c r="AA190" s="94"/>
    </row>
    <row r="191" spans="1:27" x14ac:dyDescent="0.2">
      <c r="A191" s="44"/>
      <c r="B191" s="44"/>
      <c r="C191" s="91"/>
      <c r="D191" s="139"/>
      <c r="E191" s="44"/>
      <c r="F191" s="122"/>
      <c r="G191" s="123"/>
      <c r="H191" s="44"/>
      <c r="I191" s="93"/>
      <c r="J191" s="44"/>
      <c r="K191" s="44"/>
      <c r="L191" s="93"/>
      <c r="M191" s="124"/>
      <c r="N191" s="44"/>
      <c r="O191" s="92"/>
      <c r="P191" s="110"/>
      <c r="Q191" s="44"/>
      <c r="R191" s="92"/>
      <c r="S191" s="125"/>
      <c r="T191" s="44"/>
      <c r="U191" s="92"/>
      <c r="V191" s="44"/>
      <c r="W191" s="44"/>
      <c r="X191" s="92"/>
      <c r="Y191" s="44"/>
      <c r="Z191" s="44"/>
      <c r="AA191" s="91"/>
    </row>
    <row r="192" spans="1:27" x14ac:dyDescent="0.2">
      <c r="A192" s="96"/>
      <c r="B192" s="44"/>
      <c r="C192" s="91"/>
      <c r="D192" s="139"/>
      <c r="E192" s="44"/>
      <c r="F192" s="122"/>
      <c r="G192" s="123"/>
      <c r="H192" s="44"/>
      <c r="I192" s="93"/>
      <c r="J192" s="44"/>
      <c r="K192" s="44"/>
      <c r="L192" s="93"/>
      <c r="M192" s="124"/>
      <c r="N192" s="44"/>
      <c r="O192" s="92"/>
      <c r="P192" s="110"/>
      <c r="Q192" s="44"/>
      <c r="R192" s="92"/>
      <c r="S192" s="125"/>
      <c r="T192" s="44"/>
      <c r="U192" s="92"/>
      <c r="V192" s="44"/>
      <c r="W192" s="44"/>
      <c r="X192" s="92"/>
      <c r="Y192" s="96"/>
      <c r="Z192" s="44"/>
      <c r="AA192" s="91"/>
    </row>
    <row r="193" spans="1:27" x14ac:dyDescent="0.2">
      <c r="A193" s="97"/>
      <c r="B193" s="41"/>
      <c r="C193" s="94"/>
      <c r="D193" s="140"/>
      <c r="E193" s="41"/>
      <c r="F193" s="126"/>
      <c r="G193" s="127"/>
      <c r="H193" s="41"/>
      <c r="I193" s="95"/>
      <c r="J193" s="41"/>
      <c r="K193" s="41"/>
      <c r="L193" s="95"/>
      <c r="M193" s="128"/>
      <c r="N193" s="41"/>
      <c r="O193" s="42"/>
      <c r="P193" s="52"/>
      <c r="Q193" s="41"/>
      <c r="R193" s="42"/>
      <c r="S193" s="129"/>
      <c r="T193" s="41"/>
      <c r="U193" s="42"/>
      <c r="V193" s="41"/>
      <c r="W193" s="41"/>
      <c r="X193" s="42"/>
      <c r="Y193" s="97"/>
      <c r="Z193" s="41"/>
      <c r="AA193" s="94"/>
    </row>
    <row r="194" spans="1:27" x14ac:dyDescent="0.2">
      <c r="A194" s="96"/>
      <c r="B194" s="44"/>
      <c r="C194" s="91"/>
      <c r="D194" s="139"/>
      <c r="E194" s="44"/>
      <c r="F194" s="122"/>
      <c r="G194" s="123"/>
      <c r="H194" s="44"/>
      <c r="I194" s="93"/>
      <c r="J194" s="44"/>
      <c r="K194" s="44"/>
      <c r="L194" s="93"/>
      <c r="M194" s="124"/>
      <c r="N194" s="44"/>
      <c r="O194" s="92"/>
      <c r="P194" s="110"/>
      <c r="Q194" s="44"/>
      <c r="R194" s="92"/>
      <c r="S194" s="125"/>
      <c r="T194" s="44"/>
      <c r="U194" s="92"/>
      <c r="V194" s="44"/>
      <c r="W194" s="44"/>
      <c r="X194" s="92"/>
      <c r="Y194" s="96"/>
      <c r="Z194" s="44"/>
      <c r="AA194" s="91"/>
    </row>
    <row r="195" spans="1:27" x14ac:dyDescent="0.2">
      <c r="A195" s="97"/>
      <c r="B195" s="41"/>
      <c r="C195" s="94"/>
      <c r="D195" s="140"/>
      <c r="E195" s="41"/>
      <c r="F195" s="126"/>
      <c r="G195" s="127"/>
      <c r="H195" s="41"/>
      <c r="I195" s="95"/>
      <c r="J195" s="41"/>
      <c r="K195" s="41"/>
      <c r="L195" s="95"/>
      <c r="M195" s="128"/>
      <c r="N195" s="41"/>
      <c r="O195" s="42"/>
      <c r="P195" s="52"/>
      <c r="Q195" s="41"/>
      <c r="R195" s="42"/>
      <c r="S195" s="129"/>
      <c r="T195" s="41"/>
      <c r="U195" s="42"/>
      <c r="V195" s="41"/>
      <c r="W195" s="41"/>
      <c r="X195" s="42"/>
      <c r="Y195" s="97"/>
      <c r="Z195" s="41"/>
      <c r="AA195" s="94"/>
    </row>
    <row r="196" spans="1:27" x14ac:dyDescent="0.2">
      <c r="A196" s="97"/>
      <c r="B196" s="41"/>
      <c r="C196" s="94"/>
      <c r="D196" s="140"/>
      <c r="E196" s="41"/>
      <c r="F196" s="126"/>
      <c r="G196" s="127"/>
      <c r="H196" s="41"/>
      <c r="I196" s="95"/>
      <c r="J196" s="41"/>
      <c r="K196" s="41"/>
      <c r="L196" s="95"/>
      <c r="M196" s="128"/>
      <c r="N196" s="41"/>
      <c r="O196" s="42"/>
      <c r="P196" s="52"/>
      <c r="Q196" s="41"/>
      <c r="R196" s="42"/>
      <c r="S196" s="129"/>
      <c r="T196" s="41"/>
      <c r="U196" s="42"/>
      <c r="V196" s="41"/>
      <c r="W196" s="41"/>
      <c r="X196" s="42"/>
      <c r="Y196" s="97"/>
      <c r="Z196" s="41"/>
      <c r="AA196" s="94"/>
    </row>
    <row r="197" spans="1:27" x14ac:dyDescent="0.2">
      <c r="A197" s="97"/>
      <c r="B197" s="41"/>
      <c r="C197" s="94"/>
      <c r="D197" s="140"/>
      <c r="E197" s="41"/>
      <c r="F197" s="126"/>
      <c r="G197" s="127"/>
      <c r="H197" s="41"/>
      <c r="I197" s="95"/>
      <c r="J197" s="41"/>
      <c r="K197" s="41"/>
      <c r="L197" s="95"/>
      <c r="M197" s="128"/>
      <c r="N197" s="41"/>
      <c r="O197" s="42"/>
      <c r="P197" s="52"/>
      <c r="Q197" s="41"/>
      <c r="R197" s="42"/>
      <c r="S197" s="129"/>
      <c r="T197" s="41"/>
      <c r="U197" s="42"/>
      <c r="V197" s="41"/>
      <c r="W197" s="41"/>
      <c r="X197" s="42"/>
      <c r="Y197" s="97"/>
      <c r="Z197" s="41"/>
      <c r="AA197" s="94"/>
    </row>
    <row r="198" spans="1:27" x14ac:dyDescent="0.2">
      <c r="A198" s="97"/>
      <c r="B198" s="41"/>
      <c r="C198" s="94"/>
      <c r="D198" s="140"/>
      <c r="E198" s="41"/>
      <c r="F198" s="126"/>
      <c r="G198" s="127"/>
      <c r="H198" s="41"/>
      <c r="I198" s="95"/>
      <c r="J198" s="41"/>
      <c r="K198" s="41"/>
      <c r="L198" s="95"/>
      <c r="M198" s="128"/>
      <c r="N198" s="41"/>
      <c r="O198" s="42"/>
      <c r="P198" s="52"/>
      <c r="Q198" s="41"/>
      <c r="R198" s="42"/>
      <c r="S198" s="129"/>
      <c r="T198" s="41"/>
      <c r="U198" s="42"/>
      <c r="V198" s="41"/>
      <c r="W198" s="41"/>
      <c r="X198" s="42"/>
      <c r="Y198" s="97"/>
      <c r="Z198" s="41"/>
      <c r="AA198" s="94"/>
    </row>
    <row r="199" spans="1:27" x14ac:dyDescent="0.2">
      <c r="A199" s="96"/>
      <c r="B199" s="44"/>
      <c r="C199" s="91"/>
      <c r="D199" s="139"/>
      <c r="E199" s="44"/>
      <c r="F199" s="122"/>
      <c r="G199" s="123"/>
      <c r="H199" s="44"/>
      <c r="I199" s="93"/>
      <c r="J199" s="44"/>
      <c r="K199" s="44"/>
      <c r="L199" s="93"/>
      <c r="M199" s="124"/>
      <c r="N199" s="44"/>
      <c r="O199" s="92"/>
      <c r="P199" s="110"/>
      <c r="Q199" s="44"/>
      <c r="R199" s="92"/>
      <c r="S199" s="125"/>
      <c r="T199" s="44"/>
      <c r="U199" s="92"/>
      <c r="V199" s="44"/>
      <c r="W199" s="44"/>
      <c r="X199" s="92"/>
      <c r="Y199" s="96"/>
      <c r="Z199" s="44"/>
      <c r="AA199" s="91"/>
    </row>
    <row r="200" spans="1:27" x14ac:dyDescent="0.2">
      <c r="A200" s="96"/>
      <c r="B200" s="44"/>
      <c r="C200" s="91"/>
      <c r="D200" s="139"/>
      <c r="E200" s="44"/>
      <c r="F200" s="122"/>
      <c r="G200" s="123"/>
      <c r="H200" s="44"/>
      <c r="I200" s="93"/>
      <c r="J200" s="44"/>
      <c r="K200" s="44"/>
      <c r="L200" s="93"/>
      <c r="M200" s="124"/>
      <c r="N200" s="44"/>
      <c r="O200" s="92"/>
      <c r="P200" s="110"/>
      <c r="Q200" s="44"/>
      <c r="R200" s="92"/>
      <c r="S200" s="125"/>
      <c r="T200" s="44"/>
      <c r="U200" s="92"/>
      <c r="V200" s="44"/>
      <c r="W200" s="44"/>
      <c r="X200" s="92"/>
      <c r="Y200" s="96"/>
      <c r="Z200" s="44"/>
      <c r="AA200" s="91"/>
    </row>
    <row r="201" spans="1:27" x14ac:dyDescent="0.2">
      <c r="A201" s="96"/>
      <c r="B201" s="44"/>
      <c r="C201" s="91"/>
      <c r="D201" s="139"/>
      <c r="E201" s="44"/>
      <c r="F201" s="122"/>
      <c r="G201" s="123"/>
      <c r="H201" s="44"/>
      <c r="I201" s="93"/>
      <c r="J201" s="44"/>
      <c r="K201" s="44"/>
      <c r="L201" s="93"/>
      <c r="M201" s="124"/>
      <c r="N201" s="44"/>
      <c r="O201" s="92"/>
      <c r="P201" s="110"/>
      <c r="Q201" s="44"/>
      <c r="R201" s="92"/>
      <c r="S201" s="125"/>
      <c r="T201" s="44"/>
      <c r="U201" s="92"/>
      <c r="V201" s="44"/>
      <c r="W201" s="44"/>
      <c r="X201" s="92"/>
      <c r="Y201" s="96"/>
      <c r="Z201" s="44"/>
      <c r="AA201" s="91"/>
    </row>
    <row r="202" spans="1:27" x14ac:dyDescent="0.2">
      <c r="A202" s="96"/>
      <c r="B202" s="44"/>
      <c r="C202" s="91"/>
      <c r="D202" s="139"/>
      <c r="E202" s="44"/>
      <c r="F202" s="122"/>
      <c r="G202" s="123"/>
      <c r="H202" s="44"/>
      <c r="I202" s="93"/>
      <c r="J202" s="44"/>
      <c r="K202" s="44"/>
      <c r="L202" s="93"/>
      <c r="M202" s="124"/>
      <c r="N202" s="44"/>
      <c r="O202" s="92"/>
      <c r="P202" s="110"/>
      <c r="Q202" s="44"/>
      <c r="R202" s="92"/>
      <c r="S202" s="125"/>
      <c r="T202" s="44"/>
      <c r="U202" s="92"/>
      <c r="V202" s="44"/>
      <c r="W202" s="44"/>
      <c r="X202" s="92"/>
      <c r="Y202" s="96"/>
      <c r="Z202" s="44"/>
      <c r="AA202" s="91"/>
    </row>
    <row r="203" spans="1:27" x14ac:dyDescent="0.2">
      <c r="A203" s="96"/>
      <c r="B203" s="44"/>
      <c r="C203" s="91"/>
      <c r="D203" s="139"/>
      <c r="E203" s="44"/>
      <c r="F203" s="122"/>
      <c r="G203" s="123"/>
      <c r="H203" s="44"/>
      <c r="I203" s="93"/>
      <c r="J203" s="44"/>
      <c r="K203" s="44"/>
      <c r="L203" s="93"/>
      <c r="M203" s="124"/>
      <c r="N203" s="44"/>
      <c r="O203" s="92"/>
      <c r="P203" s="110"/>
      <c r="Q203" s="44"/>
      <c r="R203" s="92"/>
      <c r="S203" s="125"/>
      <c r="T203" s="44"/>
      <c r="U203" s="92"/>
      <c r="V203" s="44"/>
      <c r="W203" s="44"/>
      <c r="X203" s="92"/>
      <c r="Y203" s="96"/>
      <c r="Z203" s="44"/>
      <c r="AA203" s="91"/>
    </row>
    <row r="204" spans="1:27" x14ac:dyDescent="0.2">
      <c r="A204" s="97"/>
      <c r="B204" s="41"/>
      <c r="C204" s="94"/>
      <c r="D204" s="140"/>
      <c r="E204" s="41"/>
      <c r="F204" s="126"/>
      <c r="G204" s="127"/>
      <c r="H204" s="41"/>
      <c r="I204" s="95"/>
      <c r="J204" s="41"/>
      <c r="K204" s="41"/>
      <c r="L204" s="95"/>
      <c r="M204" s="128"/>
      <c r="N204" s="41"/>
      <c r="O204" s="42"/>
      <c r="P204" s="52"/>
      <c r="Q204" s="41"/>
      <c r="R204" s="42"/>
      <c r="S204" s="129"/>
      <c r="T204" s="41"/>
      <c r="U204" s="42"/>
      <c r="V204" s="41"/>
      <c r="W204" s="41"/>
      <c r="X204" s="42"/>
      <c r="Y204" s="97"/>
      <c r="Z204" s="41"/>
      <c r="AA204" s="94"/>
    </row>
    <row r="205" spans="1:27" x14ac:dyDescent="0.2">
      <c r="A205" s="96"/>
      <c r="B205" s="44"/>
      <c r="C205" s="91"/>
      <c r="D205" s="139"/>
      <c r="E205" s="44"/>
      <c r="F205" s="122"/>
      <c r="G205" s="123"/>
      <c r="H205" s="44"/>
      <c r="I205" s="93"/>
      <c r="J205" s="44"/>
      <c r="K205" s="44"/>
      <c r="L205" s="93"/>
      <c r="M205" s="124"/>
      <c r="N205" s="44"/>
      <c r="O205" s="92"/>
      <c r="P205" s="110"/>
      <c r="Q205" s="44"/>
      <c r="R205" s="92"/>
      <c r="S205" s="125"/>
      <c r="T205" s="44"/>
      <c r="U205" s="92"/>
      <c r="V205" s="44"/>
      <c r="W205" s="44"/>
      <c r="X205" s="92"/>
      <c r="Y205" s="96"/>
      <c r="Z205" s="44"/>
      <c r="AA205" s="91"/>
    </row>
    <row r="206" spans="1:27" x14ac:dyDescent="0.2">
      <c r="A206" s="97"/>
      <c r="B206" s="41"/>
      <c r="C206" s="94"/>
      <c r="D206" s="140"/>
      <c r="E206" s="41"/>
      <c r="F206" s="126"/>
      <c r="G206" s="127"/>
      <c r="H206" s="41"/>
      <c r="I206" s="95"/>
      <c r="J206" s="41"/>
      <c r="K206" s="41"/>
      <c r="L206" s="95"/>
      <c r="M206" s="128"/>
      <c r="N206" s="41"/>
      <c r="O206" s="42"/>
      <c r="P206" s="52"/>
      <c r="Q206" s="41"/>
      <c r="R206" s="42"/>
      <c r="S206" s="129"/>
      <c r="T206" s="41"/>
      <c r="U206" s="42"/>
      <c r="V206" s="41"/>
      <c r="W206" s="41"/>
      <c r="X206" s="42"/>
      <c r="Y206" s="97"/>
      <c r="Z206" s="41"/>
      <c r="AA206" s="94"/>
    </row>
    <row r="207" spans="1:27" x14ac:dyDescent="0.2">
      <c r="A207" s="96"/>
      <c r="B207" s="44"/>
      <c r="C207" s="91"/>
      <c r="D207" s="139"/>
      <c r="E207" s="44"/>
      <c r="F207" s="122"/>
      <c r="G207" s="123"/>
      <c r="H207" s="44"/>
      <c r="I207" s="93"/>
      <c r="J207" s="44"/>
      <c r="K207" s="44"/>
      <c r="L207" s="93"/>
      <c r="M207" s="124"/>
      <c r="N207" s="44"/>
      <c r="O207" s="92"/>
      <c r="P207" s="110"/>
      <c r="Q207" s="44"/>
      <c r="R207" s="92"/>
      <c r="S207" s="125"/>
      <c r="T207" s="44"/>
      <c r="U207" s="92"/>
      <c r="V207" s="44"/>
      <c r="W207" s="44"/>
      <c r="X207" s="92"/>
      <c r="Y207" s="96"/>
      <c r="Z207" s="44"/>
      <c r="AA207" s="91"/>
    </row>
    <row r="208" spans="1:27" x14ac:dyDescent="0.2">
      <c r="A208" s="96"/>
      <c r="B208" s="44"/>
      <c r="C208" s="91"/>
      <c r="D208" s="139"/>
      <c r="E208" s="44"/>
      <c r="F208" s="122"/>
      <c r="G208" s="123"/>
      <c r="H208" s="44"/>
      <c r="I208" s="93"/>
      <c r="J208" s="44"/>
      <c r="K208" s="44"/>
      <c r="L208" s="93"/>
      <c r="M208" s="124"/>
      <c r="N208" s="44"/>
      <c r="O208" s="92"/>
      <c r="P208" s="110"/>
      <c r="Q208" s="44"/>
      <c r="R208" s="92"/>
      <c r="S208" s="125"/>
      <c r="T208" s="44"/>
      <c r="U208" s="92"/>
      <c r="V208" s="44"/>
      <c r="W208" s="44"/>
      <c r="X208" s="92"/>
      <c r="Y208" s="96"/>
      <c r="Z208" s="44"/>
      <c r="AA208" s="91"/>
    </row>
    <row r="209" spans="1:27" x14ac:dyDescent="0.2">
      <c r="A209" s="97"/>
      <c r="B209" s="41"/>
      <c r="C209" s="94"/>
      <c r="D209" s="140"/>
      <c r="E209" s="41"/>
      <c r="F209" s="126"/>
      <c r="G209" s="127"/>
      <c r="H209" s="41"/>
      <c r="I209" s="95"/>
      <c r="J209" s="41"/>
      <c r="K209" s="41"/>
      <c r="L209" s="95"/>
      <c r="M209" s="128"/>
      <c r="N209" s="41"/>
      <c r="O209" s="42"/>
      <c r="P209" s="52"/>
      <c r="Q209" s="41"/>
      <c r="R209" s="42"/>
      <c r="S209" s="129"/>
      <c r="T209" s="41"/>
      <c r="U209" s="42"/>
      <c r="V209" s="41"/>
      <c r="W209" s="41"/>
      <c r="X209" s="42"/>
      <c r="Y209" s="97"/>
      <c r="Z209" s="41"/>
      <c r="AA209" s="94"/>
    </row>
    <row r="210" spans="1:27" x14ac:dyDescent="0.2">
      <c r="A210" s="96"/>
      <c r="B210" s="44"/>
      <c r="C210" s="91"/>
      <c r="D210" s="139"/>
      <c r="E210" s="44"/>
      <c r="F210" s="122"/>
      <c r="G210" s="123"/>
      <c r="H210" s="44"/>
      <c r="I210" s="93"/>
      <c r="J210" s="44"/>
      <c r="K210" s="44"/>
      <c r="L210" s="93"/>
      <c r="M210" s="124"/>
      <c r="N210" s="44"/>
      <c r="O210" s="92"/>
      <c r="P210" s="110"/>
      <c r="Q210" s="44"/>
      <c r="R210" s="92"/>
      <c r="S210" s="125"/>
      <c r="T210" s="44"/>
      <c r="U210" s="92"/>
      <c r="V210" s="44"/>
      <c r="W210" s="44"/>
      <c r="X210" s="92"/>
      <c r="Y210" s="96"/>
      <c r="Z210" s="44"/>
      <c r="AA210" s="91"/>
    </row>
    <row r="211" spans="1:27" x14ac:dyDescent="0.2">
      <c r="A211" s="96"/>
      <c r="B211" s="44"/>
      <c r="C211" s="91"/>
      <c r="D211" s="139"/>
      <c r="E211" s="44"/>
      <c r="F211" s="122"/>
      <c r="G211" s="123"/>
      <c r="H211" s="44"/>
      <c r="I211" s="93"/>
      <c r="J211" s="44"/>
      <c r="K211" s="44"/>
      <c r="L211" s="93"/>
      <c r="M211" s="124"/>
      <c r="N211" s="44"/>
      <c r="O211" s="92"/>
      <c r="P211" s="110"/>
      <c r="Q211" s="44"/>
      <c r="R211" s="92"/>
      <c r="S211" s="125"/>
      <c r="T211" s="44"/>
      <c r="U211" s="92"/>
      <c r="V211" s="44"/>
      <c r="W211" s="44"/>
      <c r="X211" s="92"/>
      <c r="Y211" s="96"/>
      <c r="Z211" s="44"/>
      <c r="AA211" s="91"/>
    </row>
    <row r="212" spans="1:27" x14ac:dyDescent="0.2">
      <c r="A212" s="97"/>
      <c r="B212" s="41"/>
      <c r="C212" s="94"/>
      <c r="D212" s="140"/>
      <c r="E212" s="41"/>
      <c r="F212" s="126"/>
      <c r="G212" s="127"/>
      <c r="H212" s="41"/>
      <c r="I212" s="95"/>
      <c r="J212" s="41"/>
      <c r="K212" s="41"/>
      <c r="L212" s="95"/>
      <c r="M212" s="128"/>
      <c r="N212" s="41"/>
      <c r="O212" s="42"/>
      <c r="P212" s="52"/>
      <c r="Q212" s="41"/>
      <c r="R212" s="42"/>
      <c r="S212" s="129"/>
      <c r="T212" s="41"/>
      <c r="U212" s="42"/>
      <c r="V212" s="41"/>
      <c r="W212" s="41"/>
      <c r="X212" s="42"/>
      <c r="Y212" s="97"/>
      <c r="Z212" s="41"/>
      <c r="AA212" s="94"/>
    </row>
    <row r="213" spans="1:27" x14ac:dyDescent="0.2">
      <c r="A213" s="97"/>
      <c r="B213" s="41"/>
      <c r="C213" s="94"/>
      <c r="D213" s="140"/>
      <c r="E213" s="41"/>
      <c r="F213" s="126"/>
      <c r="G213" s="127"/>
      <c r="H213" s="41"/>
      <c r="I213" s="95"/>
      <c r="J213" s="41"/>
      <c r="K213" s="41"/>
      <c r="L213" s="95"/>
      <c r="M213" s="128"/>
      <c r="N213" s="41"/>
      <c r="O213" s="42"/>
      <c r="P213" s="52"/>
      <c r="Q213" s="41"/>
      <c r="R213" s="42"/>
      <c r="S213" s="129"/>
      <c r="T213" s="41"/>
      <c r="U213" s="42"/>
      <c r="V213" s="41"/>
      <c r="W213" s="41"/>
      <c r="X213" s="42"/>
      <c r="Y213" s="97"/>
      <c r="Z213" s="41"/>
      <c r="AA213" s="94"/>
    </row>
    <row r="214" spans="1:27" x14ac:dyDescent="0.2">
      <c r="A214" s="96"/>
      <c r="B214" s="44"/>
      <c r="C214" s="91"/>
      <c r="D214" s="139"/>
      <c r="E214" s="44"/>
      <c r="F214" s="122"/>
      <c r="G214" s="123"/>
      <c r="H214" s="44"/>
      <c r="I214" s="93"/>
      <c r="J214" s="44"/>
      <c r="K214" s="44"/>
      <c r="L214" s="93"/>
      <c r="M214" s="124"/>
      <c r="N214" s="44"/>
      <c r="O214" s="92"/>
      <c r="P214" s="110"/>
      <c r="Q214" s="44"/>
      <c r="R214" s="92"/>
      <c r="S214" s="125"/>
      <c r="T214" s="44"/>
      <c r="U214" s="92"/>
      <c r="V214" s="44"/>
      <c r="W214" s="44"/>
      <c r="X214" s="92"/>
      <c r="Y214" s="96"/>
      <c r="Z214" s="44"/>
      <c r="AA214" s="91"/>
    </row>
    <row r="215" spans="1:27" x14ac:dyDescent="0.2">
      <c r="A215" s="96"/>
      <c r="B215" s="44"/>
      <c r="C215" s="91"/>
      <c r="D215" s="139"/>
      <c r="E215" s="44"/>
      <c r="F215" s="122"/>
      <c r="G215" s="123"/>
      <c r="H215" s="44"/>
      <c r="I215" s="93"/>
      <c r="J215" s="44"/>
      <c r="K215" s="44"/>
      <c r="L215" s="93"/>
      <c r="M215" s="124"/>
      <c r="N215" s="44"/>
      <c r="O215" s="92"/>
      <c r="P215" s="110"/>
      <c r="Q215" s="44"/>
      <c r="R215" s="92"/>
      <c r="S215" s="125"/>
      <c r="T215" s="44"/>
      <c r="U215" s="92"/>
      <c r="V215" s="44"/>
      <c r="W215" s="44"/>
      <c r="X215" s="92"/>
      <c r="Y215" s="96"/>
      <c r="Z215" s="44"/>
      <c r="AA215" s="91"/>
    </row>
    <row r="216" spans="1:27" x14ac:dyDescent="0.2">
      <c r="A216" s="97"/>
      <c r="B216" s="41"/>
      <c r="C216" s="94"/>
      <c r="D216" s="140"/>
      <c r="E216" s="41"/>
      <c r="F216" s="126"/>
      <c r="G216" s="127"/>
      <c r="H216" s="41"/>
      <c r="I216" s="95"/>
      <c r="J216" s="41"/>
      <c r="K216" s="41"/>
      <c r="L216" s="95"/>
      <c r="M216" s="128"/>
      <c r="N216" s="41"/>
      <c r="O216" s="42"/>
      <c r="P216" s="52"/>
      <c r="Q216" s="41"/>
      <c r="R216" s="42"/>
      <c r="S216" s="129"/>
      <c r="T216" s="41"/>
      <c r="U216" s="42"/>
      <c r="V216" s="41"/>
      <c r="W216" s="41"/>
      <c r="X216" s="42"/>
      <c r="Y216" s="97"/>
      <c r="Z216" s="41"/>
      <c r="AA216" s="94"/>
    </row>
    <row r="217" spans="1:27" x14ac:dyDescent="0.2">
      <c r="A217" s="87"/>
      <c r="B217" s="87"/>
      <c r="C217" s="88"/>
      <c r="D217" s="138"/>
      <c r="E217" s="87"/>
      <c r="F217" s="118"/>
      <c r="G217" s="119"/>
      <c r="H217" s="87"/>
      <c r="I217" s="90"/>
      <c r="J217" s="87"/>
      <c r="K217" s="87"/>
      <c r="L217" s="90"/>
      <c r="M217" s="120"/>
      <c r="N217" s="87"/>
      <c r="O217" s="89"/>
      <c r="P217" s="130"/>
      <c r="Q217" s="87"/>
      <c r="R217" s="89"/>
      <c r="S217" s="121"/>
      <c r="T217" s="87"/>
      <c r="U217" s="89"/>
      <c r="V217" s="87"/>
      <c r="W217" s="87"/>
      <c r="X217" s="89"/>
      <c r="Y217" s="87"/>
      <c r="Z217" s="87"/>
      <c r="AA217" s="88"/>
    </row>
    <row r="218" spans="1:27" x14ac:dyDescent="0.2">
      <c r="A218" s="44"/>
      <c r="B218" s="44"/>
      <c r="C218" s="91"/>
      <c r="D218" s="139"/>
      <c r="E218" s="44"/>
      <c r="F218" s="122"/>
      <c r="G218" s="123"/>
      <c r="H218" s="44"/>
      <c r="I218" s="93"/>
      <c r="J218" s="44"/>
      <c r="K218" s="44"/>
      <c r="L218" s="93"/>
      <c r="M218" s="124"/>
      <c r="N218" s="44"/>
      <c r="O218" s="92"/>
      <c r="P218" s="110"/>
      <c r="Q218" s="44"/>
      <c r="R218" s="92"/>
      <c r="S218" s="125"/>
      <c r="T218" s="44"/>
      <c r="U218" s="92"/>
      <c r="V218" s="44"/>
      <c r="W218" s="44"/>
      <c r="X218" s="92"/>
      <c r="Y218" s="44"/>
      <c r="Z218" s="44"/>
      <c r="AA218" s="91"/>
    </row>
    <row r="219" spans="1:27" x14ac:dyDescent="0.2">
      <c r="A219" s="41"/>
      <c r="B219" s="41"/>
      <c r="C219" s="94"/>
      <c r="D219" s="140"/>
      <c r="E219" s="41"/>
      <c r="F219" s="126"/>
      <c r="G219" s="127"/>
      <c r="H219" s="41"/>
      <c r="I219" s="95"/>
      <c r="J219" s="41"/>
      <c r="K219" s="41"/>
      <c r="L219" s="95"/>
      <c r="M219" s="128"/>
      <c r="N219" s="41"/>
      <c r="O219" s="42"/>
      <c r="P219" s="52"/>
      <c r="Q219" s="41"/>
      <c r="R219" s="42"/>
      <c r="S219" s="129"/>
      <c r="T219" s="41"/>
      <c r="U219" s="42"/>
      <c r="V219" s="41"/>
      <c r="W219" s="41"/>
      <c r="X219" s="42"/>
      <c r="Y219" s="41"/>
      <c r="Z219" s="41"/>
      <c r="AA219" s="94"/>
    </row>
    <row r="220" spans="1:27" x14ac:dyDescent="0.2">
      <c r="A220" s="44"/>
      <c r="B220" s="44"/>
      <c r="C220" s="91"/>
      <c r="D220" s="139"/>
      <c r="E220" s="44"/>
      <c r="F220" s="122"/>
      <c r="G220" s="123"/>
      <c r="H220" s="44"/>
      <c r="I220" s="93"/>
      <c r="J220" s="44"/>
      <c r="K220" s="44"/>
      <c r="L220" s="93"/>
      <c r="M220" s="124"/>
      <c r="N220" s="44"/>
      <c r="O220" s="92"/>
      <c r="P220" s="110"/>
      <c r="Q220" s="44"/>
      <c r="R220" s="92"/>
      <c r="S220" s="125"/>
      <c r="T220" s="44"/>
      <c r="U220" s="92"/>
      <c r="V220" s="44"/>
      <c r="W220" s="44"/>
      <c r="X220" s="92"/>
      <c r="Y220" s="44"/>
      <c r="Z220" s="44"/>
      <c r="AA220" s="91"/>
    </row>
    <row r="221" spans="1:27" x14ac:dyDescent="0.2">
      <c r="A221" s="87"/>
      <c r="B221" s="87"/>
      <c r="C221" s="88"/>
      <c r="D221" s="138"/>
      <c r="E221" s="87"/>
      <c r="F221" s="118"/>
      <c r="G221" s="119"/>
      <c r="H221" s="87"/>
      <c r="I221" s="90"/>
      <c r="J221" s="87"/>
      <c r="K221" s="87"/>
      <c r="L221" s="90"/>
      <c r="M221" s="120"/>
      <c r="N221" s="87"/>
      <c r="O221" s="89"/>
      <c r="P221" s="87"/>
      <c r="Q221" s="87"/>
      <c r="R221" s="89"/>
      <c r="S221" s="121"/>
      <c r="T221" s="87"/>
      <c r="U221" s="89"/>
      <c r="V221" s="87"/>
      <c r="W221" s="87"/>
      <c r="X221" s="89"/>
      <c r="Y221" s="87"/>
      <c r="Z221" s="87"/>
      <c r="AA221" s="88"/>
    </row>
    <row r="222" spans="1:27" x14ac:dyDescent="0.2">
      <c r="A222" s="44"/>
      <c r="B222" s="44"/>
      <c r="C222" s="91"/>
      <c r="D222" s="139"/>
      <c r="E222" s="44"/>
      <c r="F222" s="122"/>
      <c r="G222" s="123"/>
      <c r="H222" s="44"/>
      <c r="I222" s="93"/>
      <c r="J222" s="44"/>
      <c r="K222" s="44"/>
      <c r="L222" s="93"/>
      <c r="M222" s="124"/>
      <c r="N222" s="44"/>
      <c r="O222" s="92"/>
      <c r="P222" s="110"/>
      <c r="Q222" s="44"/>
      <c r="R222" s="92"/>
      <c r="S222" s="125"/>
      <c r="T222" s="44"/>
      <c r="U222" s="92"/>
      <c r="V222" s="44"/>
      <c r="W222" s="44"/>
      <c r="X222" s="92"/>
      <c r="Y222" s="44"/>
      <c r="Z222" s="44"/>
      <c r="AA222" s="91"/>
    </row>
    <row r="223" spans="1:27" x14ac:dyDescent="0.2">
      <c r="A223" s="41"/>
      <c r="B223" s="41"/>
      <c r="C223" s="94"/>
      <c r="D223" s="140"/>
      <c r="E223" s="41"/>
      <c r="F223" s="126"/>
      <c r="G223" s="127"/>
      <c r="H223" s="41"/>
      <c r="I223" s="95"/>
      <c r="J223" s="41"/>
      <c r="K223" s="41"/>
      <c r="L223" s="95"/>
      <c r="M223" s="128"/>
      <c r="N223" s="41"/>
      <c r="O223" s="42"/>
      <c r="P223" s="52"/>
      <c r="Q223" s="41"/>
      <c r="R223" s="42"/>
      <c r="S223" s="129"/>
      <c r="T223" s="41"/>
      <c r="U223" s="42"/>
      <c r="V223" s="41"/>
      <c r="W223" s="41"/>
      <c r="X223" s="42"/>
      <c r="Y223" s="41"/>
      <c r="Z223" s="41"/>
      <c r="AA223" s="94"/>
    </row>
    <row r="224" spans="1:27" x14ac:dyDescent="0.2">
      <c r="A224" s="44"/>
      <c r="B224" s="44"/>
      <c r="C224" s="91"/>
      <c r="D224" s="139"/>
      <c r="E224" s="44"/>
      <c r="F224" s="122"/>
      <c r="G224" s="123"/>
      <c r="H224" s="44"/>
      <c r="I224" s="93"/>
      <c r="J224" s="44"/>
      <c r="K224" s="44"/>
      <c r="L224" s="93"/>
      <c r="M224" s="124"/>
      <c r="N224" s="44"/>
      <c r="O224" s="92"/>
      <c r="P224" s="110"/>
      <c r="Q224" s="44"/>
      <c r="R224" s="92"/>
      <c r="S224" s="125"/>
      <c r="T224" s="44"/>
      <c r="U224" s="92"/>
      <c r="V224" s="44"/>
      <c r="W224" s="44"/>
      <c r="X224" s="92"/>
      <c r="Y224" s="44"/>
      <c r="Z224" s="44"/>
      <c r="AA224" s="91"/>
    </row>
    <row r="225" spans="1:27" x14ac:dyDescent="0.2">
      <c r="A225" s="41"/>
      <c r="B225" s="41"/>
      <c r="C225" s="94"/>
      <c r="D225" s="140"/>
      <c r="E225" s="41"/>
      <c r="F225" s="126"/>
      <c r="G225" s="127"/>
      <c r="H225" s="41"/>
      <c r="I225" s="95"/>
      <c r="J225" s="41"/>
      <c r="K225" s="41"/>
      <c r="L225" s="95"/>
      <c r="M225" s="128"/>
      <c r="N225" s="41"/>
      <c r="O225" s="42"/>
      <c r="P225" s="52"/>
      <c r="Q225" s="41"/>
      <c r="R225" s="42"/>
      <c r="S225" s="129"/>
      <c r="T225" s="41"/>
      <c r="U225" s="42"/>
      <c r="V225" s="41"/>
      <c r="W225" s="41"/>
      <c r="X225" s="42"/>
      <c r="Y225" s="41"/>
      <c r="Z225" s="41"/>
      <c r="AA225" s="94"/>
    </row>
    <row r="226" spans="1:27" x14ac:dyDescent="0.2">
      <c r="A226" s="44"/>
      <c r="B226" s="44"/>
      <c r="C226" s="91"/>
      <c r="D226" s="139"/>
      <c r="E226" s="44"/>
      <c r="F226" s="122"/>
      <c r="G226" s="123"/>
      <c r="H226" s="44"/>
      <c r="I226" s="93"/>
      <c r="J226" s="44"/>
      <c r="K226" s="44"/>
      <c r="L226" s="93"/>
      <c r="M226" s="124"/>
      <c r="N226" s="44"/>
      <c r="O226" s="92"/>
      <c r="P226" s="110"/>
      <c r="Q226" s="44"/>
      <c r="R226" s="92"/>
      <c r="S226" s="125"/>
      <c r="T226" s="44"/>
      <c r="U226" s="92"/>
      <c r="V226" s="44"/>
      <c r="W226" s="44"/>
      <c r="X226" s="92"/>
      <c r="Y226" s="44"/>
      <c r="Z226" s="44"/>
      <c r="AA226" s="91"/>
    </row>
    <row r="227" spans="1:27" x14ac:dyDescent="0.2">
      <c r="A227" s="41"/>
      <c r="B227" s="41"/>
      <c r="C227" s="94"/>
      <c r="D227" s="140"/>
      <c r="E227" s="41"/>
      <c r="F227" s="126"/>
      <c r="G227" s="127"/>
      <c r="H227" s="41"/>
      <c r="I227" s="95"/>
      <c r="J227" s="41"/>
      <c r="K227" s="41"/>
      <c r="L227" s="95"/>
      <c r="M227" s="128"/>
      <c r="N227" s="41"/>
      <c r="O227" s="42"/>
      <c r="P227" s="52"/>
      <c r="Q227" s="41"/>
      <c r="R227" s="42"/>
      <c r="S227" s="129"/>
      <c r="T227" s="41"/>
      <c r="U227" s="42"/>
      <c r="V227" s="41"/>
      <c r="W227" s="41"/>
      <c r="X227" s="42"/>
      <c r="Y227" s="41"/>
      <c r="Z227" s="41"/>
      <c r="AA227" s="94"/>
    </row>
    <row r="228" spans="1:27" x14ac:dyDescent="0.2">
      <c r="A228" s="44"/>
      <c r="B228" s="44"/>
      <c r="C228" s="91"/>
      <c r="D228" s="139"/>
      <c r="E228" s="44"/>
      <c r="F228" s="122"/>
      <c r="G228" s="123"/>
      <c r="H228" s="44"/>
      <c r="I228" s="93"/>
      <c r="J228" s="44"/>
      <c r="K228" s="44"/>
      <c r="L228" s="93"/>
      <c r="M228" s="124"/>
      <c r="N228" s="44"/>
      <c r="O228" s="92"/>
      <c r="P228" s="110"/>
      <c r="Q228" s="44"/>
      <c r="R228" s="92"/>
      <c r="S228" s="125"/>
      <c r="T228" s="44"/>
      <c r="U228" s="92"/>
      <c r="V228" s="44"/>
      <c r="W228" s="44"/>
      <c r="X228" s="92"/>
      <c r="Y228" s="44"/>
      <c r="Z228" s="44"/>
      <c r="AA228" s="91"/>
    </row>
    <row r="229" spans="1:27" x14ac:dyDescent="0.2">
      <c r="A229" s="41"/>
      <c r="B229" s="41"/>
      <c r="C229" s="94"/>
      <c r="D229" s="140"/>
      <c r="E229" s="41"/>
      <c r="F229" s="126"/>
      <c r="G229" s="127"/>
      <c r="H229" s="41"/>
      <c r="I229" s="95"/>
      <c r="J229" s="41"/>
      <c r="K229" s="41"/>
      <c r="L229" s="95"/>
      <c r="M229" s="128"/>
      <c r="N229" s="41"/>
      <c r="O229" s="42"/>
      <c r="P229" s="52"/>
      <c r="Q229" s="41"/>
      <c r="R229" s="42"/>
      <c r="S229" s="129"/>
      <c r="T229" s="41"/>
      <c r="U229" s="42"/>
      <c r="V229" s="41"/>
      <c r="W229" s="41"/>
      <c r="X229" s="42"/>
      <c r="Y229" s="41"/>
      <c r="Z229" s="41"/>
      <c r="AA229" s="94"/>
    </row>
    <row r="230" spans="1:27" x14ac:dyDescent="0.2">
      <c r="A230" s="44"/>
      <c r="B230" s="44"/>
      <c r="C230" s="91"/>
      <c r="D230" s="139"/>
      <c r="E230" s="44"/>
      <c r="F230" s="122"/>
      <c r="G230" s="123"/>
      <c r="H230" s="44"/>
      <c r="I230" s="93"/>
      <c r="J230" s="44"/>
      <c r="K230" s="44"/>
      <c r="L230" s="93"/>
      <c r="M230" s="124"/>
      <c r="N230" s="44"/>
      <c r="O230" s="92"/>
      <c r="P230" s="110"/>
      <c r="Q230" s="44"/>
      <c r="R230" s="92"/>
      <c r="S230" s="125"/>
      <c r="T230" s="44"/>
      <c r="U230" s="92"/>
      <c r="V230" s="44"/>
      <c r="W230" s="44"/>
      <c r="X230" s="92"/>
      <c r="Y230" s="44"/>
      <c r="Z230" s="44"/>
      <c r="AA230" s="91"/>
    </row>
    <row r="231" spans="1:27" x14ac:dyDescent="0.2">
      <c r="A231" s="41"/>
      <c r="B231" s="41"/>
      <c r="C231" s="94"/>
      <c r="D231" s="140"/>
      <c r="E231" s="41"/>
      <c r="F231" s="126"/>
      <c r="G231" s="127"/>
      <c r="H231" s="41"/>
      <c r="I231" s="95"/>
      <c r="J231" s="41"/>
      <c r="K231" s="41"/>
      <c r="L231" s="95"/>
      <c r="M231" s="128"/>
      <c r="N231" s="41"/>
      <c r="O231" s="42"/>
      <c r="P231" s="52"/>
      <c r="Q231" s="41"/>
      <c r="R231" s="42"/>
      <c r="S231" s="129"/>
      <c r="T231" s="41"/>
      <c r="U231" s="42"/>
      <c r="V231" s="41"/>
      <c r="W231" s="41"/>
      <c r="X231" s="42"/>
      <c r="Y231" s="41"/>
      <c r="Z231" s="41"/>
      <c r="AA231" s="94"/>
    </row>
    <row r="232" spans="1:27" x14ac:dyDescent="0.2">
      <c r="A232" s="44"/>
      <c r="B232" s="44"/>
      <c r="C232" s="91"/>
      <c r="D232" s="139"/>
      <c r="E232" s="44"/>
      <c r="F232" s="122"/>
      <c r="G232" s="123"/>
      <c r="H232" s="44"/>
      <c r="I232" s="93"/>
      <c r="J232" s="44"/>
      <c r="K232" s="44"/>
      <c r="L232" s="93"/>
      <c r="M232" s="124"/>
      <c r="N232" s="44"/>
      <c r="O232" s="92"/>
      <c r="P232" s="110"/>
      <c r="Q232" s="44"/>
      <c r="R232" s="92"/>
      <c r="S232" s="125"/>
      <c r="T232" s="44"/>
      <c r="U232" s="92"/>
      <c r="V232" s="44"/>
      <c r="W232" s="44"/>
      <c r="X232" s="92"/>
      <c r="Y232" s="44"/>
      <c r="Z232" s="44"/>
      <c r="AA232" s="91"/>
    </row>
    <row r="233" spans="1:27" x14ac:dyDescent="0.2">
      <c r="A233" s="41"/>
      <c r="B233" s="41"/>
      <c r="C233" s="94"/>
      <c r="D233" s="140"/>
      <c r="E233" s="41"/>
      <c r="F233" s="126"/>
      <c r="G233" s="127"/>
      <c r="H233" s="41"/>
      <c r="I233" s="95"/>
      <c r="J233" s="41"/>
      <c r="K233" s="41"/>
      <c r="L233" s="95"/>
      <c r="M233" s="128"/>
      <c r="N233" s="41"/>
      <c r="O233" s="42"/>
      <c r="P233" s="52"/>
      <c r="Q233" s="41"/>
      <c r="R233" s="42"/>
      <c r="S233" s="129"/>
      <c r="T233" s="41"/>
      <c r="U233" s="42"/>
      <c r="V233" s="41"/>
      <c r="W233" s="41"/>
      <c r="X233" s="42"/>
      <c r="Y233" s="41"/>
      <c r="Z233" s="41"/>
      <c r="AA233" s="94"/>
    </row>
    <row r="234" spans="1:27" x14ac:dyDescent="0.2">
      <c r="A234" s="44"/>
      <c r="B234" s="44"/>
      <c r="C234" s="91"/>
      <c r="D234" s="139"/>
      <c r="E234" s="44"/>
      <c r="F234" s="122"/>
      <c r="G234" s="123"/>
      <c r="H234" s="44"/>
      <c r="I234" s="93"/>
      <c r="J234" s="44"/>
      <c r="K234" s="44"/>
      <c r="L234" s="93"/>
      <c r="M234" s="124"/>
      <c r="N234" s="44"/>
      <c r="O234" s="92"/>
      <c r="P234" s="110"/>
      <c r="Q234" s="44"/>
      <c r="R234" s="92"/>
      <c r="S234" s="125"/>
      <c r="T234" s="44"/>
      <c r="U234" s="92"/>
      <c r="V234" s="44"/>
      <c r="W234" s="44"/>
      <c r="X234" s="92"/>
      <c r="Y234" s="44"/>
      <c r="Z234" s="44"/>
      <c r="AA234" s="91"/>
    </row>
    <row r="235" spans="1:27" x14ac:dyDescent="0.2">
      <c r="A235" s="41"/>
      <c r="B235" s="41"/>
      <c r="C235" s="94"/>
      <c r="D235" s="140"/>
      <c r="E235" s="41"/>
      <c r="F235" s="126"/>
      <c r="G235" s="127"/>
      <c r="H235" s="41"/>
      <c r="I235" s="95"/>
      <c r="J235" s="41"/>
      <c r="K235" s="41"/>
      <c r="L235" s="95"/>
      <c r="M235" s="128"/>
      <c r="N235" s="41"/>
      <c r="O235" s="42"/>
      <c r="P235" s="52"/>
      <c r="Q235" s="41"/>
      <c r="R235" s="42"/>
      <c r="S235" s="129"/>
      <c r="T235" s="41"/>
      <c r="U235" s="42"/>
      <c r="V235" s="41"/>
      <c r="W235" s="41"/>
      <c r="X235" s="42"/>
      <c r="Y235" s="41"/>
      <c r="Z235" s="41"/>
      <c r="AA235" s="94"/>
    </row>
    <row r="236" spans="1:27" x14ac:dyDescent="0.2">
      <c r="A236" s="44"/>
      <c r="B236" s="44"/>
      <c r="C236" s="91"/>
      <c r="D236" s="139"/>
      <c r="E236" s="44"/>
      <c r="F236" s="122"/>
      <c r="G236" s="123"/>
      <c r="H236" s="44"/>
      <c r="I236" s="93"/>
      <c r="J236" s="44"/>
      <c r="K236" s="44"/>
      <c r="L236" s="93"/>
      <c r="M236" s="124"/>
      <c r="N236" s="44"/>
      <c r="O236" s="92"/>
      <c r="P236" s="110"/>
      <c r="Q236" s="44"/>
      <c r="R236" s="92"/>
      <c r="S236" s="125"/>
      <c r="T236" s="44"/>
      <c r="U236" s="92"/>
      <c r="V236" s="44"/>
      <c r="W236" s="44"/>
      <c r="X236" s="92"/>
      <c r="Y236" s="44"/>
      <c r="Z236" s="44"/>
      <c r="AA236" s="91"/>
    </row>
    <row r="237" spans="1:27" x14ac:dyDescent="0.2">
      <c r="A237" s="41"/>
      <c r="B237" s="41"/>
      <c r="C237" s="94"/>
      <c r="D237" s="140"/>
      <c r="E237" s="41"/>
      <c r="F237" s="126"/>
      <c r="G237" s="127"/>
      <c r="H237" s="41"/>
      <c r="I237" s="95"/>
      <c r="J237" s="41"/>
      <c r="K237" s="41"/>
      <c r="L237" s="95"/>
      <c r="M237" s="128"/>
      <c r="N237" s="41"/>
      <c r="O237" s="42"/>
      <c r="P237" s="52"/>
      <c r="Q237" s="41"/>
      <c r="R237" s="42"/>
      <c r="S237" s="129"/>
      <c r="T237" s="41"/>
      <c r="U237" s="42"/>
      <c r="V237" s="41"/>
      <c r="W237" s="41"/>
      <c r="X237" s="42"/>
      <c r="Y237" s="41"/>
      <c r="Z237" s="41"/>
      <c r="AA237" s="94"/>
    </row>
    <row r="238" spans="1:27" x14ac:dyDescent="0.2">
      <c r="A238" s="44"/>
      <c r="B238" s="44"/>
      <c r="C238" s="91"/>
      <c r="D238" s="139"/>
      <c r="E238" s="44"/>
      <c r="F238" s="122"/>
      <c r="G238" s="123"/>
      <c r="H238" s="44"/>
      <c r="I238" s="93"/>
      <c r="J238" s="44"/>
      <c r="K238" s="44"/>
      <c r="L238" s="93"/>
      <c r="M238" s="124"/>
      <c r="N238" s="44"/>
      <c r="O238" s="92"/>
      <c r="P238" s="110"/>
      <c r="Q238" s="44"/>
      <c r="R238" s="92"/>
      <c r="S238" s="125"/>
      <c r="T238" s="44"/>
      <c r="U238" s="92"/>
      <c r="V238" s="44"/>
      <c r="W238" s="44"/>
      <c r="X238" s="92"/>
      <c r="Y238" s="44"/>
      <c r="Z238" s="44"/>
      <c r="AA238" s="91"/>
    </row>
    <row r="239" spans="1:27" x14ac:dyDescent="0.2">
      <c r="A239" s="41"/>
      <c r="B239" s="41"/>
      <c r="C239" s="94"/>
      <c r="D239" s="140"/>
      <c r="E239" s="41"/>
      <c r="F239" s="127"/>
      <c r="G239" s="127"/>
      <c r="H239" s="41"/>
      <c r="I239" s="95"/>
      <c r="J239" s="41"/>
      <c r="K239" s="41"/>
      <c r="L239" s="95"/>
      <c r="M239" s="128"/>
      <c r="N239" s="41"/>
      <c r="O239" s="42"/>
      <c r="P239" s="52"/>
      <c r="Q239" s="41"/>
      <c r="R239" s="42"/>
      <c r="S239" s="129"/>
      <c r="T239" s="41"/>
      <c r="U239" s="42"/>
      <c r="V239" s="41"/>
      <c r="W239" s="41"/>
      <c r="X239" s="42"/>
      <c r="Y239" s="41"/>
      <c r="Z239" s="41"/>
      <c r="AA239" s="94"/>
    </row>
    <row r="240" spans="1:27" x14ac:dyDescent="0.2">
      <c r="A240" s="44"/>
      <c r="B240" s="44"/>
      <c r="C240" s="91"/>
      <c r="D240" s="139"/>
      <c r="E240" s="44"/>
      <c r="F240" s="122"/>
      <c r="G240" s="123"/>
      <c r="H240" s="44"/>
      <c r="I240" s="93"/>
      <c r="J240" s="44"/>
      <c r="K240" s="44"/>
      <c r="L240" s="93"/>
      <c r="M240" s="124"/>
      <c r="N240" s="44"/>
      <c r="O240" s="92"/>
      <c r="P240" s="110"/>
      <c r="Q240" s="44"/>
      <c r="R240" s="92"/>
      <c r="S240" s="125"/>
      <c r="T240" s="44"/>
      <c r="U240" s="92"/>
      <c r="V240" s="44"/>
      <c r="W240" s="44"/>
      <c r="X240" s="92"/>
      <c r="Y240" s="44"/>
      <c r="Z240" s="44"/>
      <c r="AA240" s="91"/>
    </row>
    <row r="241" spans="1:27" x14ac:dyDescent="0.2">
      <c r="A241" s="41"/>
      <c r="B241" s="41"/>
      <c r="C241" s="94"/>
      <c r="D241" s="140"/>
      <c r="E241" s="41"/>
      <c r="F241" s="126"/>
      <c r="G241" s="127"/>
      <c r="H241" s="41"/>
      <c r="I241" s="95"/>
      <c r="J241" s="41"/>
      <c r="K241" s="41"/>
      <c r="L241" s="95"/>
      <c r="M241" s="128"/>
      <c r="N241" s="41"/>
      <c r="O241" s="42"/>
      <c r="P241" s="52"/>
      <c r="Q241" s="41"/>
      <c r="R241" s="42"/>
      <c r="S241" s="129"/>
      <c r="T241" s="41"/>
      <c r="U241" s="42"/>
      <c r="V241" s="41"/>
      <c r="W241" s="41"/>
      <c r="X241" s="42"/>
      <c r="Y241" s="41"/>
      <c r="Z241" s="41"/>
      <c r="AA241" s="94"/>
    </row>
    <row r="242" spans="1:27" x14ac:dyDescent="0.2">
      <c r="A242" s="44"/>
      <c r="B242" s="44"/>
      <c r="C242" s="91"/>
      <c r="D242" s="139"/>
      <c r="E242" s="44"/>
      <c r="F242" s="122"/>
      <c r="G242" s="123"/>
      <c r="H242" s="44"/>
      <c r="I242" s="93"/>
      <c r="J242" s="44"/>
      <c r="K242" s="44"/>
      <c r="L242" s="93"/>
      <c r="M242" s="124"/>
      <c r="N242" s="44"/>
      <c r="O242" s="92"/>
      <c r="P242" s="110"/>
      <c r="Q242" s="44"/>
      <c r="R242" s="92"/>
      <c r="S242" s="125"/>
      <c r="T242" s="44"/>
      <c r="U242" s="92"/>
      <c r="V242" s="44"/>
      <c r="W242" s="44"/>
      <c r="X242" s="92"/>
      <c r="Y242" s="44"/>
      <c r="Z242" s="44"/>
      <c r="AA242" s="91"/>
    </row>
    <row r="243" spans="1:27" x14ac:dyDescent="0.2">
      <c r="A243" s="41"/>
      <c r="B243" s="41"/>
      <c r="C243" s="94"/>
      <c r="D243" s="140"/>
      <c r="E243" s="41"/>
      <c r="F243" s="126"/>
      <c r="G243" s="127"/>
      <c r="H243" s="41"/>
      <c r="I243" s="95"/>
      <c r="J243" s="41"/>
      <c r="K243" s="41"/>
      <c r="L243" s="95"/>
      <c r="M243" s="128"/>
      <c r="N243" s="41"/>
      <c r="O243" s="42"/>
      <c r="P243" s="52"/>
      <c r="Q243" s="41"/>
      <c r="R243" s="42"/>
      <c r="S243" s="129"/>
      <c r="T243" s="41"/>
      <c r="U243" s="42"/>
      <c r="V243" s="41"/>
      <c r="W243" s="41"/>
      <c r="X243" s="42"/>
      <c r="Y243" s="41"/>
      <c r="Z243" s="41"/>
      <c r="AA243" s="94"/>
    </row>
    <row r="244" spans="1:27" x14ac:dyDescent="0.2">
      <c r="A244" s="44"/>
      <c r="B244" s="44"/>
      <c r="C244" s="91"/>
      <c r="D244" s="139"/>
      <c r="E244" s="44"/>
      <c r="F244" s="122"/>
      <c r="G244" s="123"/>
      <c r="H244" s="44"/>
      <c r="I244" s="93"/>
      <c r="J244" s="44"/>
      <c r="K244" s="44"/>
      <c r="L244" s="93"/>
      <c r="M244" s="124"/>
      <c r="N244" s="44"/>
      <c r="O244" s="92"/>
      <c r="P244" s="110"/>
      <c r="Q244" s="44"/>
      <c r="R244" s="92"/>
      <c r="S244" s="125"/>
      <c r="T244" s="44"/>
      <c r="U244" s="92"/>
      <c r="V244" s="44"/>
      <c r="W244" s="44"/>
      <c r="X244" s="92"/>
      <c r="Y244" s="44"/>
      <c r="Z244" s="44"/>
      <c r="AA244" s="91"/>
    </row>
    <row r="245" spans="1:27" x14ac:dyDescent="0.2">
      <c r="A245" s="41"/>
      <c r="B245" s="41"/>
      <c r="C245" s="94"/>
      <c r="D245" s="140"/>
      <c r="E245" s="41"/>
      <c r="F245" s="126"/>
      <c r="G245" s="127"/>
      <c r="H245" s="41"/>
      <c r="I245" s="95"/>
      <c r="J245" s="41"/>
      <c r="K245" s="41"/>
      <c r="L245" s="95"/>
      <c r="M245" s="128"/>
      <c r="N245" s="41"/>
      <c r="O245" s="42"/>
      <c r="P245" s="52"/>
      <c r="Q245" s="41"/>
      <c r="R245" s="42"/>
      <c r="S245" s="129"/>
      <c r="T245" s="41"/>
      <c r="U245" s="42"/>
      <c r="V245" s="41"/>
      <c r="W245" s="41"/>
      <c r="X245" s="42"/>
      <c r="Y245" s="41"/>
      <c r="Z245" s="41"/>
      <c r="AA245" s="94"/>
    </row>
    <row r="246" spans="1:27" x14ac:dyDescent="0.2">
      <c r="A246" s="44"/>
      <c r="B246" s="44"/>
      <c r="C246" s="91"/>
      <c r="D246" s="139"/>
      <c r="E246" s="44"/>
      <c r="F246" s="122"/>
      <c r="G246" s="123"/>
      <c r="H246" s="44"/>
      <c r="I246" s="93"/>
      <c r="J246" s="44"/>
      <c r="K246" s="44"/>
      <c r="L246" s="93"/>
      <c r="M246" s="124"/>
      <c r="N246" s="44"/>
      <c r="O246" s="92"/>
      <c r="P246" s="110"/>
      <c r="Q246" s="44"/>
      <c r="R246" s="92"/>
      <c r="S246" s="125"/>
      <c r="T246" s="44"/>
      <c r="U246" s="92"/>
      <c r="V246" s="44"/>
      <c r="W246" s="44"/>
      <c r="X246" s="92"/>
      <c r="Y246" s="44"/>
      <c r="Z246" s="44"/>
      <c r="AA246" s="91"/>
    </row>
    <row r="247" spans="1:27" x14ac:dyDescent="0.2">
      <c r="A247" s="96"/>
      <c r="B247" s="44"/>
      <c r="C247" s="91"/>
      <c r="D247" s="139"/>
      <c r="E247" s="44"/>
      <c r="F247" s="122"/>
      <c r="G247" s="123"/>
      <c r="H247" s="44"/>
      <c r="I247" s="93"/>
      <c r="J247" s="44"/>
      <c r="K247" s="44"/>
      <c r="L247" s="93"/>
      <c r="M247" s="124"/>
      <c r="N247" s="44"/>
      <c r="O247" s="92"/>
      <c r="P247" s="110"/>
      <c r="Q247" s="44"/>
      <c r="R247" s="92"/>
      <c r="S247" s="125"/>
      <c r="T247" s="44"/>
      <c r="U247" s="92"/>
      <c r="V247" s="44"/>
      <c r="W247" s="44"/>
      <c r="X247" s="92"/>
      <c r="Y247" s="96"/>
      <c r="Z247" s="44"/>
      <c r="AA247" s="91"/>
    </row>
    <row r="248" spans="1:27" x14ac:dyDescent="0.2">
      <c r="A248" s="97"/>
      <c r="B248" s="41"/>
      <c r="C248" s="94"/>
      <c r="D248" s="140"/>
      <c r="E248" s="41"/>
      <c r="F248" s="126"/>
      <c r="G248" s="127"/>
      <c r="H248" s="41"/>
      <c r="I248" s="95"/>
      <c r="J248" s="41"/>
      <c r="K248" s="41"/>
      <c r="L248" s="95"/>
      <c r="M248" s="128"/>
      <c r="N248" s="41"/>
      <c r="O248" s="42"/>
      <c r="P248" s="52"/>
      <c r="Q248" s="41"/>
      <c r="R248" s="42"/>
      <c r="S248" s="129"/>
      <c r="T248" s="41"/>
      <c r="U248" s="42"/>
      <c r="V248" s="41"/>
      <c r="W248" s="41"/>
      <c r="X248" s="42"/>
      <c r="Y248" s="97"/>
      <c r="Z248" s="41"/>
      <c r="AA248" s="94"/>
    </row>
    <row r="249" spans="1:27" x14ac:dyDescent="0.2">
      <c r="A249" s="96"/>
      <c r="B249" s="44"/>
      <c r="C249" s="91"/>
      <c r="D249" s="139"/>
      <c r="E249" s="44"/>
      <c r="F249" s="122"/>
      <c r="G249" s="123"/>
      <c r="H249" s="44"/>
      <c r="I249" s="93"/>
      <c r="J249" s="44"/>
      <c r="K249" s="44"/>
      <c r="L249" s="93"/>
      <c r="M249" s="124"/>
      <c r="N249" s="44"/>
      <c r="O249" s="92"/>
      <c r="P249" s="110"/>
      <c r="Q249" s="44"/>
      <c r="R249" s="92"/>
      <c r="S249" s="125"/>
      <c r="T249" s="44"/>
      <c r="U249" s="92"/>
      <c r="V249" s="44"/>
      <c r="W249" s="44"/>
      <c r="X249" s="92"/>
      <c r="Y249" s="96"/>
      <c r="Z249" s="44"/>
      <c r="AA249" s="91"/>
    </row>
    <row r="250" spans="1:27" x14ac:dyDescent="0.2">
      <c r="A250" s="97"/>
      <c r="B250" s="41"/>
      <c r="C250" s="94"/>
      <c r="D250" s="140"/>
      <c r="E250" s="41"/>
      <c r="F250" s="126"/>
      <c r="G250" s="127"/>
      <c r="H250" s="41"/>
      <c r="I250" s="95"/>
      <c r="J250" s="41"/>
      <c r="K250" s="41"/>
      <c r="L250" s="95"/>
      <c r="M250" s="128"/>
      <c r="N250" s="41"/>
      <c r="O250" s="42"/>
      <c r="P250" s="52"/>
      <c r="Q250" s="41"/>
      <c r="R250" s="42"/>
      <c r="S250" s="129"/>
      <c r="T250" s="41"/>
      <c r="U250" s="42"/>
      <c r="V250" s="41"/>
      <c r="W250" s="41"/>
      <c r="X250" s="42"/>
      <c r="Y250" s="97"/>
      <c r="Z250" s="41"/>
      <c r="AA250" s="94"/>
    </row>
    <row r="251" spans="1:27" x14ac:dyDescent="0.2">
      <c r="A251" s="97"/>
      <c r="B251" s="41"/>
      <c r="C251" s="94"/>
      <c r="D251" s="140"/>
      <c r="E251" s="41"/>
      <c r="F251" s="126"/>
      <c r="G251" s="127"/>
      <c r="H251" s="41"/>
      <c r="I251" s="95"/>
      <c r="J251" s="41"/>
      <c r="K251" s="41"/>
      <c r="L251" s="95"/>
      <c r="M251" s="128"/>
      <c r="N251" s="41"/>
      <c r="O251" s="42"/>
      <c r="P251" s="52"/>
      <c r="Q251" s="41"/>
      <c r="R251" s="42"/>
      <c r="S251" s="129"/>
      <c r="T251" s="41"/>
      <c r="U251" s="42"/>
      <c r="V251" s="41"/>
      <c r="W251" s="41"/>
      <c r="X251" s="42"/>
      <c r="Y251" s="97"/>
      <c r="Z251" s="41"/>
      <c r="AA251" s="94"/>
    </row>
    <row r="252" spans="1:27" x14ac:dyDescent="0.2">
      <c r="A252" s="97"/>
      <c r="B252" s="41"/>
      <c r="C252" s="94"/>
      <c r="D252" s="140"/>
      <c r="E252" s="41"/>
      <c r="F252" s="126"/>
      <c r="G252" s="127"/>
      <c r="H252" s="41"/>
      <c r="I252" s="95"/>
      <c r="J252" s="41"/>
      <c r="K252" s="41"/>
      <c r="L252" s="95"/>
      <c r="M252" s="128"/>
      <c r="N252" s="41"/>
      <c r="O252" s="42"/>
      <c r="P252" s="52"/>
      <c r="Q252" s="41"/>
      <c r="R252" s="42"/>
      <c r="S252" s="129"/>
      <c r="T252" s="41"/>
      <c r="U252" s="42"/>
      <c r="V252" s="41"/>
      <c r="W252" s="41"/>
      <c r="X252" s="42"/>
      <c r="Y252" s="97"/>
      <c r="Z252" s="41"/>
      <c r="AA252" s="94"/>
    </row>
    <row r="253" spans="1:27" x14ac:dyDescent="0.2">
      <c r="A253" s="97"/>
      <c r="B253" s="41"/>
      <c r="C253" s="94"/>
      <c r="D253" s="140"/>
      <c r="E253" s="41"/>
      <c r="F253" s="126"/>
      <c r="G253" s="127"/>
      <c r="H253" s="41"/>
      <c r="I253" s="95"/>
      <c r="J253" s="41"/>
      <c r="K253" s="41"/>
      <c r="L253" s="95"/>
      <c r="M253" s="128"/>
      <c r="N253" s="41"/>
      <c r="O253" s="42"/>
      <c r="P253" s="52"/>
      <c r="Q253" s="41"/>
      <c r="R253" s="42"/>
      <c r="S253" s="129"/>
      <c r="T253" s="41"/>
      <c r="U253" s="42"/>
      <c r="V253" s="41"/>
      <c r="W253" s="41"/>
      <c r="X253" s="42"/>
      <c r="Y253" s="97"/>
      <c r="Z253" s="41"/>
      <c r="AA253" s="94"/>
    </row>
    <row r="254" spans="1:27" x14ac:dyDescent="0.2">
      <c r="A254" s="96"/>
      <c r="B254" s="44"/>
      <c r="C254" s="91"/>
      <c r="D254" s="139"/>
      <c r="E254" s="44"/>
      <c r="F254" s="122"/>
      <c r="G254" s="123"/>
      <c r="H254" s="44"/>
      <c r="I254" s="93"/>
      <c r="J254" s="44"/>
      <c r="K254" s="44"/>
      <c r="L254" s="93"/>
      <c r="M254" s="124"/>
      <c r="N254" s="44"/>
      <c r="O254" s="92"/>
      <c r="P254" s="110"/>
      <c r="Q254" s="44"/>
      <c r="R254" s="92"/>
      <c r="S254" s="125"/>
      <c r="T254" s="44"/>
      <c r="U254" s="92"/>
      <c r="V254" s="44"/>
      <c r="W254" s="44"/>
      <c r="X254" s="92"/>
      <c r="Y254" s="96"/>
      <c r="Z254" s="44"/>
      <c r="AA254" s="91"/>
    </row>
    <row r="255" spans="1:27" x14ac:dyDescent="0.2">
      <c r="A255" s="96"/>
      <c r="B255" s="44"/>
      <c r="C255" s="91"/>
      <c r="D255" s="139"/>
      <c r="E255" s="44"/>
      <c r="F255" s="122"/>
      <c r="G255" s="123"/>
      <c r="H255" s="44"/>
      <c r="I255" s="93"/>
      <c r="J255" s="44"/>
      <c r="K255" s="44"/>
      <c r="L255" s="93"/>
      <c r="M255" s="124"/>
      <c r="N255" s="44"/>
      <c r="O255" s="92"/>
      <c r="P255" s="110"/>
      <c r="Q255" s="44"/>
      <c r="R255" s="92"/>
      <c r="S255" s="125"/>
      <c r="T255" s="44"/>
      <c r="U255" s="92"/>
      <c r="V255" s="44"/>
      <c r="W255" s="44"/>
      <c r="X255" s="92"/>
      <c r="Y255" s="96"/>
      <c r="Z255" s="44"/>
      <c r="AA255" s="91"/>
    </row>
    <row r="256" spans="1:27" x14ac:dyDescent="0.2">
      <c r="A256" s="96"/>
      <c r="B256" s="44"/>
      <c r="C256" s="91"/>
      <c r="D256" s="139"/>
      <c r="E256" s="44"/>
      <c r="F256" s="122"/>
      <c r="G256" s="123"/>
      <c r="H256" s="44"/>
      <c r="I256" s="93"/>
      <c r="J256" s="44"/>
      <c r="K256" s="44"/>
      <c r="L256" s="93"/>
      <c r="M256" s="124"/>
      <c r="N256" s="44"/>
      <c r="O256" s="92"/>
      <c r="P256" s="110"/>
      <c r="Q256" s="44"/>
      <c r="R256" s="92"/>
      <c r="S256" s="125"/>
      <c r="T256" s="44"/>
      <c r="U256" s="92"/>
      <c r="V256" s="44"/>
      <c r="W256" s="44"/>
      <c r="X256" s="92"/>
      <c r="Y256" s="96"/>
      <c r="Z256" s="44"/>
      <c r="AA256" s="91"/>
    </row>
    <row r="257" spans="1:27" x14ac:dyDescent="0.2">
      <c r="A257" s="96"/>
      <c r="B257" s="44"/>
      <c r="C257" s="91"/>
      <c r="D257" s="139"/>
      <c r="E257" s="44"/>
      <c r="F257" s="122"/>
      <c r="G257" s="123"/>
      <c r="H257" s="44"/>
      <c r="I257" s="93"/>
      <c r="J257" s="44"/>
      <c r="K257" s="44"/>
      <c r="L257" s="93"/>
      <c r="M257" s="124"/>
      <c r="N257" s="44"/>
      <c r="O257" s="92"/>
      <c r="P257" s="110"/>
      <c r="Q257" s="44"/>
      <c r="R257" s="92"/>
      <c r="S257" s="125"/>
      <c r="T257" s="44"/>
      <c r="U257" s="92"/>
      <c r="V257" s="44"/>
      <c r="W257" s="44"/>
      <c r="X257" s="92"/>
      <c r="Y257" s="96"/>
      <c r="Z257" s="44"/>
      <c r="AA257" s="91"/>
    </row>
    <row r="258" spans="1:27" x14ac:dyDescent="0.2">
      <c r="A258" s="96"/>
      <c r="B258" s="44"/>
      <c r="C258" s="91"/>
      <c r="D258" s="139"/>
      <c r="E258" s="44"/>
      <c r="F258" s="122"/>
      <c r="G258" s="123"/>
      <c r="H258" s="44"/>
      <c r="I258" s="93"/>
      <c r="J258" s="44"/>
      <c r="K258" s="44"/>
      <c r="L258" s="93"/>
      <c r="M258" s="124"/>
      <c r="N258" s="44"/>
      <c r="O258" s="92"/>
      <c r="P258" s="110"/>
      <c r="Q258" s="44"/>
      <c r="R258" s="92"/>
      <c r="S258" s="125"/>
      <c r="T258" s="44"/>
      <c r="U258" s="92"/>
      <c r="V258" s="44"/>
      <c r="W258" s="44"/>
      <c r="X258" s="92"/>
      <c r="Y258" s="96"/>
      <c r="Z258" s="44"/>
      <c r="AA258" s="91"/>
    </row>
    <row r="259" spans="1:27" x14ac:dyDescent="0.2">
      <c r="A259" s="97"/>
      <c r="B259" s="41"/>
      <c r="C259" s="94"/>
      <c r="D259" s="140"/>
      <c r="E259" s="41"/>
      <c r="F259" s="126"/>
      <c r="G259" s="127"/>
      <c r="H259" s="41"/>
      <c r="I259" s="95"/>
      <c r="J259" s="41"/>
      <c r="K259" s="41"/>
      <c r="L259" s="95"/>
      <c r="M259" s="128"/>
      <c r="N259" s="41"/>
      <c r="O259" s="42"/>
      <c r="P259" s="52"/>
      <c r="Q259" s="41"/>
      <c r="R259" s="42"/>
      <c r="S259" s="129"/>
      <c r="T259" s="41"/>
      <c r="U259" s="42"/>
      <c r="V259" s="41"/>
      <c r="W259" s="41"/>
      <c r="X259" s="42"/>
      <c r="Y259" s="97"/>
      <c r="Z259" s="41"/>
      <c r="AA259" s="94"/>
    </row>
    <row r="260" spans="1:27" x14ac:dyDescent="0.2">
      <c r="A260" s="96"/>
      <c r="B260" s="44"/>
      <c r="C260" s="91"/>
      <c r="D260" s="139"/>
      <c r="E260" s="44"/>
      <c r="F260" s="122"/>
      <c r="G260" s="123"/>
      <c r="H260" s="44"/>
      <c r="I260" s="93"/>
      <c r="J260" s="44"/>
      <c r="K260" s="44"/>
      <c r="L260" s="93"/>
      <c r="M260" s="124"/>
      <c r="N260" s="44"/>
      <c r="O260" s="92"/>
      <c r="P260" s="110"/>
      <c r="Q260" s="44"/>
      <c r="R260" s="92"/>
      <c r="S260" s="125"/>
      <c r="T260" s="44"/>
      <c r="U260" s="92"/>
      <c r="V260" s="44"/>
      <c r="W260" s="44"/>
      <c r="X260" s="92"/>
      <c r="Y260" s="96"/>
      <c r="Z260" s="44"/>
      <c r="AA260" s="91"/>
    </row>
    <row r="261" spans="1:27" x14ac:dyDescent="0.2">
      <c r="A261" s="97"/>
      <c r="B261" s="41"/>
      <c r="C261" s="94"/>
      <c r="D261" s="140"/>
      <c r="E261" s="41"/>
      <c r="F261" s="126"/>
      <c r="G261" s="127"/>
      <c r="H261" s="41"/>
      <c r="I261" s="95"/>
      <c r="J261" s="41"/>
      <c r="K261" s="41"/>
      <c r="L261" s="95"/>
      <c r="M261" s="128"/>
      <c r="N261" s="41"/>
      <c r="O261" s="42"/>
      <c r="P261" s="52"/>
      <c r="Q261" s="41"/>
      <c r="R261" s="42"/>
      <c r="S261" s="129"/>
      <c r="T261" s="41"/>
      <c r="U261" s="42"/>
      <c r="V261" s="41"/>
      <c r="W261" s="41"/>
      <c r="X261" s="42"/>
      <c r="Y261" s="97"/>
      <c r="Z261" s="41"/>
      <c r="AA261" s="94"/>
    </row>
    <row r="262" spans="1:27" x14ac:dyDescent="0.2">
      <c r="A262" s="96"/>
      <c r="B262" s="44"/>
      <c r="C262" s="91"/>
      <c r="D262" s="139"/>
      <c r="E262" s="44"/>
      <c r="F262" s="122"/>
      <c r="G262" s="123"/>
      <c r="H262" s="44"/>
      <c r="I262" s="93"/>
      <c r="J262" s="44"/>
      <c r="K262" s="44"/>
      <c r="L262" s="93"/>
      <c r="M262" s="124"/>
      <c r="N262" s="44"/>
      <c r="O262" s="92"/>
      <c r="P262" s="110"/>
      <c r="Q262" s="44"/>
      <c r="R262" s="92"/>
      <c r="S262" s="125"/>
      <c r="T262" s="44"/>
      <c r="U262" s="92"/>
      <c r="V262" s="44"/>
      <c r="W262" s="44"/>
      <c r="X262" s="92"/>
      <c r="Y262" s="96"/>
      <c r="Z262" s="44"/>
      <c r="AA262" s="91"/>
    </row>
    <row r="263" spans="1:27" x14ac:dyDescent="0.2">
      <c r="A263" s="96"/>
      <c r="B263" s="44"/>
      <c r="C263" s="91"/>
      <c r="D263" s="139"/>
      <c r="E263" s="44"/>
      <c r="F263" s="122"/>
      <c r="G263" s="123"/>
      <c r="H263" s="44"/>
      <c r="I263" s="93"/>
      <c r="J263" s="44"/>
      <c r="K263" s="44"/>
      <c r="L263" s="93"/>
      <c r="M263" s="124"/>
      <c r="N263" s="44"/>
      <c r="O263" s="92"/>
      <c r="P263" s="110"/>
      <c r="Q263" s="44"/>
      <c r="R263" s="92"/>
      <c r="S263" s="125"/>
      <c r="T263" s="44"/>
      <c r="U263" s="92"/>
      <c r="V263" s="44"/>
      <c r="W263" s="44"/>
      <c r="X263" s="92"/>
      <c r="Y263" s="96"/>
      <c r="Z263" s="44"/>
      <c r="AA263" s="91"/>
    </row>
    <row r="264" spans="1:27" x14ac:dyDescent="0.2">
      <c r="A264" s="97"/>
      <c r="B264" s="41"/>
      <c r="C264" s="94"/>
      <c r="D264" s="140"/>
      <c r="E264" s="41"/>
      <c r="F264" s="126"/>
      <c r="G264" s="127"/>
      <c r="H264" s="41"/>
      <c r="I264" s="95"/>
      <c r="J264" s="41"/>
      <c r="K264" s="41"/>
      <c r="L264" s="95"/>
      <c r="M264" s="128"/>
      <c r="N264" s="41"/>
      <c r="O264" s="42"/>
      <c r="P264" s="52"/>
      <c r="Q264" s="41"/>
      <c r="R264" s="42"/>
      <c r="S264" s="129"/>
      <c r="T264" s="41"/>
      <c r="U264" s="42"/>
      <c r="V264" s="41"/>
      <c r="W264" s="41"/>
      <c r="X264" s="42"/>
      <c r="Y264" s="97"/>
      <c r="Z264" s="41"/>
      <c r="AA264" s="94"/>
    </row>
    <row r="265" spans="1:27" x14ac:dyDescent="0.2">
      <c r="A265" s="96"/>
      <c r="B265" s="44"/>
      <c r="C265" s="91"/>
      <c r="D265" s="139"/>
      <c r="E265" s="44"/>
      <c r="F265" s="122"/>
      <c r="G265" s="123"/>
      <c r="H265" s="44"/>
      <c r="I265" s="93"/>
      <c r="J265" s="44"/>
      <c r="K265" s="44"/>
      <c r="L265" s="93"/>
      <c r="M265" s="124"/>
      <c r="N265" s="44"/>
      <c r="O265" s="92"/>
      <c r="P265" s="110"/>
      <c r="Q265" s="44"/>
      <c r="R265" s="92"/>
      <c r="S265" s="125"/>
      <c r="T265" s="44"/>
      <c r="U265" s="92"/>
      <c r="V265" s="44"/>
      <c r="W265" s="44"/>
      <c r="X265" s="92"/>
      <c r="Y265" s="96"/>
      <c r="Z265" s="44"/>
      <c r="AA265" s="91"/>
    </row>
    <row r="266" spans="1:27" x14ac:dyDescent="0.2">
      <c r="A266" s="96"/>
      <c r="B266" s="44"/>
      <c r="C266" s="91"/>
      <c r="D266" s="139"/>
      <c r="E266" s="44"/>
      <c r="F266" s="122"/>
      <c r="G266" s="123"/>
      <c r="H266" s="44"/>
      <c r="I266" s="93"/>
      <c r="J266" s="44"/>
      <c r="K266" s="44"/>
      <c r="L266" s="93"/>
      <c r="M266" s="124"/>
      <c r="N266" s="44"/>
      <c r="O266" s="92"/>
      <c r="P266" s="110"/>
      <c r="Q266" s="44"/>
      <c r="R266" s="92"/>
      <c r="S266" s="125"/>
      <c r="T266" s="44"/>
      <c r="U266" s="92"/>
      <c r="V266" s="44"/>
      <c r="W266" s="44"/>
      <c r="X266" s="92"/>
      <c r="Y266" s="96"/>
      <c r="Z266" s="44"/>
      <c r="AA266" s="91"/>
    </row>
    <row r="267" spans="1:27" x14ac:dyDescent="0.2">
      <c r="A267" s="97"/>
      <c r="B267" s="41"/>
      <c r="C267" s="94"/>
      <c r="D267" s="140"/>
      <c r="E267" s="41"/>
      <c r="F267" s="126"/>
      <c r="G267" s="127"/>
      <c r="H267" s="41"/>
      <c r="I267" s="95"/>
      <c r="J267" s="41"/>
      <c r="K267" s="41"/>
      <c r="L267" s="95"/>
      <c r="M267" s="128"/>
      <c r="N267" s="41"/>
      <c r="O267" s="42"/>
      <c r="P267" s="52"/>
      <c r="Q267" s="41"/>
      <c r="R267" s="42"/>
      <c r="S267" s="129"/>
      <c r="T267" s="41"/>
      <c r="U267" s="42"/>
      <c r="V267" s="41"/>
      <c r="W267" s="41"/>
      <c r="X267" s="42"/>
      <c r="Y267" s="97"/>
      <c r="Z267" s="41"/>
      <c r="AA267" s="94"/>
    </row>
    <row r="268" spans="1:27" x14ac:dyDescent="0.2">
      <c r="A268" s="97"/>
      <c r="B268" s="41"/>
      <c r="C268" s="94"/>
      <c r="D268" s="140"/>
      <c r="E268" s="41"/>
      <c r="F268" s="126"/>
      <c r="G268" s="127"/>
      <c r="H268" s="41"/>
      <c r="I268" s="95"/>
      <c r="J268" s="41"/>
      <c r="K268" s="41"/>
      <c r="L268" s="95"/>
      <c r="M268" s="128"/>
      <c r="N268" s="41"/>
      <c r="O268" s="42"/>
      <c r="P268" s="52"/>
      <c r="Q268" s="41"/>
      <c r="R268" s="42"/>
      <c r="S268" s="129"/>
      <c r="T268" s="41"/>
      <c r="U268" s="42"/>
      <c r="V268" s="41"/>
      <c r="W268" s="41"/>
      <c r="X268" s="42"/>
      <c r="Y268" s="97"/>
      <c r="Z268" s="41"/>
      <c r="AA268" s="94"/>
    </row>
    <row r="269" spans="1:27" x14ac:dyDescent="0.2">
      <c r="A269" s="96"/>
      <c r="B269" s="44"/>
      <c r="C269" s="91"/>
      <c r="D269" s="139"/>
      <c r="E269" s="44"/>
      <c r="F269" s="122"/>
      <c r="G269" s="123"/>
      <c r="H269" s="44"/>
      <c r="I269" s="93"/>
      <c r="J269" s="44"/>
      <c r="K269" s="44"/>
      <c r="L269" s="93"/>
      <c r="M269" s="124"/>
      <c r="N269" s="44"/>
      <c r="O269" s="92"/>
      <c r="P269" s="110"/>
      <c r="Q269" s="44"/>
      <c r="R269" s="92"/>
      <c r="S269" s="125"/>
      <c r="T269" s="44"/>
      <c r="U269" s="92"/>
      <c r="V269" s="44"/>
      <c r="W269" s="44"/>
      <c r="X269" s="92"/>
      <c r="Y269" s="96"/>
      <c r="Z269" s="44"/>
      <c r="AA269" s="91"/>
    </row>
    <row r="270" spans="1:27" x14ac:dyDescent="0.2">
      <c r="A270" s="96"/>
      <c r="B270" s="44"/>
      <c r="C270" s="91"/>
      <c r="D270" s="139"/>
      <c r="E270" s="44"/>
      <c r="F270" s="122"/>
      <c r="G270" s="123"/>
      <c r="H270" s="44"/>
      <c r="I270" s="93"/>
      <c r="J270" s="44"/>
      <c r="K270" s="44"/>
      <c r="L270" s="93"/>
      <c r="M270" s="124"/>
      <c r="N270" s="44"/>
      <c r="O270" s="92"/>
      <c r="P270" s="110"/>
      <c r="Q270" s="44"/>
      <c r="R270" s="92"/>
      <c r="S270" s="125"/>
      <c r="T270" s="44"/>
      <c r="U270" s="92"/>
      <c r="V270" s="44"/>
      <c r="W270" s="44"/>
      <c r="X270" s="92"/>
      <c r="Y270" s="96"/>
      <c r="Z270" s="44"/>
      <c r="AA270" s="91"/>
    </row>
    <row r="271" spans="1:27" x14ac:dyDescent="0.2">
      <c r="A271" s="97"/>
      <c r="B271" s="41"/>
      <c r="C271" s="94"/>
      <c r="D271" s="140"/>
      <c r="E271" s="41"/>
      <c r="F271" s="126"/>
      <c r="G271" s="127"/>
      <c r="H271" s="41"/>
      <c r="I271" s="95"/>
      <c r="J271" s="41"/>
      <c r="K271" s="41"/>
      <c r="L271" s="95"/>
      <c r="M271" s="128"/>
      <c r="N271" s="41"/>
      <c r="O271" s="42"/>
      <c r="P271" s="52"/>
      <c r="Q271" s="41"/>
      <c r="R271" s="42"/>
      <c r="S271" s="129"/>
      <c r="T271" s="41"/>
      <c r="U271" s="42"/>
      <c r="V271" s="41"/>
      <c r="W271" s="41"/>
      <c r="X271" s="42"/>
      <c r="Y271" s="97"/>
      <c r="Z271" s="41"/>
      <c r="AA271" s="94"/>
    </row>
    <row r="272" spans="1:27" x14ac:dyDescent="0.2">
      <c r="A272" s="87"/>
      <c r="B272" s="87"/>
      <c r="C272" s="88"/>
      <c r="D272" s="138"/>
      <c r="E272" s="87"/>
      <c r="F272" s="118"/>
      <c r="G272" s="119"/>
      <c r="H272" s="87"/>
      <c r="I272" s="90"/>
      <c r="J272" s="87"/>
      <c r="K272" s="87"/>
      <c r="L272" s="90"/>
      <c r="M272" s="120"/>
      <c r="N272" s="87"/>
      <c r="O272" s="89"/>
      <c r="P272" s="130"/>
      <c r="Q272" s="87"/>
      <c r="R272" s="89"/>
      <c r="S272" s="121"/>
      <c r="T272" s="87"/>
      <c r="U272" s="89"/>
      <c r="V272" s="87"/>
      <c r="W272" s="87"/>
      <c r="X272" s="89"/>
      <c r="Y272" s="87"/>
      <c r="Z272" s="87"/>
      <c r="AA272" s="88"/>
    </row>
    <row r="273" spans="1:27" x14ac:dyDescent="0.2">
      <c r="A273" s="44"/>
      <c r="B273" s="44"/>
      <c r="C273" s="91"/>
      <c r="D273" s="139"/>
      <c r="E273" s="44"/>
      <c r="F273" s="122"/>
      <c r="G273" s="123"/>
      <c r="H273" s="44"/>
      <c r="I273" s="93"/>
      <c r="J273" s="44"/>
      <c r="K273" s="44"/>
      <c r="L273" s="93"/>
      <c r="M273" s="124"/>
      <c r="N273" s="44"/>
      <c r="O273" s="92"/>
      <c r="P273" s="110"/>
      <c r="Q273" s="44"/>
      <c r="R273" s="92"/>
      <c r="S273" s="125"/>
      <c r="T273" s="44"/>
      <c r="U273" s="92"/>
      <c r="V273" s="44"/>
      <c r="W273" s="44"/>
      <c r="X273" s="92"/>
      <c r="Y273" s="44"/>
      <c r="Z273" s="44"/>
      <c r="AA273" s="91"/>
    </row>
    <row r="274" spans="1:27" x14ac:dyDescent="0.2">
      <c r="A274" s="41"/>
      <c r="B274" s="41"/>
      <c r="C274" s="94"/>
      <c r="D274" s="140"/>
      <c r="E274" s="41"/>
      <c r="F274" s="126"/>
      <c r="G274" s="127"/>
      <c r="H274" s="41"/>
      <c r="I274" s="95"/>
      <c r="J274" s="41"/>
      <c r="K274" s="41"/>
      <c r="L274" s="95"/>
      <c r="M274" s="128"/>
      <c r="N274" s="41"/>
      <c r="O274" s="42"/>
      <c r="P274" s="52"/>
      <c r="Q274" s="41"/>
      <c r="R274" s="42"/>
      <c r="S274" s="129"/>
      <c r="T274" s="41"/>
      <c r="U274" s="42"/>
      <c r="V274" s="41"/>
      <c r="W274" s="41"/>
      <c r="X274" s="42"/>
      <c r="Y274" s="41"/>
      <c r="Z274" s="41"/>
      <c r="AA274" s="94"/>
    </row>
    <row r="275" spans="1:27" x14ac:dyDescent="0.2">
      <c r="A275" s="44"/>
      <c r="B275" s="44"/>
      <c r="C275" s="91"/>
      <c r="D275" s="139"/>
      <c r="E275" s="44"/>
      <c r="F275" s="122"/>
      <c r="G275" s="123"/>
      <c r="H275" s="44"/>
      <c r="I275" s="93"/>
      <c r="J275" s="44"/>
      <c r="K275" s="44"/>
      <c r="L275" s="93"/>
      <c r="M275" s="124"/>
      <c r="N275" s="44"/>
      <c r="O275" s="92"/>
      <c r="P275" s="110"/>
      <c r="Q275" s="44"/>
      <c r="R275" s="92"/>
      <c r="S275" s="125"/>
      <c r="T275" s="44"/>
      <c r="U275" s="92"/>
      <c r="V275" s="44"/>
      <c r="W275" s="44"/>
      <c r="X275" s="92"/>
      <c r="Y275" s="44"/>
      <c r="Z275" s="44"/>
      <c r="AA275" s="91"/>
    </row>
    <row r="276" spans="1:27" x14ac:dyDescent="0.2">
      <c r="A276" s="87"/>
      <c r="B276" s="87"/>
      <c r="C276" s="88"/>
      <c r="D276" s="138"/>
      <c r="E276" s="87"/>
      <c r="F276" s="118"/>
      <c r="G276" s="119"/>
      <c r="H276" s="87"/>
      <c r="I276" s="90"/>
      <c r="J276" s="87"/>
      <c r="K276" s="87"/>
      <c r="L276" s="90"/>
      <c r="M276" s="120"/>
      <c r="N276" s="87"/>
      <c r="O276" s="89"/>
      <c r="P276" s="87"/>
      <c r="Q276" s="87"/>
      <c r="R276" s="89"/>
      <c r="S276" s="121"/>
      <c r="T276" s="87"/>
      <c r="U276" s="89"/>
      <c r="V276" s="87"/>
      <c r="W276" s="87"/>
      <c r="X276" s="89"/>
      <c r="Y276" s="87"/>
      <c r="Z276" s="87"/>
      <c r="AA276" s="88"/>
    </row>
    <row r="277" spans="1:27" x14ac:dyDescent="0.2">
      <c r="A277" s="44"/>
      <c r="B277" s="44"/>
      <c r="C277" s="91"/>
      <c r="D277" s="139"/>
      <c r="E277" s="44"/>
      <c r="F277" s="122"/>
      <c r="G277" s="123"/>
      <c r="H277" s="44"/>
      <c r="I277" s="93"/>
      <c r="J277" s="44"/>
      <c r="K277" s="44"/>
      <c r="L277" s="93"/>
      <c r="M277" s="124"/>
      <c r="N277" s="44"/>
      <c r="O277" s="92"/>
      <c r="P277" s="110"/>
      <c r="Q277" s="44"/>
      <c r="R277" s="92"/>
      <c r="S277" s="125"/>
      <c r="T277" s="44"/>
      <c r="U277" s="92"/>
      <c r="V277" s="44"/>
      <c r="W277" s="44"/>
      <c r="X277" s="92"/>
      <c r="Y277" s="44"/>
      <c r="Z277" s="44"/>
      <c r="AA277" s="91"/>
    </row>
    <row r="278" spans="1:27" x14ac:dyDescent="0.2">
      <c r="A278" s="41"/>
      <c r="B278" s="41"/>
      <c r="C278" s="94"/>
      <c r="D278" s="140"/>
      <c r="E278" s="41"/>
      <c r="F278" s="126"/>
      <c r="G278" s="127"/>
      <c r="H278" s="41"/>
      <c r="I278" s="95"/>
      <c r="J278" s="41"/>
      <c r="K278" s="41"/>
      <c r="L278" s="95"/>
      <c r="M278" s="128"/>
      <c r="N278" s="41"/>
      <c r="O278" s="42"/>
      <c r="P278" s="52"/>
      <c r="Q278" s="41"/>
      <c r="R278" s="42"/>
      <c r="S278" s="129"/>
      <c r="T278" s="41"/>
      <c r="U278" s="42"/>
      <c r="V278" s="41"/>
      <c r="W278" s="41"/>
      <c r="X278" s="42"/>
      <c r="Y278" s="41"/>
      <c r="Z278" s="41"/>
      <c r="AA278" s="94"/>
    </row>
    <row r="279" spans="1:27" x14ac:dyDescent="0.2">
      <c r="A279" s="44"/>
      <c r="B279" s="44"/>
      <c r="C279" s="91"/>
      <c r="D279" s="139"/>
      <c r="E279" s="44"/>
      <c r="F279" s="122"/>
      <c r="G279" s="123"/>
      <c r="H279" s="44"/>
      <c r="I279" s="93"/>
      <c r="J279" s="44"/>
      <c r="K279" s="44"/>
      <c r="L279" s="93"/>
      <c r="M279" s="124"/>
      <c r="N279" s="44"/>
      <c r="O279" s="92"/>
      <c r="P279" s="110"/>
      <c r="Q279" s="44"/>
      <c r="R279" s="92"/>
      <c r="S279" s="125"/>
      <c r="T279" s="44"/>
      <c r="U279" s="92"/>
      <c r="V279" s="44"/>
      <c r="W279" s="44"/>
      <c r="X279" s="92"/>
      <c r="Y279" s="44"/>
      <c r="Z279" s="44"/>
      <c r="AA279" s="91"/>
    </row>
    <row r="280" spans="1:27" x14ac:dyDescent="0.2">
      <c r="A280" s="41"/>
      <c r="B280" s="41"/>
      <c r="C280" s="94"/>
      <c r="D280" s="140"/>
      <c r="E280" s="41"/>
      <c r="F280" s="126"/>
      <c r="G280" s="127"/>
      <c r="H280" s="41"/>
      <c r="I280" s="95"/>
      <c r="J280" s="41"/>
      <c r="K280" s="41"/>
      <c r="L280" s="95"/>
      <c r="M280" s="128"/>
      <c r="N280" s="41"/>
      <c r="O280" s="42"/>
      <c r="P280" s="52"/>
      <c r="Q280" s="41"/>
      <c r="R280" s="42"/>
      <c r="S280" s="129"/>
      <c r="T280" s="41"/>
      <c r="U280" s="42"/>
      <c r="V280" s="41"/>
      <c r="W280" s="41"/>
      <c r="X280" s="42"/>
      <c r="Y280" s="41"/>
      <c r="Z280" s="41"/>
      <c r="AA280" s="94"/>
    </row>
    <row r="281" spans="1:27" x14ac:dyDescent="0.2">
      <c r="A281" s="44"/>
      <c r="B281" s="44"/>
      <c r="C281" s="91"/>
      <c r="D281" s="139"/>
      <c r="E281" s="44"/>
      <c r="F281" s="122"/>
      <c r="G281" s="123"/>
      <c r="H281" s="44"/>
      <c r="I281" s="93"/>
      <c r="J281" s="44"/>
      <c r="K281" s="44"/>
      <c r="L281" s="93"/>
      <c r="M281" s="124"/>
      <c r="N281" s="44"/>
      <c r="O281" s="92"/>
      <c r="P281" s="110"/>
      <c r="Q281" s="44"/>
      <c r="R281" s="92"/>
      <c r="S281" s="125"/>
      <c r="T281" s="44"/>
      <c r="U281" s="92"/>
      <c r="V281" s="44"/>
      <c r="W281" s="44"/>
      <c r="X281" s="92"/>
      <c r="Y281" s="44"/>
      <c r="Z281" s="44"/>
      <c r="AA281" s="91"/>
    </row>
    <row r="282" spans="1:27" x14ac:dyDescent="0.2">
      <c r="A282" s="41"/>
      <c r="B282" s="41"/>
      <c r="C282" s="94"/>
      <c r="D282" s="140"/>
      <c r="E282" s="41"/>
      <c r="F282" s="126"/>
      <c r="G282" s="127"/>
      <c r="H282" s="41"/>
      <c r="I282" s="95"/>
      <c r="J282" s="41"/>
      <c r="K282" s="41"/>
      <c r="L282" s="95"/>
      <c r="M282" s="128"/>
      <c r="N282" s="41"/>
      <c r="O282" s="42"/>
      <c r="P282" s="52"/>
      <c r="Q282" s="41"/>
      <c r="R282" s="42"/>
      <c r="S282" s="129"/>
      <c r="T282" s="41"/>
      <c r="U282" s="42"/>
      <c r="V282" s="41"/>
      <c r="W282" s="41"/>
      <c r="X282" s="42"/>
      <c r="Y282" s="41"/>
      <c r="Z282" s="41"/>
      <c r="AA282" s="94"/>
    </row>
    <row r="283" spans="1:27" x14ac:dyDescent="0.2">
      <c r="A283" s="44"/>
      <c r="B283" s="44"/>
      <c r="C283" s="91"/>
      <c r="D283" s="139"/>
      <c r="E283" s="44"/>
      <c r="F283" s="122"/>
      <c r="G283" s="123"/>
      <c r="H283" s="44"/>
      <c r="I283" s="93"/>
      <c r="J283" s="44"/>
      <c r="K283" s="44"/>
      <c r="L283" s="93"/>
      <c r="M283" s="124"/>
      <c r="N283" s="44"/>
      <c r="O283" s="92"/>
      <c r="P283" s="110"/>
      <c r="Q283" s="44"/>
      <c r="R283" s="92"/>
      <c r="S283" s="125"/>
      <c r="T283" s="44"/>
      <c r="U283" s="92"/>
      <c r="V283" s="44"/>
      <c r="W283" s="44"/>
      <c r="X283" s="92"/>
      <c r="Y283" s="44"/>
      <c r="Z283" s="44"/>
      <c r="AA283" s="91"/>
    </row>
    <row r="284" spans="1:27" x14ac:dyDescent="0.2">
      <c r="A284" s="41"/>
      <c r="B284" s="41"/>
      <c r="C284" s="94"/>
      <c r="D284" s="140"/>
      <c r="E284" s="41"/>
      <c r="F284" s="126"/>
      <c r="G284" s="127"/>
      <c r="H284" s="41"/>
      <c r="I284" s="95"/>
      <c r="J284" s="41"/>
      <c r="K284" s="41"/>
      <c r="L284" s="95"/>
      <c r="M284" s="128"/>
      <c r="N284" s="41"/>
      <c r="O284" s="42"/>
      <c r="P284" s="52"/>
      <c r="Q284" s="41"/>
      <c r="R284" s="42"/>
      <c r="S284" s="129"/>
      <c r="T284" s="41"/>
      <c r="U284" s="42"/>
      <c r="V284" s="41"/>
      <c r="W284" s="41"/>
      <c r="X284" s="42"/>
      <c r="Y284" s="41"/>
      <c r="Z284" s="41"/>
      <c r="AA284" s="94"/>
    </row>
    <row r="285" spans="1:27" x14ac:dyDescent="0.2">
      <c r="A285" s="44"/>
      <c r="B285" s="44"/>
      <c r="C285" s="91"/>
      <c r="D285" s="139"/>
      <c r="E285" s="44"/>
      <c r="F285" s="122"/>
      <c r="G285" s="123"/>
      <c r="H285" s="44"/>
      <c r="I285" s="93"/>
      <c r="J285" s="44"/>
      <c r="K285" s="44"/>
      <c r="L285" s="93"/>
      <c r="M285" s="124"/>
      <c r="N285" s="44"/>
      <c r="O285" s="92"/>
      <c r="P285" s="110"/>
      <c r="Q285" s="44"/>
      <c r="R285" s="92"/>
      <c r="S285" s="125"/>
      <c r="T285" s="44"/>
      <c r="U285" s="92"/>
      <c r="V285" s="44"/>
      <c r="W285" s="44"/>
      <c r="X285" s="92"/>
      <c r="Y285" s="44"/>
      <c r="Z285" s="44"/>
      <c r="AA285" s="91"/>
    </row>
    <row r="286" spans="1:27" x14ac:dyDescent="0.2">
      <c r="A286" s="41"/>
      <c r="B286" s="41"/>
      <c r="C286" s="94"/>
      <c r="D286" s="140"/>
      <c r="E286" s="41"/>
      <c r="F286" s="126"/>
      <c r="G286" s="127"/>
      <c r="H286" s="41"/>
      <c r="I286" s="95"/>
      <c r="J286" s="41"/>
      <c r="K286" s="41"/>
      <c r="L286" s="95"/>
      <c r="M286" s="128"/>
      <c r="N286" s="41"/>
      <c r="O286" s="42"/>
      <c r="P286" s="52"/>
      <c r="Q286" s="41"/>
      <c r="R286" s="42"/>
      <c r="S286" s="129"/>
      <c r="T286" s="41"/>
      <c r="U286" s="42"/>
      <c r="V286" s="41"/>
      <c r="W286" s="41"/>
      <c r="X286" s="42"/>
      <c r="Y286" s="41"/>
      <c r="Z286" s="41"/>
      <c r="AA286" s="94"/>
    </row>
    <row r="287" spans="1:27" x14ac:dyDescent="0.2">
      <c r="A287" s="44"/>
      <c r="B287" s="44"/>
      <c r="C287" s="91"/>
      <c r="D287" s="139"/>
      <c r="E287" s="44"/>
      <c r="F287" s="122"/>
      <c r="G287" s="123"/>
      <c r="H287" s="44"/>
      <c r="I287" s="93"/>
      <c r="J287" s="44"/>
      <c r="K287" s="44"/>
      <c r="L287" s="93"/>
      <c r="M287" s="124"/>
      <c r="N287" s="44"/>
      <c r="O287" s="92"/>
      <c r="P287" s="110"/>
      <c r="Q287" s="44"/>
      <c r="R287" s="92"/>
      <c r="S287" s="125"/>
      <c r="T287" s="44"/>
      <c r="U287" s="92"/>
      <c r="V287" s="44"/>
      <c r="W287" s="44"/>
      <c r="X287" s="92"/>
      <c r="Y287" s="44"/>
      <c r="Z287" s="44"/>
      <c r="AA287" s="91"/>
    </row>
    <row r="288" spans="1:27" x14ac:dyDescent="0.2">
      <c r="A288" s="41"/>
      <c r="B288" s="41"/>
      <c r="C288" s="94"/>
      <c r="D288" s="140"/>
      <c r="E288" s="41"/>
      <c r="F288" s="126"/>
      <c r="G288" s="127"/>
      <c r="H288" s="41"/>
      <c r="I288" s="95"/>
      <c r="J288" s="41"/>
      <c r="K288" s="41"/>
      <c r="L288" s="95"/>
      <c r="M288" s="128"/>
      <c r="N288" s="41"/>
      <c r="O288" s="42"/>
      <c r="P288" s="52"/>
      <c r="Q288" s="41"/>
      <c r="R288" s="42"/>
      <c r="S288" s="129"/>
      <c r="T288" s="41"/>
      <c r="U288" s="42"/>
      <c r="V288" s="41"/>
      <c r="W288" s="41"/>
      <c r="X288" s="42"/>
      <c r="Y288" s="41"/>
      <c r="Z288" s="41"/>
      <c r="AA288" s="94"/>
    </row>
    <row r="289" spans="1:27" x14ac:dyDescent="0.2">
      <c r="A289" s="44"/>
      <c r="B289" s="44"/>
      <c r="C289" s="91"/>
      <c r="D289" s="139"/>
      <c r="E289" s="44"/>
      <c r="F289" s="122"/>
      <c r="G289" s="123"/>
      <c r="H289" s="44"/>
      <c r="I289" s="93"/>
      <c r="J289" s="44"/>
      <c r="K289" s="44"/>
      <c r="L289" s="93"/>
      <c r="M289" s="124"/>
      <c r="N289" s="44"/>
      <c r="O289" s="92"/>
      <c r="P289" s="110"/>
      <c r="Q289" s="44"/>
      <c r="R289" s="92"/>
      <c r="S289" s="125"/>
      <c r="T289" s="44"/>
      <c r="U289" s="92"/>
      <c r="V289" s="44"/>
      <c r="W289" s="44"/>
      <c r="X289" s="92"/>
      <c r="Y289" s="44"/>
      <c r="Z289" s="44"/>
      <c r="AA289" s="91"/>
    </row>
    <row r="290" spans="1:27" x14ac:dyDescent="0.2">
      <c r="A290" s="41"/>
      <c r="B290" s="41"/>
      <c r="C290" s="94"/>
      <c r="D290" s="140"/>
      <c r="E290" s="41"/>
      <c r="F290" s="126"/>
      <c r="G290" s="127"/>
      <c r="H290" s="41"/>
      <c r="I290" s="95"/>
      <c r="J290" s="41"/>
      <c r="K290" s="41"/>
      <c r="L290" s="95"/>
      <c r="M290" s="128"/>
      <c r="N290" s="41"/>
      <c r="O290" s="42"/>
      <c r="P290" s="52"/>
      <c r="Q290" s="41"/>
      <c r="R290" s="42"/>
      <c r="S290" s="129"/>
      <c r="T290" s="41"/>
      <c r="U290" s="42"/>
      <c r="V290" s="41"/>
      <c r="W290" s="41"/>
      <c r="X290" s="42"/>
      <c r="Y290" s="41"/>
      <c r="Z290" s="41"/>
      <c r="AA290" s="94"/>
    </row>
    <row r="291" spans="1:27" x14ac:dyDescent="0.2">
      <c r="A291" s="44"/>
      <c r="B291" s="44"/>
      <c r="C291" s="91"/>
      <c r="D291" s="139"/>
      <c r="E291" s="44"/>
      <c r="F291" s="122"/>
      <c r="G291" s="123"/>
      <c r="H291" s="44"/>
      <c r="I291" s="93"/>
      <c r="J291" s="44"/>
      <c r="K291" s="44"/>
      <c r="L291" s="93"/>
      <c r="M291" s="124"/>
      <c r="N291" s="44"/>
      <c r="O291" s="92"/>
      <c r="P291" s="110"/>
      <c r="Q291" s="44"/>
      <c r="R291" s="92"/>
      <c r="S291" s="125"/>
      <c r="T291" s="44"/>
      <c r="U291" s="92"/>
      <c r="V291" s="44"/>
      <c r="W291" s="44"/>
      <c r="X291" s="92"/>
      <c r="Y291" s="44"/>
      <c r="Z291" s="44"/>
      <c r="AA291" s="91"/>
    </row>
    <row r="292" spans="1:27" x14ac:dyDescent="0.2">
      <c r="A292" s="41"/>
      <c r="B292" s="41"/>
      <c r="C292" s="94"/>
      <c r="D292" s="140"/>
      <c r="E292" s="41"/>
      <c r="F292" s="126"/>
      <c r="G292" s="127"/>
      <c r="H292" s="41"/>
      <c r="I292" s="95"/>
      <c r="J292" s="41"/>
      <c r="K292" s="41"/>
      <c r="L292" s="95"/>
      <c r="M292" s="128"/>
      <c r="N292" s="41"/>
      <c r="O292" s="42"/>
      <c r="P292" s="52"/>
      <c r="Q292" s="41"/>
      <c r="R292" s="42"/>
      <c r="S292" s="129"/>
      <c r="T292" s="41"/>
      <c r="U292" s="42"/>
      <c r="V292" s="41"/>
      <c r="W292" s="41"/>
      <c r="X292" s="42"/>
      <c r="Y292" s="41"/>
      <c r="Z292" s="41"/>
      <c r="AA292" s="94"/>
    </row>
    <row r="293" spans="1:27" x14ac:dyDescent="0.2">
      <c r="A293" s="44"/>
      <c r="B293" s="44"/>
      <c r="C293" s="91"/>
      <c r="D293" s="139"/>
      <c r="E293" s="44"/>
      <c r="F293" s="122"/>
      <c r="G293" s="123"/>
      <c r="H293" s="44"/>
      <c r="I293" s="93"/>
      <c r="J293" s="44"/>
      <c r="K293" s="44"/>
      <c r="L293" s="93"/>
      <c r="M293" s="124"/>
      <c r="N293" s="44"/>
      <c r="O293" s="92"/>
      <c r="P293" s="110"/>
      <c r="Q293" s="44"/>
      <c r="R293" s="92"/>
      <c r="S293" s="125"/>
      <c r="T293" s="44"/>
      <c r="U293" s="92"/>
      <c r="V293" s="44"/>
      <c r="W293" s="44"/>
      <c r="X293" s="92"/>
      <c r="Y293" s="44"/>
      <c r="Z293" s="44"/>
      <c r="AA293" s="91"/>
    </row>
    <row r="294" spans="1:27" x14ac:dyDescent="0.2">
      <c r="A294" s="41"/>
      <c r="B294" s="41"/>
      <c r="C294" s="94"/>
      <c r="D294" s="140"/>
      <c r="E294" s="41"/>
      <c r="F294" s="127"/>
      <c r="G294" s="127"/>
      <c r="H294" s="41"/>
      <c r="I294" s="95"/>
      <c r="J294" s="41"/>
      <c r="K294" s="41"/>
      <c r="L294" s="95"/>
      <c r="M294" s="128"/>
      <c r="N294" s="41"/>
      <c r="O294" s="42"/>
      <c r="P294" s="52"/>
      <c r="Q294" s="41"/>
      <c r="R294" s="42"/>
      <c r="S294" s="129"/>
      <c r="T294" s="41"/>
      <c r="U294" s="42"/>
      <c r="V294" s="41"/>
      <c r="W294" s="41"/>
      <c r="X294" s="42"/>
      <c r="Y294" s="41"/>
      <c r="Z294" s="41"/>
      <c r="AA294" s="94"/>
    </row>
    <row r="295" spans="1:27" x14ac:dyDescent="0.2">
      <c r="A295" s="44"/>
      <c r="B295" s="44"/>
      <c r="C295" s="91"/>
      <c r="D295" s="139"/>
      <c r="E295" s="44"/>
      <c r="F295" s="122"/>
      <c r="G295" s="123"/>
      <c r="H295" s="44"/>
      <c r="I295" s="93"/>
      <c r="J295" s="44"/>
      <c r="K295" s="44"/>
      <c r="L295" s="93"/>
      <c r="M295" s="124"/>
      <c r="N295" s="44"/>
      <c r="O295" s="92"/>
      <c r="P295" s="110"/>
      <c r="Q295" s="44"/>
      <c r="R295" s="92"/>
      <c r="S295" s="125"/>
      <c r="T295" s="44"/>
      <c r="U295" s="92"/>
      <c r="V295" s="44"/>
      <c r="W295" s="44"/>
      <c r="X295" s="92"/>
      <c r="Y295" s="44"/>
      <c r="Z295" s="44"/>
      <c r="AA295" s="91"/>
    </row>
    <row r="296" spans="1:27" x14ac:dyDescent="0.2">
      <c r="A296" s="41"/>
      <c r="B296" s="41"/>
      <c r="C296" s="94"/>
      <c r="D296" s="140"/>
      <c r="E296" s="41"/>
      <c r="F296" s="126"/>
      <c r="G296" s="127"/>
      <c r="H296" s="41"/>
      <c r="I296" s="95"/>
      <c r="J296" s="41"/>
      <c r="K296" s="41"/>
      <c r="L296" s="95"/>
      <c r="M296" s="128"/>
      <c r="N296" s="41"/>
      <c r="O296" s="42"/>
      <c r="P296" s="52"/>
      <c r="Q296" s="41"/>
      <c r="R296" s="42"/>
      <c r="S296" s="129"/>
      <c r="T296" s="41"/>
      <c r="U296" s="42"/>
      <c r="V296" s="41"/>
      <c r="W296" s="41"/>
      <c r="X296" s="42"/>
      <c r="Y296" s="41"/>
      <c r="Z296" s="41"/>
      <c r="AA296" s="94"/>
    </row>
    <row r="297" spans="1:27" x14ac:dyDescent="0.2">
      <c r="A297" s="44"/>
      <c r="B297" s="44"/>
      <c r="C297" s="91"/>
      <c r="D297" s="139"/>
      <c r="E297" s="44"/>
      <c r="F297" s="122"/>
      <c r="G297" s="123"/>
      <c r="H297" s="44"/>
      <c r="I297" s="93"/>
      <c r="J297" s="44"/>
      <c r="K297" s="44"/>
      <c r="L297" s="93"/>
      <c r="M297" s="124"/>
      <c r="N297" s="44"/>
      <c r="O297" s="92"/>
      <c r="P297" s="110"/>
      <c r="Q297" s="44"/>
      <c r="R297" s="92"/>
      <c r="S297" s="125"/>
      <c r="T297" s="44"/>
      <c r="U297" s="92"/>
      <c r="V297" s="44"/>
      <c r="W297" s="44"/>
      <c r="X297" s="92"/>
      <c r="Y297" s="44"/>
      <c r="Z297" s="44"/>
      <c r="AA297" s="91"/>
    </row>
    <row r="298" spans="1:27" x14ac:dyDescent="0.2">
      <c r="A298" s="41"/>
      <c r="B298" s="41"/>
      <c r="C298" s="94"/>
      <c r="D298" s="140"/>
      <c r="E298" s="41"/>
      <c r="F298" s="126"/>
      <c r="G298" s="127"/>
      <c r="H298" s="41"/>
      <c r="I298" s="95"/>
      <c r="J298" s="41"/>
      <c r="K298" s="41"/>
      <c r="L298" s="95"/>
      <c r="M298" s="128"/>
      <c r="N298" s="41"/>
      <c r="O298" s="42"/>
      <c r="P298" s="52"/>
      <c r="Q298" s="41"/>
      <c r="R298" s="42"/>
      <c r="S298" s="129"/>
      <c r="T298" s="41"/>
      <c r="U298" s="42"/>
      <c r="V298" s="41"/>
      <c r="W298" s="41"/>
      <c r="X298" s="42"/>
      <c r="Y298" s="41"/>
      <c r="Z298" s="41"/>
      <c r="AA298" s="94"/>
    </row>
    <row r="299" spans="1:27" x14ac:dyDescent="0.2">
      <c r="A299" s="44"/>
      <c r="B299" s="44"/>
      <c r="C299" s="91"/>
      <c r="D299" s="139"/>
      <c r="E299" s="44"/>
      <c r="F299" s="122"/>
      <c r="G299" s="123"/>
      <c r="H299" s="44"/>
      <c r="I299" s="93"/>
      <c r="J299" s="44"/>
      <c r="K299" s="44"/>
      <c r="L299" s="93"/>
      <c r="M299" s="124"/>
      <c r="N299" s="44"/>
      <c r="O299" s="92"/>
      <c r="P299" s="110"/>
      <c r="Q299" s="44"/>
      <c r="R299" s="92"/>
      <c r="S299" s="125"/>
      <c r="T299" s="44"/>
      <c r="U299" s="92"/>
      <c r="V299" s="44"/>
      <c r="W299" s="44"/>
      <c r="X299" s="92"/>
      <c r="Y299" s="44"/>
      <c r="Z299" s="44"/>
      <c r="AA299" s="91"/>
    </row>
    <row r="300" spans="1:27" x14ac:dyDescent="0.2">
      <c r="A300" s="41"/>
      <c r="B300" s="41"/>
      <c r="C300" s="94"/>
      <c r="D300" s="140"/>
      <c r="E300" s="41"/>
      <c r="F300" s="126"/>
      <c r="G300" s="127"/>
      <c r="H300" s="41"/>
      <c r="I300" s="95"/>
      <c r="J300" s="41"/>
      <c r="K300" s="41"/>
      <c r="L300" s="95"/>
      <c r="M300" s="128"/>
      <c r="N300" s="41"/>
      <c r="O300" s="42"/>
      <c r="P300" s="52"/>
      <c r="Q300" s="41"/>
      <c r="R300" s="42"/>
      <c r="S300" s="129"/>
      <c r="T300" s="41"/>
      <c r="U300" s="42"/>
      <c r="V300" s="41"/>
      <c r="W300" s="41"/>
      <c r="X300" s="42"/>
      <c r="Y300" s="41"/>
      <c r="Z300" s="41"/>
      <c r="AA300" s="94"/>
    </row>
    <row r="301" spans="1:27" x14ac:dyDescent="0.2">
      <c r="A301" s="44"/>
      <c r="B301" s="44"/>
      <c r="C301" s="91"/>
      <c r="D301" s="139"/>
      <c r="E301" s="44"/>
      <c r="F301" s="122"/>
      <c r="G301" s="123"/>
      <c r="H301" s="44"/>
      <c r="I301" s="93"/>
      <c r="J301" s="44"/>
      <c r="K301" s="44"/>
      <c r="L301" s="93"/>
      <c r="M301" s="124"/>
      <c r="N301" s="44"/>
      <c r="O301" s="92"/>
      <c r="P301" s="110"/>
      <c r="Q301" s="44"/>
      <c r="R301" s="92"/>
      <c r="S301" s="125"/>
      <c r="T301" s="44"/>
      <c r="U301" s="92"/>
      <c r="V301" s="44"/>
      <c r="W301" s="44"/>
      <c r="X301" s="92"/>
      <c r="Y301" s="44"/>
      <c r="Z301" s="44"/>
      <c r="AA301" s="91"/>
    </row>
    <row r="302" spans="1:27" x14ac:dyDescent="0.2">
      <c r="A302" s="96"/>
      <c r="B302" s="44"/>
      <c r="C302" s="91"/>
      <c r="D302" s="139"/>
      <c r="E302" s="44"/>
      <c r="F302" s="122"/>
      <c r="G302" s="123"/>
      <c r="H302" s="44"/>
      <c r="I302" s="93"/>
      <c r="J302" s="44"/>
      <c r="K302" s="44"/>
      <c r="L302" s="93"/>
      <c r="M302" s="124"/>
      <c r="N302" s="44"/>
      <c r="O302" s="92"/>
      <c r="P302" s="110"/>
      <c r="Q302" s="44"/>
      <c r="R302" s="92"/>
      <c r="S302" s="125"/>
      <c r="T302" s="44"/>
      <c r="U302" s="92"/>
      <c r="V302" s="44"/>
      <c r="W302" s="44"/>
      <c r="X302" s="92"/>
      <c r="Y302" s="96"/>
      <c r="Z302" s="44"/>
      <c r="AA302" s="91"/>
    </row>
    <row r="303" spans="1:27" x14ac:dyDescent="0.2">
      <c r="A303" s="97"/>
      <c r="B303" s="41"/>
      <c r="C303" s="94"/>
      <c r="D303" s="140"/>
      <c r="E303" s="41"/>
      <c r="F303" s="126"/>
      <c r="G303" s="127"/>
      <c r="H303" s="41"/>
      <c r="I303" s="95"/>
      <c r="J303" s="41"/>
      <c r="K303" s="41"/>
      <c r="L303" s="95"/>
      <c r="M303" s="128"/>
      <c r="N303" s="41"/>
      <c r="O303" s="42"/>
      <c r="P303" s="52"/>
      <c r="Q303" s="41"/>
      <c r="R303" s="42"/>
      <c r="S303" s="129"/>
      <c r="T303" s="41"/>
      <c r="U303" s="42"/>
      <c r="V303" s="41"/>
      <c r="W303" s="41"/>
      <c r="X303" s="42"/>
      <c r="Y303" s="97"/>
      <c r="Z303" s="41"/>
      <c r="AA303" s="94"/>
    </row>
    <row r="304" spans="1:27" x14ac:dyDescent="0.2">
      <c r="A304" s="96"/>
      <c r="B304" s="44"/>
      <c r="C304" s="91"/>
      <c r="D304" s="139"/>
      <c r="E304" s="44"/>
      <c r="F304" s="122"/>
      <c r="G304" s="123"/>
      <c r="H304" s="44"/>
      <c r="I304" s="93"/>
      <c r="J304" s="44"/>
      <c r="K304" s="44"/>
      <c r="L304" s="93"/>
      <c r="M304" s="124"/>
      <c r="N304" s="44"/>
      <c r="O304" s="92"/>
      <c r="P304" s="110"/>
      <c r="Q304" s="44"/>
      <c r="R304" s="92"/>
      <c r="S304" s="125"/>
      <c r="T304" s="44"/>
      <c r="U304" s="92"/>
      <c r="V304" s="44"/>
      <c r="W304" s="44"/>
      <c r="X304" s="92"/>
      <c r="Y304" s="96"/>
      <c r="Z304" s="44"/>
      <c r="AA304" s="91"/>
    </row>
    <row r="305" spans="1:27" x14ac:dyDescent="0.2">
      <c r="A305" s="97"/>
      <c r="B305" s="41"/>
      <c r="C305" s="94"/>
      <c r="D305" s="140"/>
      <c r="E305" s="41"/>
      <c r="F305" s="126"/>
      <c r="G305" s="127"/>
      <c r="H305" s="41"/>
      <c r="I305" s="95"/>
      <c r="J305" s="41"/>
      <c r="K305" s="41"/>
      <c r="L305" s="95"/>
      <c r="M305" s="128"/>
      <c r="N305" s="41"/>
      <c r="O305" s="42"/>
      <c r="P305" s="52"/>
      <c r="Q305" s="41"/>
      <c r="R305" s="42"/>
      <c r="S305" s="129"/>
      <c r="T305" s="41"/>
      <c r="U305" s="42"/>
      <c r="V305" s="41"/>
      <c r="W305" s="41"/>
      <c r="X305" s="42"/>
      <c r="Y305" s="97"/>
      <c r="Z305" s="41"/>
      <c r="AA305" s="94"/>
    </row>
    <row r="306" spans="1:27" x14ac:dyDescent="0.2">
      <c r="A306" s="97"/>
      <c r="B306" s="41"/>
      <c r="C306" s="94"/>
      <c r="D306" s="140"/>
      <c r="E306" s="41"/>
      <c r="F306" s="126"/>
      <c r="G306" s="127"/>
      <c r="H306" s="41"/>
      <c r="I306" s="95"/>
      <c r="J306" s="41"/>
      <c r="K306" s="41"/>
      <c r="L306" s="95"/>
      <c r="M306" s="128"/>
      <c r="N306" s="41"/>
      <c r="O306" s="42"/>
      <c r="P306" s="52"/>
      <c r="Q306" s="41"/>
      <c r="R306" s="42"/>
      <c r="S306" s="129"/>
      <c r="T306" s="41"/>
      <c r="U306" s="42"/>
      <c r="V306" s="41"/>
      <c r="W306" s="41"/>
      <c r="X306" s="42"/>
      <c r="Y306" s="97"/>
      <c r="Z306" s="41"/>
      <c r="AA306" s="94"/>
    </row>
    <row r="307" spans="1:27" x14ac:dyDescent="0.2">
      <c r="A307" s="97"/>
      <c r="B307" s="41"/>
      <c r="C307" s="94"/>
      <c r="D307" s="140"/>
      <c r="E307" s="41"/>
      <c r="F307" s="126"/>
      <c r="G307" s="127"/>
      <c r="H307" s="41"/>
      <c r="I307" s="95"/>
      <c r="J307" s="41"/>
      <c r="K307" s="41"/>
      <c r="L307" s="95"/>
      <c r="M307" s="128"/>
      <c r="N307" s="41"/>
      <c r="O307" s="42"/>
      <c r="P307" s="52"/>
      <c r="Q307" s="41"/>
      <c r="R307" s="42"/>
      <c r="S307" s="129"/>
      <c r="T307" s="41"/>
      <c r="U307" s="42"/>
      <c r="V307" s="41"/>
      <c r="W307" s="41"/>
      <c r="X307" s="42"/>
      <c r="Y307" s="97"/>
      <c r="Z307" s="41"/>
      <c r="AA307" s="94"/>
    </row>
    <row r="308" spans="1:27" x14ac:dyDescent="0.2">
      <c r="A308" s="97"/>
      <c r="B308" s="41"/>
      <c r="C308" s="94"/>
      <c r="D308" s="140"/>
      <c r="E308" s="41"/>
      <c r="F308" s="126"/>
      <c r="G308" s="127"/>
      <c r="H308" s="41"/>
      <c r="I308" s="95"/>
      <c r="J308" s="41"/>
      <c r="K308" s="41"/>
      <c r="L308" s="95"/>
      <c r="M308" s="128"/>
      <c r="N308" s="41"/>
      <c r="O308" s="42"/>
      <c r="P308" s="52"/>
      <c r="Q308" s="41"/>
      <c r="R308" s="42"/>
      <c r="S308" s="129"/>
      <c r="T308" s="41"/>
      <c r="U308" s="42"/>
      <c r="V308" s="41"/>
      <c r="W308" s="41"/>
      <c r="X308" s="42"/>
      <c r="Y308" s="97"/>
      <c r="Z308" s="41"/>
      <c r="AA308" s="94"/>
    </row>
    <row r="309" spans="1:27" x14ac:dyDescent="0.2">
      <c r="A309" s="96"/>
      <c r="B309" s="44"/>
      <c r="C309" s="91"/>
      <c r="D309" s="139"/>
      <c r="E309" s="44"/>
      <c r="F309" s="122"/>
      <c r="G309" s="123"/>
      <c r="H309" s="44"/>
      <c r="I309" s="93"/>
      <c r="J309" s="44"/>
      <c r="K309" s="44"/>
      <c r="L309" s="93"/>
      <c r="M309" s="124"/>
      <c r="N309" s="44"/>
      <c r="O309" s="92"/>
      <c r="P309" s="110"/>
      <c r="Q309" s="44"/>
      <c r="R309" s="92"/>
      <c r="S309" s="125"/>
      <c r="T309" s="44"/>
      <c r="U309" s="92"/>
      <c r="V309" s="44"/>
      <c r="W309" s="44"/>
      <c r="X309" s="92"/>
      <c r="Y309" s="96"/>
      <c r="Z309" s="44"/>
      <c r="AA309" s="91"/>
    </row>
    <row r="310" spans="1:27" x14ac:dyDescent="0.2">
      <c r="A310" s="96"/>
      <c r="B310" s="44"/>
      <c r="C310" s="91"/>
      <c r="D310" s="139"/>
      <c r="E310" s="44"/>
      <c r="F310" s="122"/>
      <c r="G310" s="123"/>
      <c r="H310" s="44"/>
      <c r="I310" s="93"/>
      <c r="J310" s="44"/>
      <c r="K310" s="44"/>
      <c r="L310" s="93"/>
      <c r="M310" s="124"/>
      <c r="N310" s="44"/>
      <c r="O310" s="92"/>
      <c r="P310" s="110"/>
      <c r="Q310" s="44"/>
      <c r="R310" s="92"/>
      <c r="S310" s="125"/>
      <c r="T310" s="44"/>
      <c r="U310" s="92"/>
      <c r="V310" s="44"/>
      <c r="W310" s="44"/>
      <c r="X310" s="92"/>
      <c r="Y310" s="96"/>
      <c r="Z310" s="44"/>
      <c r="AA310" s="91"/>
    </row>
    <row r="311" spans="1:27" x14ac:dyDescent="0.2">
      <c r="A311" s="96"/>
      <c r="B311" s="44"/>
      <c r="C311" s="91"/>
      <c r="D311" s="139"/>
      <c r="E311" s="44"/>
      <c r="F311" s="122"/>
      <c r="G311" s="123"/>
      <c r="H311" s="44"/>
      <c r="I311" s="93"/>
      <c r="J311" s="44"/>
      <c r="K311" s="44"/>
      <c r="L311" s="93"/>
      <c r="M311" s="124"/>
      <c r="N311" s="44"/>
      <c r="O311" s="92"/>
      <c r="P311" s="110"/>
      <c r="Q311" s="44"/>
      <c r="R311" s="92"/>
      <c r="S311" s="125"/>
      <c r="T311" s="44"/>
      <c r="U311" s="92"/>
      <c r="V311" s="44"/>
      <c r="W311" s="44"/>
      <c r="X311" s="92"/>
      <c r="Y311" s="96"/>
      <c r="Z311" s="44"/>
      <c r="AA311" s="91"/>
    </row>
    <row r="312" spans="1:27" x14ac:dyDescent="0.2">
      <c r="A312" s="96"/>
      <c r="B312" s="44"/>
      <c r="C312" s="91"/>
      <c r="D312" s="139"/>
      <c r="E312" s="44"/>
      <c r="F312" s="122"/>
      <c r="G312" s="123"/>
      <c r="H312" s="44"/>
      <c r="I312" s="93"/>
      <c r="J312" s="44"/>
      <c r="K312" s="44"/>
      <c r="L312" s="93"/>
      <c r="M312" s="124"/>
      <c r="N312" s="44"/>
      <c r="O312" s="92"/>
      <c r="P312" s="110"/>
      <c r="Q312" s="44"/>
      <c r="R312" s="92"/>
      <c r="S312" s="125"/>
      <c r="T312" s="44"/>
      <c r="U312" s="92"/>
      <c r="V312" s="44"/>
      <c r="W312" s="44"/>
      <c r="X312" s="92"/>
      <c r="Y312" s="96"/>
      <c r="Z312" s="44"/>
      <c r="AA312" s="91"/>
    </row>
    <row r="313" spans="1:27" x14ac:dyDescent="0.2">
      <c r="A313" s="96"/>
      <c r="B313" s="44"/>
      <c r="C313" s="91"/>
      <c r="D313" s="139"/>
      <c r="E313" s="44"/>
      <c r="F313" s="122"/>
      <c r="G313" s="123"/>
      <c r="H313" s="44"/>
      <c r="I313" s="93"/>
      <c r="J313" s="44"/>
      <c r="K313" s="44"/>
      <c r="L313" s="93"/>
      <c r="M313" s="124"/>
      <c r="N313" s="44"/>
      <c r="O313" s="92"/>
      <c r="P313" s="110"/>
      <c r="Q313" s="44"/>
      <c r="R313" s="92"/>
      <c r="S313" s="125"/>
      <c r="T313" s="44"/>
      <c r="U313" s="92"/>
      <c r="V313" s="44"/>
      <c r="W313" s="44"/>
      <c r="X313" s="92"/>
      <c r="Y313" s="96"/>
      <c r="Z313" s="44"/>
      <c r="AA313" s="91"/>
    </row>
    <row r="314" spans="1:27" x14ac:dyDescent="0.2">
      <c r="A314" s="97"/>
      <c r="B314" s="41"/>
      <c r="C314" s="94"/>
      <c r="D314" s="140"/>
      <c r="E314" s="41"/>
      <c r="F314" s="126"/>
      <c r="G314" s="127"/>
      <c r="H314" s="41"/>
      <c r="I314" s="95"/>
      <c r="J314" s="41"/>
      <c r="K314" s="41"/>
      <c r="L314" s="95"/>
      <c r="M314" s="128"/>
      <c r="N314" s="41"/>
      <c r="O314" s="42"/>
      <c r="P314" s="52"/>
      <c r="Q314" s="41"/>
      <c r="R314" s="42"/>
      <c r="S314" s="129"/>
      <c r="T314" s="41"/>
      <c r="U314" s="42"/>
      <c r="V314" s="41"/>
      <c r="W314" s="41"/>
      <c r="X314" s="42"/>
      <c r="Y314" s="97"/>
      <c r="Z314" s="41"/>
      <c r="AA314" s="94"/>
    </row>
    <row r="315" spans="1:27" x14ac:dyDescent="0.2">
      <c r="A315" s="96"/>
      <c r="B315" s="44"/>
      <c r="C315" s="91"/>
      <c r="D315" s="139"/>
      <c r="E315" s="44"/>
      <c r="F315" s="122"/>
      <c r="G315" s="123"/>
      <c r="H315" s="44"/>
      <c r="I315" s="93"/>
      <c r="J315" s="44"/>
      <c r="K315" s="44"/>
      <c r="L315" s="93"/>
      <c r="M315" s="124"/>
      <c r="N315" s="44"/>
      <c r="O315" s="92"/>
      <c r="P315" s="110"/>
      <c r="Q315" s="44"/>
      <c r="R315" s="92"/>
      <c r="S315" s="125"/>
      <c r="T315" s="44"/>
      <c r="U315" s="92"/>
      <c r="V315" s="44"/>
      <c r="W315" s="44"/>
      <c r="X315" s="92"/>
      <c r="Y315" s="96"/>
      <c r="Z315" s="44"/>
      <c r="AA315" s="91"/>
    </row>
    <row r="316" spans="1:27" x14ac:dyDescent="0.2">
      <c r="A316" s="97"/>
      <c r="B316" s="41"/>
      <c r="C316" s="94"/>
      <c r="D316" s="140"/>
      <c r="E316" s="41"/>
      <c r="F316" s="126"/>
      <c r="G316" s="127"/>
      <c r="H316" s="41"/>
      <c r="I316" s="95"/>
      <c r="J316" s="41"/>
      <c r="K316" s="41"/>
      <c r="L316" s="95"/>
      <c r="M316" s="128"/>
      <c r="N316" s="41"/>
      <c r="O316" s="42"/>
      <c r="P316" s="52"/>
      <c r="Q316" s="41"/>
      <c r="R316" s="42"/>
      <c r="S316" s="129"/>
      <c r="T316" s="41"/>
      <c r="U316" s="42"/>
      <c r="V316" s="41"/>
      <c r="W316" s="41"/>
      <c r="X316" s="42"/>
      <c r="Y316" s="97"/>
      <c r="Z316" s="41"/>
      <c r="AA316" s="94"/>
    </row>
    <row r="317" spans="1:27" x14ac:dyDescent="0.2">
      <c r="A317" s="96"/>
      <c r="B317" s="44"/>
      <c r="C317" s="91"/>
      <c r="D317" s="139"/>
      <c r="E317" s="44"/>
      <c r="F317" s="122"/>
      <c r="G317" s="123"/>
      <c r="H317" s="44"/>
      <c r="I317" s="93"/>
      <c r="J317" s="44"/>
      <c r="K317" s="44"/>
      <c r="L317" s="93"/>
      <c r="M317" s="124"/>
      <c r="N317" s="44"/>
      <c r="O317" s="92"/>
      <c r="P317" s="110"/>
      <c r="Q317" s="44"/>
      <c r="R317" s="92"/>
      <c r="S317" s="125"/>
      <c r="T317" s="44"/>
      <c r="U317" s="92"/>
      <c r="V317" s="44"/>
      <c r="W317" s="44"/>
      <c r="X317" s="92"/>
      <c r="Y317" s="96"/>
      <c r="Z317" s="44"/>
      <c r="AA317" s="91"/>
    </row>
    <row r="318" spans="1:27" x14ac:dyDescent="0.2">
      <c r="A318" s="96"/>
      <c r="B318" s="44"/>
      <c r="C318" s="91"/>
      <c r="D318" s="139"/>
      <c r="E318" s="44"/>
      <c r="F318" s="122"/>
      <c r="G318" s="123"/>
      <c r="H318" s="44"/>
      <c r="I318" s="93"/>
      <c r="J318" s="44"/>
      <c r="K318" s="44"/>
      <c r="L318" s="93"/>
      <c r="M318" s="124"/>
      <c r="N318" s="44"/>
      <c r="O318" s="92"/>
      <c r="P318" s="110"/>
      <c r="Q318" s="44"/>
      <c r="R318" s="92"/>
      <c r="S318" s="125"/>
      <c r="T318" s="44"/>
      <c r="U318" s="92"/>
      <c r="V318" s="44"/>
      <c r="W318" s="44"/>
      <c r="X318" s="92"/>
      <c r="Y318" s="96"/>
      <c r="Z318" s="44"/>
      <c r="AA318" s="91"/>
    </row>
    <row r="319" spans="1:27" x14ac:dyDescent="0.2">
      <c r="A319" s="97"/>
      <c r="B319" s="41"/>
      <c r="C319" s="94"/>
      <c r="D319" s="140"/>
      <c r="E319" s="41"/>
      <c r="F319" s="126"/>
      <c r="G319" s="127"/>
      <c r="H319" s="41"/>
      <c r="I319" s="95"/>
      <c r="J319" s="41"/>
      <c r="K319" s="41"/>
      <c r="L319" s="95"/>
      <c r="M319" s="128"/>
      <c r="N319" s="41"/>
      <c r="O319" s="42"/>
      <c r="P319" s="52"/>
      <c r="Q319" s="41"/>
      <c r="R319" s="42"/>
      <c r="S319" s="129"/>
      <c r="T319" s="41"/>
      <c r="U319" s="42"/>
      <c r="V319" s="41"/>
      <c r="W319" s="41"/>
      <c r="X319" s="42"/>
      <c r="Y319" s="97"/>
      <c r="Z319" s="41"/>
      <c r="AA319" s="94"/>
    </row>
    <row r="320" spans="1:27" x14ac:dyDescent="0.2">
      <c r="A320" s="96"/>
      <c r="B320" s="44"/>
      <c r="C320" s="91"/>
      <c r="D320" s="139"/>
      <c r="E320" s="44"/>
      <c r="F320" s="122"/>
      <c r="G320" s="123"/>
      <c r="H320" s="44"/>
      <c r="I320" s="93"/>
      <c r="J320" s="44"/>
      <c r="K320" s="44"/>
      <c r="L320" s="93"/>
      <c r="M320" s="124"/>
      <c r="N320" s="44"/>
      <c r="O320" s="92"/>
      <c r="P320" s="110"/>
      <c r="Q320" s="44"/>
      <c r="R320" s="92"/>
      <c r="S320" s="125"/>
      <c r="T320" s="44"/>
      <c r="U320" s="92"/>
      <c r="V320" s="44"/>
      <c r="W320" s="44"/>
      <c r="X320" s="92"/>
      <c r="Y320" s="96"/>
      <c r="Z320" s="44"/>
      <c r="AA320" s="91"/>
    </row>
    <row r="321" spans="1:27" x14ac:dyDescent="0.2">
      <c r="A321" s="96"/>
      <c r="B321" s="44"/>
      <c r="C321" s="91"/>
      <c r="D321" s="139"/>
      <c r="E321" s="44"/>
      <c r="F321" s="122"/>
      <c r="G321" s="123"/>
      <c r="H321" s="44"/>
      <c r="I321" s="93"/>
      <c r="J321" s="44"/>
      <c r="K321" s="44"/>
      <c r="L321" s="93"/>
      <c r="M321" s="124"/>
      <c r="N321" s="44"/>
      <c r="O321" s="92"/>
      <c r="P321" s="110"/>
      <c r="Q321" s="44"/>
      <c r="R321" s="92"/>
      <c r="S321" s="125"/>
      <c r="T321" s="44"/>
      <c r="U321" s="92"/>
      <c r="V321" s="44"/>
      <c r="W321" s="44"/>
      <c r="X321" s="92"/>
      <c r="Y321" s="96"/>
      <c r="Z321" s="44"/>
      <c r="AA321" s="91"/>
    </row>
    <row r="322" spans="1:27" x14ac:dyDescent="0.2">
      <c r="A322" s="97"/>
      <c r="B322" s="41"/>
      <c r="C322" s="94"/>
      <c r="D322" s="140"/>
      <c r="E322" s="41"/>
      <c r="F322" s="126"/>
      <c r="G322" s="127"/>
      <c r="H322" s="41"/>
      <c r="I322" s="95"/>
      <c r="J322" s="41"/>
      <c r="K322" s="41"/>
      <c r="L322" s="95"/>
      <c r="M322" s="128"/>
      <c r="N322" s="41"/>
      <c r="O322" s="42"/>
      <c r="P322" s="52"/>
      <c r="Q322" s="41"/>
      <c r="R322" s="42"/>
      <c r="S322" s="129"/>
      <c r="T322" s="41"/>
      <c r="U322" s="42"/>
      <c r="V322" s="41"/>
      <c r="W322" s="41"/>
      <c r="X322" s="42"/>
      <c r="Y322" s="97"/>
      <c r="Z322" s="41"/>
      <c r="AA322" s="94"/>
    </row>
    <row r="323" spans="1:27" x14ac:dyDescent="0.2">
      <c r="A323" s="97"/>
      <c r="B323" s="41"/>
      <c r="C323" s="94"/>
      <c r="D323" s="140"/>
      <c r="E323" s="41"/>
      <c r="F323" s="126"/>
      <c r="G323" s="127"/>
      <c r="H323" s="41"/>
      <c r="I323" s="95"/>
      <c r="J323" s="41"/>
      <c r="K323" s="41"/>
      <c r="L323" s="95"/>
      <c r="M323" s="128"/>
      <c r="N323" s="41"/>
      <c r="O323" s="42"/>
      <c r="P323" s="52"/>
      <c r="Q323" s="41"/>
      <c r="R323" s="42"/>
      <c r="S323" s="129"/>
      <c r="T323" s="41"/>
      <c r="U323" s="42"/>
      <c r="V323" s="41"/>
      <c r="W323" s="41"/>
      <c r="X323" s="42"/>
      <c r="Y323" s="97"/>
      <c r="Z323" s="41"/>
      <c r="AA323" s="94"/>
    </row>
    <row r="324" spans="1:27" x14ac:dyDescent="0.2">
      <c r="A324" s="96"/>
      <c r="B324" s="44"/>
      <c r="C324" s="91"/>
      <c r="D324" s="139"/>
      <c r="E324" s="44"/>
      <c r="F324" s="122"/>
      <c r="G324" s="123"/>
      <c r="H324" s="44"/>
      <c r="I324" s="93"/>
      <c r="J324" s="44"/>
      <c r="K324" s="44"/>
      <c r="L324" s="93"/>
      <c r="M324" s="124"/>
      <c r="N324" s="44"/>
      <c r="O324" s="92"/>
      <c r="P324" s="110"/>
      <c r="Q324" s="44"/>
      <c r="R324" s="92"/>
      <c r="S324" s="125"/>
      <c r="T324" s="44"/>
      <c r="U324" s="92"/>
      <c r="V324" s="44"/>
      <c r="W324" s="44"/>
      <c r="X324" s="92"/>
      <c r="Y324" s="96"/>
      <c r="Z324" s="44"/>
      <c r="AA324" s="91"/>
    </row>
    <row r="325" spans="1:27" x14ac:dyDescent="0.2">
      <c r="A325" s="96"/>
      <c r="B325" s="44"/>
      <c r="C325" s="91"/>
      <c r="D325" s="139"/>
      <c r="E325" s="44"/>
      <c r="F325" s="122"/>
      <c r="G325" s="123"/>
      <c r="H325" s="44"/>
      <c r="I325" s="93"/>
      <c r="J325" s="44"/>
      <c r="K325" s="44"/>
      <c r="L325" s="93"/>
      <c r="M325" s="124"/>
      <c r="N325" s="44"/>
      <c r="O325" s="92"/>
      <c r="P325" s="110"/>
      <c r="Q325" s="44"/>
      <c r="R325" s="92"/>
      <c r="S325" s="125"/>
      <c r="T325" s="44"/>
      <c r="U325" s="92"/>
      <c r="V325" s="44"/>
      <c r="W325" s="44"/>
      <c r="X325" s="92"/>
      <c r="Y325" s="96"/>
      <c r="Z325" s="44"/>
      <c r="AA325" s="91"/>
    </row>
    <row r="326" spans="1:27" x14ac:dyDescent="0.2">
      <c r="A326" s="97"/>
      <c r="B326" s="41"/>
      <c r="C326" s="94"/>
      <c r="D326" s="140"/>
      <c r="E326" s="41"/>
      <c r="F326" s="126"/>
      <c r="G326" s="127"/>
      <c r="H326" s="41"/>
      <c r="I326" s="95"/>
      <c r="J326" s="41"/>
      <c r="K326" s="41"/>
      <c r="L326" s="95"/>
      <c r="M326" s="128"/>
      <c r="N326" s="41"/>
      <c r="O326" s="42"/>
      <c r="P326" s="52"/>
      <c r="Q326" s="41"/>
      <c r="R326" s="42"/>
      <c r="S326" s="129"/>
      <c r="T326" s="41"/>
      <c r="U326" s="42"/>
      <c r="V326" s="41"/>
      <c r="W326" s="41"/>
      <c r="X326" s="42"/>
      <c r="Y326" s="97"/>
      <c r="Z326" s="41"/>
      <c r="AA326" s="94"/>
    </row>
    <row r="327" spans="1:27" x14ac:dyDescent="0.2">
      <c r="A327" s="87"/>
      <c r="B327" s="87"/>
      <c r="C327" s="88"/>
      <c r="D327" s="138"/>
      <c r="E327" s="87"/>
      <c r="F327" s="118"/>
      <c r="G327" s="119"/>
      <c r="H327" s="87"/>
      <c r="I327" s="90"/>
      <c r="J327" s="87"/>
      <c r="K327" s="87"/>
      <c r="L327" s="90"/>
      <c r="M327" s="120"/>
      <c r="N327" s="87"/>
      <c r="O327" s="89"/>
      <c r="P327" s="130"/>
      <c r="Q327" s="87"/>
      <c r="R327" s="89"/>
      <c r="S327" s="121"/>
      <c r="T327" s="87"/>
      <c r="U327" s="89"/>
      <c r="V327" s="87"/>
      <c r="W327" s="87"/>
      <c r="X327" s="89"/>
      <c r="Y327" s="87"/>
      <c r="Z327" s="87"/>
      <c r="AA327" s="88"/>
    </row>
    <row r="328" spans="1:27" x14ac:dyDescent="0.2">
      <c r="A328" s="44"/>
      <c r="B328" s="44"/>
      <c r="C328" s="91"/>
      <c r="D328" s="139"/>
      <c r="E328" s="44"/>
      <c r="F328" s="122"/>
      <c r="G328" s="123"/>
      <c r="H328" s="44"/>
      <c r="I328" s="93"/>
      <c r="J328" s="44"/>
      <c r="K328" s="44"/>
      <c r="L328" s="93"/>
      <c r="M328" s="124"/>
      <c r="N328" s="44"/>
      <c r="O328" s="92"/>
      <c r="P328" s="110"/>
      <c r="Q328" s="44"/>
      <c r="R328" s="92"/>
      <c r="S328" s="125"/>
      <c r="T328" s="44"/>
      <c r="U328" s="92"/>
      <c r="V328" s="44"/>
      <c r="W328" s="44"/>
      <c r="X328" s="92"/>
      <c r="Y328" s="44"/>
      <c r="Z328" s="44"/>
      <c r="AA328" s="91"/>
    </row>
    <row r="329" spans="1:27" x14ac:dyDescent="0.2">
      <c r="A329" s="41"/>
      <c r="B329" s="41"/>
      <c r="C329" s="94"/>
      <c r="D329" s="140"/>
      <c r="E329" s="41"/>
      <c r="F329" s="126"/>
      <c r="G329" s="127"/>
      <c r="H329" s="41"/>
      <c r="I329" s="95"/>
      <c r="J329" s="41"/>
      <c r="K329" s="41"/>
      <c r="L329" s="95"/>
      <c r="M329" s="128"/>
      <c r="N329" s="41"/>
      <c r="O329" s="42"/>
      <c r="P329" s="52"/>
      <c r="Q329" s="41"/>
      <c r="R329" s="42"/>
      <c r="S329" s="129"/>
      <c r="T329" s="41"/>
      <c r="U329" s="42"/>
      <c r="V329" s="41"/>
      <c r="W329" s="41"/>
      <c r="X329" s="42"/>
      <c r="Y329" s="41"/>
      <c r="Z329" s="41"/>
      <c r="AA329" s="94"/>
    </row>
    <row r="330" spans="1:27" x14ac:dyDescent="0.2">
      <c r="A330" s="44"/>
      <c r="B330" s="44"/>
      <c r="C330" s="91"/>
      <c r="D330" s="139"/>
      <c r="E330" s="44"/>
      <c r="F330" s="122"/>
      <c r="G330" s="123"/>
      <c r="H330" s="44"/>
      <c r="I330" s="93"/>
      <c r="J330" s="44"/>
      <c r="K330" s="44"/>
      <c r="L330" s="93"/>
      <c r="M330" s="124"/>
      <c r="N330" s="44"/>
      <c r="O330" s="92"/>
      <c r="P330" s="110"/>
      <c r="Q330" s="44"/>
      <c r="R330" s="92"/>
      <c r="S330" s="125"/>
      <c r="T330" s="44"/>
      <c r="U330" s="92"/>
      <c r="V330" s="44"/>
      <c r="W330" s="44"/>
      <c r="X330" s="92"/>
      <c r="Y330" s="44"/>
      <c r="Z330" s="44"/>
      <c r="AA330" s="91"/>
    </row>
    <row r="331" spans="1:27" x14ac:dyDescent="0.2">
      <c r="A331" s="87"/>
      <c r="B331" s="87"/>
      <c r="C331" s="88"/>
      <c r="D331" s="138"/>
      <c r="E331" s="87"/>
      <c r="F331" s="118"/>
      <c r="G331" s="119"/>
      <c r="H331" s="87"/>
      <c r="I331" s="90"/>
      <c r="J331" s="87"/>
      <c r="K331" s="87"/>
      <c r="L331" s="90"/>
      <c r="M331" s="120"/>
      <c r="N331" s="87"/>
      <c r="O331" s="89"/>
      <c r="P331" s="87"/>
      <c r="Q331" s="87"/>
      <c r="R331" s="89"/>
      <c r="S331" s="121"/>
      <c r="T331" s="87"/>
      <c r="U331" s="89"/>
      <c r="V331" s="87"/>
      <c r="W331" s="87"/>
      <c r="X331" s="89"/>
      <c r="Y331" s="87"/>
      <c r="Z331" s="87"/>
      <c r="AA331" s="88"/>
    </row>
    <row r="332" spans="1:27" x14ac:dyDescent="0.2">
      <c r="A332" s="44"/>
      <c r="B332" s="44"/>
      <c r="C332" s="91"/>
      <c r="D332" s="139"/>
      <c r="E332" s="44"/>
      <c r="F332" s="122"/>
      <c r="G332" s="123"/>
      <c r="H332" s="44"/>
      <c r="I332" s="93"/>
      <c r="J332" s="44"/>
      <c r="K332" s="44"/>
      <c r="L332" s="93"/>
      <c r="M332" s="124"/>
      <c r="N332" s="44"/>
      <c r="O332" s="92"/>
      <c r="P332" s="110"/>
      <c r="Q332" s="44"/>
      <c r="R332" s="92"/>
      <c r="S332" s="125"/>
      <c r="T332" s="44"/>
      <c r="U332" s="92"/>
      <c r="V332" s="44"/>
      <c r="W332" s="44"/>
      <c r="X332" s="92"/>
      <c r="Y332" s="44"/>
      <c r="Z332" s="44"/>
      <c r="AA332" s="91"/>
    </row>
    <row r="333" spans="1:27" x14ac:dyDescent="0.2">
      <c r="A333" s="41"/>
      <c r="B333" s="41"/>
      <c r="C333" s="94"/>
      <c r="D333" s="140"/>
      <c r="E333" s="41"/>
      <c r="F333" s="126"/>
      <c r="G333" s="127"/>
      <c r="H333" s="41"/>
      <c r="I333" s="95"/>
      <c r="J333" s="41"/>
      <c r="K333" s="41"/>
      <c r="L333" s="95"/>
      <c r="M333" s="128"/>
      <c r="N333" s="41"/>
      <c r="O333" s="42"/>
      <c r="P333" s="52"/>
      <c r="Q333" s="41"/>
      <c r="R333" s="42"/>
      <c r="S333" s="129"/>
      <c r="T333" s="41"/>
      <c r="U333" s="42"/>
      <c r="V333" s="41"/>
      <c r="W333" s="41"/>
      <c r="X333" s="42"/>
      <c r="Y333" s="41"/>
      <c r="Z333" s="41"/>
      <c r="AA333" s="94"/>
    </row>
    <row r="334" spans="1:27" x14ac:dyDescent="0.2">
      <c r="A334" s="44"/>
      <c r="B334" s="44"/>
      <c r="C334" s="91"/>
      <c r="D334" s="139"/>
      <c r="E334" s="44"/>
      <c r="F334" s="122"/>
      <c r="G334" s="123"/>
      <c r="H334" s="44"/>
      <c r="I334" s="93"/>
      <c r="J334" s="44"/>
      <c r="K334" s="44"/>
      <c r="L334" s="93"/>
      <c r="M334" s="124"/>
      <c r="N334" s="44"/>
      <c r="O334" s="92"/>
      <c r="P334" s="110"/>
      <c r="Q334" s="44"/>
      <c r="R334" s="92"/>
      <c r="S334" s="125"/>
      <c r="T334" s="44"/>
      <c r="U334" s="92"/>
      <c r="V334" s="44"/>
      <c r="W334" s="44"/>
      <c r="X334" s="92"/>
      <c r="Y334" s="44"/>
      <c r="Z334" s="44"/>
      <c r="AA334" s="91"/>
    </row>
    <row r="335" spans="1:27" x14ac:dyDescent="0.2">
      <c r="A335" s="41"/>
      <c r="B335" s="41"/>
      <c r="C335" s="94"/>
      <c r="D335" s="140"/>
      <c r="E335" s="41"/>
      <c r="F335" s="126"/>
      <c r="G335" s="127"/>
      <c r="H335" s="41"/>
      <c r="I335" s="95"/>
      <c r="J335" s="41"/>
      <c r="K335" s="41"/>
      <c r="L335" s="95"/>
      <c r="M335" s="128"/>
      <c r="N335" s="41"/>
      <c r="O335" s="42"/>
      <c r="P335" s="52"/>
      <c r="Q335" s="41"/>
      <c r="R335" s="42"/>
      <c r="S335" s="129"/>
      <c r="T335" s="41"/>
      <c r="U335" s="42"/>
      <c r="V335" s="41"/>
      <c r="W335" s="41"/>
      <c r="X335" s="42"/>
      <c r="Y335" s="41"/>
      <c r="Z335" s="41"/>
      <c r="AA335" s="94"/>
    </row>
    <row r="336" spans="1:27" x14ac:dyDescent="0.2">
      <c r="A336" s="44"/>
      <c r="B336" s="44"/>
      <c r="C336" s="91"/>
      <c r="D336" s="139"/>
      <c r="E336" s="44"/>
      <c r="F336" s="122"/>
      <c r="G336" s="123"/>
      <c r="H336" s="44"/>
      <c r="I336" s="93"/>
      <c r="J336" s="44"/>
      <c r="K336" s="44"/>
      <c r="L336" s="93"/>
      <c r="M336" s="124"/>
      <c r="N336" s="44"/>
      <c r="O336" s="92"/>
      <c r="P336" s="110"/>
      <c r="Q336" s="44"/>
      <c r="R336" s="92"/>
      <c r="S336" s="125"/>
      <c r="T336" s="44"/>
      <c r="U336" s="92"/>
      <c r="V336" s="44"/>
      <c r="W336" s="44"/>
      <c r="X336" s="92"/>
      <c r="Y336" s="44"/>
      <c r="Z336" s="44"/>
      <c r="AA336" s="91"/>
    </row>
    <row r="337" spans="1:27" x14ac:dyDescent="0.2">
      <c r="A337" s="41"/>
      <c r="B337" s="41"/>
      <c r="C337" s="94"/>
      <c r="D337" s="140"/>
      <c r="E337" s="41"/>
      <c r="F337" s="126"/>
      <c r="G337" s="127"/>
      <c r="H337" s="41"/>
      <c r="I337" s="95"/>
      <c r="J337" s="41"/>
      <c r="K337" s="41"/>
      <c r="L337" s="95"/>
      <c r="M337" s="128"/>
      <c r="N337" s="41"/>
      <c r="O337" s="42"/>
      <c r="P337" s="52"/>
      <c r="Q337" s="41"/>
      <c r="R337" s="42"/>
      <c r="S337" s="129"/>
      <c r="T337" s="41"/>
      <c r="U337" s="42"/>
      <c r="V337" s="41"/>
      <c r="W337" s="41"/>
      <c r="X337" s="42"/>
      <c r="Y337" s="41"/>
      <c r="Z337" s="41"/>
      <c r="AA337" s="94"/>
    </row>
    <row r="338" spans="1:27" x14ac:dyDescent="0.2">
      <c r="A338" s="44"/>
      <c r="B338" s="44"/>
      <c r="C338" s="91"/>
      <c r="D338" s="139"/>
      <c r="E338" s="44"/>
      <c r="F338" s="122"/>
      <c r="G338" s="123"/>
      <c r="H338" s="44"/>
      <c r="I338" s="93"/>
      <c r="J338" s="44"/>
      <c r="K338" s="44"/>
      <c r="L338" s="93"/>
      <c r="M338" s="124"/>
      <c r="N338" s="44"/>
      <c r="O338" s="92"/>
      <c r="P338" s="110"/>
      <c r="Q338" s="44"/>
      <c r="R338" s="92"/>
      <c r="S338" s="125"/>
      <c r="T338" s="44"/>
      <c r="U338" s="92"/>
      <c r="V338" s="44"/>
      <c r="W338" s="44"/>
      <c r="X338" s="92"/>
      <c r="Y338" s="44"/>
      <c r="Z338" s="44"/>
      <c r="AA338" s="91"/>
    </row>
    <row r="339" spans="1:27" x14ac:dyDescent="0.2">
      <c r="A339" s="41"/>
      <c r="B339" s="41"/>
      <c r="C339" s="94"/>
      <c r="D339" s="140"/>
      <c r="E339" s="41"/>
      <c r="F339" s="126"/>
      <c r="G339" s="127"/>
      <c r="H339" s="41"/>
      <c r="I339" s="95"/>
      <c r="J339" s="41"/>
      <c r="K339" s="41"/>
      <c r="L339" s="95"/>
      <c r="M339" s="128"/>
      <c r="N339" s="41"/>
      <c r="O339" s="42"/>
      <c r="P339" s="52"/>
      <c r="Q339" s="41"/>
      <c r="R339" s="42"/>
      <c r="S339" s="129"/>
      <c r="T339" s="41"/>
      <c r="U339" s="42"/>
      <c r="V339" s="41"/>
      <c r="W339" s="41"/>
      <c r="X339" s="42"/>
      <c r="Y339" s="41"/>
      <c r="Z339" s="41"/>
      <c r="AA339" s="94"/>
    </row>
    <row r="340" spans="1:27" x14ac:dyDescent="0.2">
      <c r="A340" s="44"/>
      <c r="B340" s="44"/>
      <c r="C340" s="91"/>
      <c r="D340" s="139"/>
      <c r="E340" s="44"/>
      <c r="F340" s="122"/>
      <c r="G340" s="123"/>
      <c r="H340" s="44"/>
      <c r="I340" s="93"/>
      <c r="J340" s="44"/>
      <c r="K340" s="44"/>
      <c r="L340" s="93"/>
      <c r="M340" s="124"/>
      <c r="N340" s="44"/>
      <c r="O340" s="92"/>
      <c r="P340" s="110"/>
      <c r="Q340" s="44"/>
      <c r="R340" s="92"/>
      <c r="S340" s="125"/>
      <c r="T340" s="44"/>
      <c r="U340" s="92"/>
      <c r="V340" s="44"/>
      <c r="W340" s="44"/>
      <c r="X340" s="92"/>
      <c r="Y340" s="44"/>
      <c r="Z340" s="44"/>
      <c r="AA340" s="91"/>
    </row>
    <row r="341" spans="1:27" x14ac:dyDescent="0.2">
      <c r="A341" s="41"/>
      <c r="B341" s="41"/>
      <c r="C341" s="94"/>
      <c r="D341" s="140"/>
      <c r="E341" s="41"/>
      <c r="F341" s="126"/>
      <c r="G341" s="127"/>
      <c r="H341" s="41"/>
      <c r="I341" s="95"/>
      <c r="J341" s="41"/>
      <c r="K341" s="41"/>
      <c r="L341" s="95"/>
      <c r="M341" s="128"/>
      <c r="N341" s="41"/>
      <c r="O341" s="42"/>
      <c r="P341" s="52"/>
      <c r="Q341" s="41"/>
      <c r="R341" s="42"/>
      <c r="S341" s="129"/>
      <c r="T341" s="41"/>
      <c r="U341" s="42"/>
      <c r="V341" s="41"/>
      <c r="W341" s="41"/>
      <c r="X341" s="42"/>
      <c r="Y341" s="41"/>
      <c r="Z341" s="41"/>
      <c r="AA341" s="94"/>
    </row>
    <row r="342" spans="1:27" x14ac:dyDescent="0.2">
      <c r="A342" s="44"/>
      <c r="B342" s="44"/>
      <c r="C342" s="91"/>
      <c r="D342" s="139"/>
      <c r="E342" s="44"/>
      <c r="F342" s="122"/>
      <c r="G342" s="123"/>
      <c r="H342" s="44"/>
      <c r="I342" s="93"/>
      <c r="J342" s="44"/>
      <c r="K342" s="44"/>
      <c r="L342" s="93"/>
      <c r="M342" s="124"/>
      <c r="N342" s="44"/>
      <c r="O342" s="92"/>
      <c r="P342" s="110"/>
      <c r="Q342" s="44"/>
      <c r="R342" s="92"/>
      <c r="S342" s="125"/>
      <c r="T342" s="44"/>
      <c r="U342" s="92"/>
      <c r="V342" s="44"/>
      <c r="W342" s="44"/>
      <c r="X342" s="92"/>
      <c r="Y342" s="44"/>
      <c r="Z342" s="44"/>
      <c r="AA342" s="91"/>
    </row>
    <row r="343" spans="1:27" x14ac:dyDescent="0.2">
      <c r="A343" s="41"/>
      <c r="B343" s="41"/>
      <c r="C343" s="94"/>
      <c r="D343" s="140"/>
      <c r="E343" s="41"/>
      <c r="F343" s="126"/>
      <c r="G343" s="127"/>
      <c r="H343" s="41"/>
      <c r="I343" s="95"/>
      <c r="J343" s="41"/>
      <c r="K343" s="41"/>
      <c r="L343" s="95"/>
      <c r="M343" s="128"/>
      <c r="N343" s="41"/>
      <c r="O343" s="42"/>
      <c r="P343" s="52"/>
      <c r="Q343" s="41"/>
      <c r="R343" s="42"/>
      <c r="S343" s="129"/>
      <c r="T343" s="41"/>
      <c r="U343" s="42"/>
      <c r="V343" s="41"/>
      <c r="W343" s="41"/>
      <c r="X343" s="42"/>
      <c r="Y343" s="41"/>
      <c r="Z343" s="41"/>
      <c r="AA343" s="94"/>
    </row>
    <row r="344" spans="1:27" x14ac:dyDescent="0.2">
      <c r="A344" s="44"/>
      <c r="B344" s="44"/>
      <c r="C344" s="91"/>
      <c r="D344" s="139"/>
      <c r="E344" s="44"/>
      <c r="F344" s="122"/>
      <c r="G344" s="123"/>
      <c r="H344" s="44"/>
      <c r="I344" s="93"/>
      <c r="J344" s="44"/>
      <c r="K344" s="44"/>
      <c r="L344" s="93"/>
      <c r="M344" s="124"/>
      <c r="N344" s="44"/>
      <c r="O344" s="92"/>
      <c r="P344" s="110"/>
      <c r="Q344" s="44"/>
      <c r="R344" s="92"/>
      <c r="S344" s="125"/>
      <c r="T344" s="44"/>
      <c r="U344" s="92"/>
      <c r="V344" s="44"/>
      <c r="W344" s="44"/>
      <c r="X344" s="92"/>
      <c r="Y344" s="44"/>
      <c r="Z344" s="44"/>
      <c r="AA344" s="91"/>
    </row>
    <row r="345" spans="1:27" x14ac:dyDescent="0.2">
      <c r="A345" s="41"/>
      <c r="B345" s="41"/>
      <c r="C345" s="94"/>
      <c r="D345" s="140"/>
      <c r="E345" s="41"/>
      <c r="F345" s="126"/>
      <c r="G345" s="127"/>
      <c r="H345" s="41"/>
      <c r="I345" s="95"/>
      <c r="J345" s="41"/>
      <c r="K345" s="41"/>
      <c r="L345" s="95"/>
      <c r="M345" s="128"/>
      <c r="N345" s="41"/>
      <c r="O345" s="42"/>
      <c r="P345" s="52"/>
      <c r="Q345" s="41"/>
      <c r="R345" s="42"/>
      <c r="S345" s="129"/>
      <c r="T345" s="41"/>
      <c r="U345" s="42"/>
      <c r="V345" s="41"/>
      <c r="W345" s="41"/>
      <c r="X345" s="42"/>
      <c r="Y345" s="41"/>
      <c r="Z345" s="41"/>
      <c r="AA345" s="94"/>
    </row>
    <row r="346" spans="1:27" x14ac:dyDescent="0.2">
      <c r="A346" s="44"/>
      <c r="B346" s="44"/>
      <c r="C346" s="91"/>
      <c r="D346" s="139"/>
      <c r="E346" s="44"/>
      <c r="F346" s="122"/>
      <c r="G346" s="123"/>
      <c r="H346" s="44"/>
      <c r="I346" s="93"/>
      <c r="J346" s="44"/>
      <c r="K346" s="44"/>
      <c r="L346" s="93"/>
      <c r="M346" s="124"/>
      <c r="N346" s="44"/>
      <c r="O346" s="92"/>
      <c r="P346" s="110"/>
      <c r="Q346" s="44"/>
      <c r="R346" s="92"/>
      <c r="S346" s="125"/>
      <c r="T346" s="44"/>
      <c r="U346" s="92"/>
      <c r="V346" s="44"/>
      <c r="W346" s="44"/>
      <c r="X346" s="92"/>
      <c r="Y346" s="44"/>
      <c r="Z346" s="44"/>
      <c r="AA346" s="91"/>
    </row>
    <row r="347" spans="1:27" x14ac:dyDescent="0.2">
      <c r="A347" s="41"/>
      <c r="B347" s="41"/>
      <c r="C347" s="94"/>
      <c r="D347" s="140"/>
      <c r="E347" s="41"/>
      <c r="F347" s="126"/>
      <c r="G347" s="127"/>
      <c r="H347" s="41"/>
      <c r="I347" s="95"/>
      <c r="J347" s="41"/>
      <c r="K347" s="41"/>
      <c r="L347" s="95"/>
      <c r="M347" s="128"/>
      <c r="N347" s="41"/>
      <c r="O347" s="42"/>
      <c r="P347" s="52"/>
      <c r="Q347" s="41"/>
      <c r="R347" s="42"/>
      <c r="S347" s="129"/>
      <c r="T347" s="41"/>
      <c r="U347" s="42"/>
      <c r="V347" s="41"/>
      <c r="W347" s="41"/>
      <c r="X347" s="42"/>
      <c r="Y347" s="41"/>
      <c r="Z347" s="41"/>
      <c r="AA347" s="94"/>
    </row>
    <row r="348" spans="1:27" x14ac:dyDescent="0.2">
      <c r="A348" s="44"/>
      <c r="B348" s="44"/>
      <c r="C348" s="91"/>
      <c r="D348" s="139"/>
      <c r="E348" s="44"/>
      <c r="F348" s="122"/>
      <c r="G348" s="123"/>
      <c r="H348" s="44"/>
      <c r="I348" s="93"/>
      <c r="J348" s="44"/>
      <c r="K348" s="44"/>
      <c r="L348" s="93"/>
      <c r="M348" s="124"/>
      <c r="N348" s="44"/>
      <c r="O348" s="92"/>
      <c r="P348" s="110"/>
      <c r="Q348" s="44"/>
      <c r="R348" s="92"/>
      <c r="S348" s="125"/>
      <c r="T348" s="44"/>
      <c r="U348" s="92"/>
      <c r="V348" s="44"/>
      <c r="W348" s="44"/>
      <c r="X348" s="92"/>
      <c r="Y348" s="44"/>
      <c r="Z348" s="44"/>
      <c r="AA348" s="91"/>
    </row>
    <row r="349" spans="1:27" x14ac:dyDescent="0.2">
      <c r="A349" s="41"/>
      <c r="B349" s="41"/>
      <c r="C349" s="94"/>
      <c r="D349" s="140"/>
      <c r="E349" s="41"/>
      <c r="F349" s="127"/>
      <c r="G349" s="127"/>
      <c r="H349" s="41"/>
      <c r="I349" s="95"/>
      <c r="J349" s="41"/>
      <c r="K349" s="41"/>
      <c r="L349" s="95"/>
      <c r="M349" s="128"/>
      <c r="N349" s="41"/>
      <c r="O349" s="42"/>
      <c r="P349" s="52"/>
      <c r="Q349" s="41"/>
      <c r="R349" s="42"/>
      <c r="S349" s="129"/>
      <c r="T349" s="41"/>
      <c r="U349" s="42"/>
      <c r="V349" s="41"/>
      <c r="W349" s="41"/>
      <c r="X349" s="42"/>
      <c r="Y349" s="41"/>
      <c r="Z349" s="41"/>
      <c r="AA349" s="94"/>
    </row>
    <row r="350" spans="1:27" x14ac:dyDescent="0.2">
      <c r="A350" s="44"/>
      <c r="B350" s="44"/>
      <c r="C350" s="91"/>
      <c r="D350" s="139"/>
      <c r="E350" s="44"/>
      <c r="F350" s="122"/>
      <c r="G350" s="123"/>
      <c r="H350" s="44"/>
      <c r="I350" s="93"/>
      <c r="J350" s="44"/>
      <c r="K350" s="44"/>
      <c r="L350" s="93"/>
      <c r="M350" s="124"/>
      <c r="N350" s="44"/>
      <c r="O350" s="92"/>
      <c r="P350" s="110"/>
      <c r="Q350" s="44"/>
      <c r="R350" s="92"/>
      <c r="S350" s="125"/>
      <c r="T350" s="44"/>
      <c r="U350" s="92"/>
      <c r="V350" s="44"/>
      <c r="W350" s="44"/>
      <c r="X350" s="92"/>
      <c r="Y350" s="44"/>
      <c r="Z350" s="44"/>
      <c r="AA350" s="91"/>
    </row>
    <row r="351" spans="1:27" x14ac:dyDescent="0.2">
      <c r="A351" s="41"/>
      <c r="B351" s="41"/>
      <c r="C351" s="94"/>
      <c r="D351" s="140"/>
      <c r="E351" s="41"/>
      <c r="F351" s="126"/>
      <c r="G351" s="127"/>
      <c r="H351" s="41"/>
      <c r="I351" s="95"/>
      <c r="J351" s="41"/>
      <c r="K351" s="41"/>
      <c r="L351" s="95"/>
      <c r="M351" s="128"/>
      <c r="N351" s="41"/>
      <c r="O351" s="42"/>
      <c r="P351" s="52"/>
      <c r="Q351" s="41"/>
      <c r="R351" s="42"/>
      <c r="S351" s="129"/>
      <c r="T351" s="41"/>
      <c r="U351" s="42"/>
      <c r="V351" s="41"/>
      <c r="W351" s="41"/>
      <c r="X351" s="42"/>
      <c r="Y351" s="41"/>
      <c r="Z351" s="41"/>
      <c r="AA351" s="94"/>
    </row>
    <row r="352" spans="1:27" x14ac:dyDescent="0.2">
      <c r="A352" s="44"/>
      <c r="B352" s="44"/>
      <c r="C352" s="91"/>
      <c r="D352" s="139"/>
      <c r="E352" s="44"/>
      <c r="F352" s="122"/>
      <c r="G352" s="123"/>
      <c r="H352" s="44"/>
      <c r="I352" s="93"/>
      <c r="J352" s="44"/>
      <c r="K352" s="44"/>
      <c r="L352" s="93"/>
      <c r="M352" s="124"/>
      <c r="N352" s="44"/>
      <c r="O352" s="92"/>
      <c r="P352" s="110"/>
      <c r="Q352" s="44"/>
      <c r="R352" s="92"/>
      <c r="S352" s="125"/>
      <c r="T352" s="44"/>
      <c r="U352" s="92"/>
      <c r="V352" s="44"/>
      <c r="W352" s="44"/>
      <c r="X352" s="92"/>
      <c r="Y352" s="44"/>
      <c r="Z352" s="44"/>
      <c r="AA352" s="91"/>
    </row>
    <row r="353" spans="1:27" x14ac:dyDescent="0.2">
      <c r="A353" s="41"/>
      <c r="B353" s="41"/>
      <c r="C353" s="94"/>
      <c r="D353" s="140"/>
      <c r="E353" s="41"/>
      <c r="F353" s="126"/>
      <c r="G353" s="127"/>
      <c r="H353" s="41"/>
      <c r="I353" s="95"/>
      <c r="J353" s="41"/>
      <c r="K353" s="41"/>
      <c r="L353" s="95"/>
      <c r="M353" s="128"/>
      <c r="N353" s="41"/>
      <c r="O353" s="42"/>
      <c r="P353" s="52"/>
      <c r="Q353" s="41"/>
      <c r="R353" s="42"/>
      <c r="S353" s="129"/>
      <c r="T353" s="41"/>
      <c r="U353" s="42"/>
      <c r="V353" s="41"/>
      <c r="W353" s="41"/>
      <c r="X353" s="42"/>
      <c r="Y353" s="41"/>
      <c r="Z353" s="41"/>
      <c r="AA353" s="94"/>
    </row>
    <row r="354" spans="1:27" x14ac:dyDescent="0.2">
      <c r="A354" s="44"/>
      <c r="B354" s="44"/>
      <c r="C354" s="91"/>
      <c r="D354" s="139"/>
      <c r="E354" s="44"/>
      <c r="F354" s="122"/>
      <c r="G354" s="123"/>
      <c r="H354" s="44"/>
      <c r="I354" s="93"/>
      <c r="J354" s="44"/>
      <c r="K354" s="44"/>
      <c r="L354" s="93"/>
      <c r="M354" s="124"/>
      <c r="N354" s="44"/>
      <c r="O354" s="92"/>
      <c r="P354" s="110"/>
      <c r="Q354" s="44"/>
      <c r="R354" s="92"/>
      <c r="S354" s="125"/>
      <c r="T354" s="44"/>
      <c r="U354" s="92"/>
      <c r="V354" s="44"/>
      <c r="W354" s="44"/>
      <c r="X354" s="92"/>
      <c r="Y354" s="44"/>
      <c r="Z354" s="44"/>
      <c r="AA354" s="91"/>
    </row>
    <row r="355" spans="1:27" x14ac:dyDescent="0.2">
      <c r="A355" s="41"/>
      <c r="B355" s="41"/>
      <c r="C355" s="94"/>
      <c r="D355" s="140"/>
      <c r="E355" s="41"/>
      <c r="F355" s="126"/>
      <c r="G355" s="127"/>
      <c r="H355" s="41"/>
      <c r="I355" s="95"/>
      <c r="J355" s="41"/>
      <c r="K355" s="41"/>
      <c r="L355" s="95"/>
      <c r="M355" s="128"/>
      <c r="N355" s="41"/>
      <c r="O355" s="42"/>
      <c r="P355" s="52"/>
      <c r="Q355" s="41"/>
      <c r="R355" s="42"/>
      <c r="S355" s="129"/>
      <c r="T355" s="41"/>
      <c r="U355" s="42"/>
      <c r="V355" s="41"/>
      <c r="W355" s="41"/>
      <c r="X355" s="42"/>
      <c r="Y355" s="41"/>
      <c r="Z355" s="41"/>
      <c r="AA355" s="94"/>
    </row>
    <row r="356" spans="1:27" x14ac:dyDescent="0.2">
      <c r="A356" s="44"/>
      <c r="B356" s="44"/>
      <c r="C356" s="91"/>
      <c r="D356" s="139"/>
      <c r="E356" s="44"/>
      <c r="F356" s="122"/>
      <c r="G356" s="123"/>
      <c r="H356" s="44"/>
      <c r="I356" s="93"/>
      <c r="J356" s="44"/>
      <c r="K356" s="44"/>
      <c r="L356" s="93"/>
      <c r="M356" s="124"/>
      <c r="N356" s="44"/>
      <c r="O356" s="92"/>
      <c r="P356" s="110"/>
      <c r="Q356" s="44"/>
      <c r="R356" s="92"/>
      <c r="S356" s="125"/>
      <c r="T356" s="44"/>
      <c r="U356" s="92"/>
      <c r="V356" s="44"/>
      <c r="W356" s="44"/>
      <c r="X356" s="92"/>
      <c r="Y356" s="44"/>
      <c r="Z356" s="44"/>
      <c r="AA356" s="91"/>
    </row>
    <row r="357" spans="1:27" x14ac:dyDescent="0.2">
      <c r="A357" s="96"/>
      <c r="B357" s="44"/>
      <c r="C357" s="91"/>
      <c r="D357" s="139"/>
      <c r="E357" s="44"/>
      <c r="F357" s="122"/>
      <c r="G357" s="123"/>
      <c r="H357" s="44"/>
      <c r="I357" s="93"/>
      <c r="J357" s="44"/>
      <c r="K357" s="44"/>
      <c r="L357" s="93"/>
      <c r="M357" s="124"/>
      <c r="N357" s="44"/>
      <c r="O357" s="92"/>
      <c r="P357" s="110"/>
      <c r="Q357" s="44"/>
      <c r="R357" s="92"/>
      <c r="S357" s="125"/>
      <c r="T357" s="44"/>
      <c r="U357" s="92"/>
      <c r="V357" s="44"/>
      <c r="W357" s="44"/>
      <c r="X357" s="92"/>
      <c r="Y357" s="96"/>
      <c r="Z357" s="44"/>
      <c r="AA357" s="91"/>
    </row>
    <row r="358" spans="1:27" x14ac:dyDescent="0.2">
      <c r="A358" s="97"/>
      <c r="B358" s="41"/>
      <c r="C358" s="94"/>
      <c r="D358" s="140"/>
      <c r="E358" s="41"/>
      <c r="F358" s="126"/>
      <c r="G358" s="127"/>
      <c r="H358" s="41"/>
      <c r="I358" s="95"/>
      <c r="J358" s="41"/>
      <c r="K358" s="41"/>
      <c r="L358" s="95"/>
      <c r="M358" s="128"/>
      <c r="N358" s="41"/>
      <c r="O358" s="42"/>
      <c r="P358" s="52"/>
      <c r="Q358" s="41"/>
      <c r="R358" s="42"/>
      <c r="S358" s="129"/>
      <c r="T358" s="41"/>
      <c r="U358" s="42"/>
      <c r="V358" s="41"/>
      <c r="W358" s="41"/>
      <c r="X358" s="42"/>
      <c r="Y358" s="97"/>
      <c r="Z358" s="41"/>
      <c r="AA358" s="94"/>
    </row>
    <row r="359" spans="1:27" x14ac:dyDescent="0.2">
      <c r="A359" s="96"/>
      <c r="B359" s="44"/>
      <c r="C359" s="91"/>
      <c r="D359" s="139"/>
      <c r="E359" s="44"/>
      <c r="F359" s="122"/>
      <c r="G359" s="123"/>
      <c r="H359" s="44"/>
      <c r="I359" s="93"/>
      <c r="J359" s="44"/>
      <c r="K359" s="44"/>
      <c r="L359" s="93"/>
      <c r="M359" s="124"/>
      <c r="N359" s="44"/>
      <c r="O359" s="92"/>
      <c r="P359" s="110"/>
      <c r="Q359" s="44"/>
      <c r="R359" s="92"/>
      <c r="S359" s="125"/>
      <c r="T359" s="44"/>
      <c r="U359" s="92"/>
      <c r="V359" s="44"/>
      <c r="W359" s="44"/>
      <c r="X359" s="92"/>
      <c r="Y359" s="96"/>
      <c r="Z359" s="44"/>
      <c r="AA359" s="91"/>
    </row>
    <row r="360" spans="1:27" x14ac:dyDescent="0.2">
      <c r="A360" s="97"/>
      <c r="B360" s="41"/>
      <c r="C360" s="94"/>
      <c r="D360" s="140"/>
      <c r="E360" s="41"/>
      <c r="F360" s="126"/>
      <c r="G360" s="127"/>
      <c r="H360" s="41"/>
      <c r="I360" s="95"/>
      <c r="J360" s="41"/>
      <c r="K360" s="41"/>
      <c r="L360" s="95"/>
      <c r="M360" s="128"/>
      <c r="N360" s="41"/>
      <c r="O360" s="42"/>
      <c r="P360" s="52"/>
      <c r="Q360" s="41"/>
      <c r="R360" s="42"/>
      <c r="S360" s="129"/>
      <c r="T360" s="41"/>
      <c r="U360" s="42"/>
      <c r="V360" s="41"/>
      <c r="W360" s="41"/>
      <c r="X360" s="42"/>
      <c r="Y360" s="97"/>
      <c r="Z360" s="41"/>
      <c r="AA360" s="94"/>
    </row>
    <row r="361" spans="1:27" x14ac:dyDescent="0.2">
      <c r="A361" s="97"/>
      <c r="B361" s="41"/>
      <c r="C361" s="94"/>
      <c r="D361" s="140"/>
      <c r="E361" s="41"/>
      <c r="F361" s="126"/>
      <c r="G361" s="127"/>
      <c r="H361" s="41"/>
      <c r="I361" s="95"/>
      <c r="J361" s="41"/>
      <c r="K361" s="41"/>
      <c r="L361" s="95"/>
      <c r="M361" s="128"/>
      <c r="N361" s="41"/>
      <c r="O361" s="42"/>
      <c r="P361" s="52"/>
      <c r="Q361" s="41"/>
      <c r="R361" s="42"/>
      <c r="S361" s="129"/>
      <c r="T361" s="41"/>
      <c r="U361" s="42"/>
      <c r="V361" s="41"/>
      <c r="W361" s="41"/>
      <c r="X361" s="42"/>
      <c r="Y361" s="97"/>
      <c r="Z361" s="41"/>
      <c r="AA361" s="94"/>
    </row>
    <row r="362" spans="1:27" x14ac:dyDescent="0.2">
      <c r="A362" s="97"/>
      <c r="B362" s="41"/>
      <c r="C362" s="94"/>
      <c r="D362" s="140"/>
      <c r="E362" s="41"/>
      <c r="F362" s="126"/>
      <c r="G362" s="127"/>
      <c r="H362" s="41"/>
      <c r="I362" s="95"/>
      <c r="J362" s="41"/>
      <c r="K362" s="41"/>
      <c r="L362" s="95"/>
      <c r="M362" s="128"/>
      <c r="N362" s="41"/>
      <c r="O362" s="42"/>
      <c r="P362" s="52"/>
      <c r="Q362" s="41"/>
      <c r="R362" s="42"/>
      <c r="S362" s="129"/>
      <c r="T362" s="41"/>
      <c r="U362" s="42"/>
      <c r="V362" s="41"/>
      <c r="W362" s="41"/>
      <c r="X362" s="42"/>
      <c r="Y362" s="97"/>
      <c r="Z362" s="41"/>
      <c r="AA362" s="94"/>
    </row>
    <row r="363" spans="1:27" x14ac:dyDescent="0.2">
      <c r="A363" s="97"/>
      <c r="B363" s="41"/>
      <c r="C363" s="94"/>
      <c r="D363" s="140"/>
      <c r="E363" s="41"/>
      <c r="F363" s="126"/>
      <c r="G363" s="127"/>
      <c r="H363" s="41"/>
      <c r="I363" s="95"/>
      <c r="J363" s="41"/>
      <c r="K363" s="41"/>
      <c r="L363" s="95"/>
      <c r="M363" s="128"/>
      <c r="N363" s="41"/>
      <c r="O363" s="42"/>
      <c r="P363" s="52"/>
      <c r="Q363" s="41"/>
      <c r="R363" s="42"/>
      <c r="S363" s="129"/>
      <c r="T363" s="41"/>
      <c r="U363" s="42"/>
      <c r="V363" s="41"/>
      <c r="W363" s="41"/>
      <c r="X363" s="42"/>
      <c r="Y363" s="97"/>
      <c r="Z363" s="41"/>
      <c r="AA363" s="94"/>
    </row>
    <row r="364" spans="1:27" x14ac:dyDescent="0.2">
      <c r="A364" s="96"/>
      <c r="B364" s="44"/>
      <c r="C364" s="91"/>
      <c r="D364" s="139"/>
      <c r="E364" s="44"/>
      <c r="F364" s="122"/>
      <c r="G364" s="123"/>
      <c r="H364" s="44"/>
      <c r="I364" s="93"/>
      <c r="J364" s="44"/>
      <c r="K364" s="44"/>
      <c r="L364" s="93"/>
      <c r="M364" s="124"/>
      <c r="N364" s="44"/>
      <c r="O364" s="92"/>
      <c r="P364" s="110"/>
      <c r="Q364" s="44"/>
      <c r="R364" s="92"/>
      <c r="S364" s="125"/>
      <c r="T364" s="44"/>
      <c r="U364" s="92"/>
      <c r="V364" s="44"/>
      <c r="W364" s="44"/>
      <c r="X364" s="92"/>
      <c r="Y364" s="96"/>
      <c r="Z364" s="44"/>
      <c r="AA364" s="91"/>
    </row>
    <row r="365" spans="1:27" x14ac:dyDescent="0.2">
      <c r="A365" s="96"/>
      <c r="B365" s="44"/>
      <c r="C365" s="91"/>
      <c r="D365" s="139"/>
      <c r="E365" s="44"/>
      <c r="F365" s="122"/>
      <c r="G365" s="123"/>
      <c r="H365" s="44"/>
      <c r="I365" s="93"/>
      <c r="J365" s="44"/>
      <c r="K365" s="44"/>
      <c r="L365" s="93"/>
      <c r="M365" s="124"/>
      <c r="N365" s="44"/>
      <c r="O365" s="92"/>
      <c r="P365" s="110"/>
      <c r="Q365" s="44"/>
      <c r="R365" s="92"/>
      <c r="S365" s="125"/>
      <c r="T365" s="44"/>
      <c r="U365" s="92"/>
      <c r="V365" s="44"/>
      <c r="W365" s="44"/>
      <c r="X365" s="92"/>
      <c r="Y365" s="96"/>
      <c r="Z365" s="44"/>
      <c r="AA365" s="91"/>
    </row>
    <row r="366" spans="1:27" x14ac:dyDescent="0.2">
      <c r="A366" s="96"/>
      <c r="B366" s="44"/>
      <c r="C366" s="91"/>
      <c r="D366" s="139"/>
      <c r="E366" s="44"/>
      <c r="F366" s="122"/>
      <c r="G366" s="123"/>
      <c r="H366" s="44"/>
      <c r="I366" s="93"/>
      <c r="J366" s="44"/>
      <c r="K366" s="44"/>
      <c r="L366" s="93"/>
      <c r="M366" s="124"/>
      <c r="N366" s="44"/>
      <c r="O366" s="92"/>
      <c r="P366" s="110"/>
      <c r="Q366" s="44"/>
      <c r="R366" s="92"/>
      <c r="S366" s="125"/>
      <c r="T366" s="44"/>
      <c r="U366" s="92"/>
      <c r="V366" s="44"/>
      <c r="W366" s="44"/>
      <c r="X366" s="92"/>
      <c r="Y366" s="96"/>
      <c r="Z366" s="44"/>
      <c r="AA366" s="91"/>
    </row>
    <row r="367" spans="1:27" x14ac:dyDescent="0.2">
      <c r="A367" s="96"/>
      <c r="B367" s="44"/>
      <c r="C367" s="91"/>
      <c r="D367" s="139"/>
      <c r="E367" s="44"/>
      <c r="F367" s="122"/>
      <c r="G367" s="123"/>
      <c r="H367" s="44"/>
      <c r="I367" s="93"/>
      <c r="J367" s="44"/>
      <c r="K367" s="44"/>
      <c r="L367" s="93"/>
      <c r="M367" s="124"/>
      <c r="N367" s="44"/>
      <c r="O367" s="92"/>
      <c r="P367" s="110"/>
      <c r="Q367" s="44"/>
      <c r="R367" s="92"/>
      <c r="S367" s="125"/>
      <c r="T367" s="44"/>
      <c r="U367" s="92"/>
      <c r="V367" s="44"/>
      <c r="W367" s="44"/>
      <c r="X367" s="92"/>
      <c r="Y367" s="96"/>
      <c r="Z367" s="44"/>
      <c r="AA367" s="91"/>
    </row>
    <row r="368" spans="1:27" x14ac:dyDescent="0.2">
      <c r="A368" s="96"/>
      <c r="B368" s="44"/>
      <c r="C368" s="91"/>
      <c r="D368" s="139"/>
      <c r="E368" s="44"/>
      <c r="F368" s="122"/>
      <c r="G368" s="123"/>
      <c r="H368" s="44"/>
      <c r="I368" s="93"/>
      <c r="J368" s="44"/>
      <c r="K368" s="44"/>
      <c r="L368" s="93"/>
      <c r="M368" s="124"/>
      <c r="N368" s="44"/>
      <c r="O368" s="92"/>
      <c r="P368" s="110"/>
      <c r="Q368" s="44"/>
      <c r="R368" s="92"/>
      <c r="S368" s="125"/>
      <c r="T368" s="44"/>
      <c r="U368" s="92"/>
      <c r="V368" s="44"/>
      <c r="W368" s="44"/>
      <c r="X368" s="92"/>
      <c r="Y368" s="96"/>
      <c r="Z368" s="44"/>
      <c r="AA368" s="91"/>
    </row>
    <row r="369" spans="1:27" x14ac:dyDescent="0.2">
      <c r="A369" s="97"/>
      <c r="B369" s="41"/>
      <c r="C369" s="94"/>
      <c r="D369" s="140"/>
      <c r="E369" s="41"/>
      <c r="F369" s="126"/>
      <c r="G369" s="127"/>
      <c r="H369" s="41"/>
      <c r="I369" s="95"/>
      <c r="J369" s="41"/>
      <c r="K369" s="41"/>
      <c r="L369" s="95"/>
      <c r="M369" s="128"/>
      <c r="N369" s="41"/>
      <c r="O369" s="42"/>
      <c r="P369" s="52"/>
      <c r="Q369" s="41"/>
      <c r="R369" s="42"/>
      <c r="S369" s="129"/>
      <c r="T369" s="41"/>
      <c r="U369" s="42"/>
      <c r="V369" s="41"/>
      <c r="W369" s="41"/>
      <c r="X369" s="42"/>
      <c r="Y369" s="97"/>
      <c r="Z369" s="41"/>
      <c r="AA369" s="94"/>
    </row>
    <row r="370" spans="1:27" x14ac:dyDescent="0.2">
      <c r="A370" s="96"/>
      <c r="B370" s="44"/>
      <c r="C370" s="91"/>
      <c r="D370" s="139"/>
      <c r="E370" s="44"/>
      <c r="F370" s="122"/>
      <c r="G370" s="123"/>
      <c r="H370" s="44"/>
      <c r="I370" s="93"/>
      <c r="J370" s="44"/>
      <c r="K370" s="44"/>
      <c r="L370" s="93"/>
      <c r="M370" s="124"/>
      <c r="N370" s="44"/>
      <c r="O370" s="92"/>
      <c r="P370" s="110"/>
      <c r="Q370" s="44"/>
      <c r="R370" s="92"/>
      <c r="S370" s="125"/>
      <c r="T370" s="44"/>
      <c r="U370" s="92"/>
      <c r="V370" s="44"/>
      <c r="W370" s="44"/>
      <c r="X370" s="92"/>
      <c r="Y370" s="96"/>
      <c r="Z370" s="44"/>
      <c r="AA370" s="91"/>
    </row>
    <row r="371" spans="1:27" x14ac:dyDescent="0.2">
      <c r="A371" s="97"/>
      <c r="B371" s="41"/>
      <c r="C371" s="94"/>
      <c r="D371" s="140"/>
      <c r="E371" s="41"/>
      <c r="F371" s="126"/>
      <c r="G371" s="127"/>
      <c r="H371" s="41"/>
      <c r="I371" s="95"/>
      <c r="J371" s="41"/>
      <c r="K371" s="41"/>
      <c r="L371" s="95"/>
      <c r="M371" s="128"/>
      <c r="N371" s="41"/>
      <c r="O371" s="42"/>
      <c r="P371" s="52"/>
      <c r="Q371" s="41"/>
      <c r="R371" s="42"/>
      <c r="S371" s="129"/>
      <c r="T371" s="41"/>
      <c r="U371" s="42"/>
      <c r="V371" s="41"/>
      <c r="W371" s="41"/>
      <c r="X371" s="42"/>
      <c r="Y371" s="97"/>
      <c r="Z371" s="41"/>
      <c r="AA371" s="94"/>
    </row>
    <row r="372" spans="1:27" x14ac:dyDescent="0.2">
      <c r="A372" s="96"/>
      <c r="B372" s="44"/>
      <c r="C372" s="91"/>
      <c r="D372" s="139"/>
      <c r="E372" s="44"/>
      <c r="F372" s="122"/>
      <c r="G372" s="123"/>
      <c r="H372" s="44"/>
      <c r="I372" s="93"/>
      <c r="J372" s="44"/>
      <c r="K372" s="44"/>
      <c r="L372" s="93"/>
      <c r="M372" s="124"/>
      <c r="N372" s="44"/>
      <c r="O372" s="92"/>
      <c r="P372" s="110"/>
      <c r="Q372" s="44"/>
      <c r="R372" s="92"/>
      <c r="S372" s="125"/>
      <c r="T372" s="44"/>
      <c r="U372" s="92"/>
      <c r="V372" s="44"/>
      <c r="W372" s="44"/>
      <c r="X372" s="92"/>
      <c r="Y372" s="96"/>
      <c r="Z372" s="44"/>
      <c r="AA372" s="91"/>
    </row>
    <row r="373" spans="1:27" x14ac:dyDescent="0.2">
      <c r="A373" s="96"/>
      <c r="B373" s="44"/>
      <c r="C373" s="91"/>
      <c r="D373" s="139"/>
      <c r="E373" s="44"/>
      <c r="F373" s="122"/>
      <c r="G373" s="123"/>
      <c r="H373" s="44"/>
      <c r="I373" s="93"/>
      <c r="J373" s="44"/>
      <c r="K373" s="44"/>
      <c r="L373" s="93"/>
      <c r="M373" s="124"/>
      <c r="N373" s="44"/>
      <c r="O373" s="92"/>
      <c r="P373" s="110"/>
      <c r="Q373" s="44"/>
      <c r="R373" s="92"/>
      <c r="S373" s="125"/>
      <c r="T373" s="44"/>
      <c r="U373" s="92"/>
      <c r="V373" s="44"/>
      <c r="W373" s="44"/>
      <c r="X373" s="92"/>
      <c r="Y373" s="96"/>
      <c r="Z373" s="44"/>
      <c r="AA373" s="91"/>
    </row>
    <row r="374" spans="1:27" x14ac:dyDescent="0.2">
      <c r="A374" s="97"/>
      <c r="B374" s="41"/>
      <c r="C374" s="94"/>
      <c r="D374" s="140"/>
      <c r="E374" s="41"/>
      <c r="F374" s="126"/>
      <c r="G374" s="127"/>
      <c r="H374" s="41"/>
      <c r="I374" s="95"/>
      <c r="J374" s="41"/>
      <c r="K374" s="41"/>
      <c r="L374" s="95"/>
      <c r="M374" s="128"/>
      <c r="N374" s="41"/>
      <c r="O374" s="42"/>
      <c r="P374" s="52"/>
      <c r="Q374" s="41"/>
      <c r="R374" s="42"/>
      <c r="S374" s="129"/>
      <c r="T374" s="41"/>
      <c r="U374" s="42"/>
      <c r="V374" s="41"/>
      <c r="W374" s="41"/>
      <c r="X374" s="42"/>
      <c r="Y374" s="97"/>
      <c r="Z374" s="41"/>
      <c r="AA374" s="94"/>
    </row>
    <row r="375" spans="1:27" x14ac:dyDescent="0.2">
      <c r="A375" s="96"/>
      <c r="B375" s="44"/>
      <c r="C375" s="91"/>
      <c r="D375" s="139"/>
      <c r="E375" s="44"/>
      <c r="F375" s="122"/>
      <c r="G375" s="123"/>
      <c r="H375" s="44"/>
      <c r="I375" s="93"/>
      <c r="J375" s="44"/>
      <c r="K375" s="44"/>
      <c r="L375" s="93"/>
      <c r="M375" s="124"/>
      <c r="N375" s="44"/>
      <c r="O375" s="92"/>
      <c r="P375" s="110"/>
      <c r="Q375" s="44"/>
      <c r="R375" s="92"/>
      <c r="S375" s="125"/>
      <c r="T375" s="44"/>
      <c r="U375" s="92"/>
      <c r="V375" s="44"/>
      <c r="W375" s="44"/>
      <c r="X375" s="92"/>
      <c r="Y375" s="96"/>
      <c r="Z375" s="44"/>
      <c r="AA375" s="91"/>
    </row>
    <row r="376" spans="1:27" x14ac:dyDescent="0.2">
      <c r="A376" s="96"/>
      <c r="B376" s="44"/>
      <c r="C376" s="91"/>
      <c r="D376" s="139"/>
      <c r="E376" s="44"/>
      <c r="F376" s="122"/>
      <c r="G376" s="123"/>
      <c r="H376" s="44"/>
      <c r="I376" s="93"/>
      <c r="J376" s="44"/>
      <c r="K376" s="44"/>
      <c r="L376" s="93"/>
      <c r="M376" s="124"/>
      <c r="N376" s="44"/>
      <c r="O376" s="92"/>
      <c r="P376" s="110"/>
      <c r="Q376" s="44"/>
      <c r="R376" s="92"/>
      <c r="S376" s="125"/>
      <c r="T376" s="44"/>
      <c r="U376" s="92"/>
      <c r="V376" s="44"/>
      <c r="W376" s="44"/>
      <c r="X376" s="92"/>
      <c r="Y376" s="96"/>
      <c r="Z376" s="44"/>
      <c r="AA376" s="91"/>
    </row>
    <row r="377" spans="1:27" x14ac:dyDescent="0.2">
      <c r="A377" s="97"/>
      <c r="B377" s="41"/>
      <c r="C377" s="94"/>
      <c r="D377" s="140"/>
      <c r="E377" s="41"/>
      <c r="F377" s="126"/>
      <c r="G377" s="127"/>
      <c r="H377" s="41"/>
      <c r="I377" s="95"/>
      <c r="J377" s="41"/>
      <c r="K377" s="41"/>
      <c r="L377" s="95"/>
      <c r="M377" s="128"/>
      <c r="N377" s="41"/>
      <c r="O377" s="42"/>
      <c r="P377" s="52"/>
      <c r="Q377" s="41"/>
      <c r="R377" s="42"/>
      <c r="S377" s="129"/>
      <c r="T377" s="41"/>
      <c r="U377" s="42"/>
      <c r="V377" s="41"/>
      <c r="W377" s="41"/>
      <c r="X377" s="42"/>
      <c r="Y377" s="97"/>
      <c r="Z377" s="41"/>
      <c r="AA377" s="94"/>
    </row>
    <row r="378" spans="1:27" x14ac:dyDescent="0.2">
      <c r="A378" s="97"/>
      <c r="B378" s="41"/>
      <c r="C378" s="94"/>
      <c r="D378" s="140"/>
      <c r="E378" s="41"/>
      <c r="F378" s="126"/>
      <c r="G378" s="127"/>
      <c r="H378" s="41"/>
      <c r="I378" s="95"/>
      <c r="J378" s="41"/>
      <c r="K378" s="41"/>
      <c r="L378" s="95"/>
      <c r="M378" s="128"/>
      <c r="N378" s="41"/>
      <c r="O378" s="42"/>
      <c r="P378" s="52"/>
      <c r="Q378" s="41"/>
      <c r="R378" s="42"/>
      <c r="S378" s="129"/>
      <c r="T378" s="41"/>
      <c r="U378" s="42"/>
      <c r="V378" s="41"/>
      <c r="W378" s="41"/>
      <c r="X378" s="42"/>
      <c r="Y378" s="97"/>
      <c r="Z378" s="41"/>
      <c r="AA378" s="94"/>
    </row>
    <row r="379" spans="1:27" x14ac:dyDescent="0.2">
      <c r="A379" s="96"/>
      <c r="B379" s="44"/>
      <c r="C379" s="91"/>
      <c r="D379" s="139"/>
      <c r="E379" s="44"/>
      <c r="F379" s="122"/>
      <c r="G379" s="123"/>
      <c r="H379" s="44"/>
      <c r="I379" s="93"/>
      <c r="J379" s="44"/>
      <c r="K379" s="44"/>
      <c r="L379" s="93"/>
      <c r="M379" s="124"/>
      <c r="N379" s="44"/>
      <c r="O379" s="92"/>
      <c r="P379" s="110"/>
      <c r="Q379" s="44"/>
      <c r="R379" s="92"/>
      <c r="S379" s="125"/>
      <c r="T379" s="44"/>
      <c r="U379" s="92"/>
      <c r="V379" s="44"/>
      <c r="W379" s="44"/>
      <c r="X379" s="92"/>
      <c r="Y379" s="96"/>
      <c r="Z379" s="44"/>
      <c r="AA379" s="91"/>
    </row>
    <row r="380" spans="1:27" x14ac:dyDescent="0.2">
      <c r="A380" s="96"/>
      <c r="B380" s="44"/>
      <c r="C380" s="91"/>
      <c r="D380" s="139"/>
      <c r="E380" s="44"/>
      <c r="F380" s="122"/>
      <c r="G380" s="123"/>
      <c r="H380" s="44"/>
      <c r="I380" s="93"/>
      <c r="J380" s="44"/>
      <c r="K380" s="44"/>
      <c r="L380" s="93"/>
      <c r="M380" s="124"/>
      <c r="N380" s="44"/>
      <c r="O380" s="92"/>
      <c r="P380" s="110"/>
      <c r="Q380" s="44"/>
      <c r="R380" s="92"/>
      <c r="S380" s="125"/>
      <c r="T380" s="44"/>
      <c r="U380" s="92"/>
      <c r="V380" s="44"/>
      <c r="W380" s="44"/>
      <c r="X380" s="92"/>
      <c r="Y380" s="96"/>
      <c r="Z380" s="44"/>
      <c r="AA380" s="91"/>
    </row>
    <row r="381" spans="1:27" x14ac:dyDescent="0.2">
      <c r="A381" s="97"/>
      <c r="B381" s="41"/>
      <c r="C381" s="94"/>
      <c r="D381" s="140"/>
      <c r="E381" s="41"/>
      <c r="F381" s="126"/>
      <c r="G381" s="127"/>
      <c r="H381" s="41"/>
      <c r="I381" s="95"/>
      <c r="J381" s="41"/>
      <c r="K381" s="41"/>
      <c r="L381" s="95"/>
      <c r="M381" s="128"/>
      <c r="N381" s="41"/>
      <c r="O381" s="42"/>
      <c r="P381" s="52"/>
      <c r="Q381" s="41"/>
      <c r="R381" s="42"/>
      <c r="S381" s="129"/>
      <c r="T381" s="41"/>
      <c r="U381" s="42"/>
      <c r="V381" s="41"/>
      <c r="W381" s="41"/>
      <c r="X381" s="42"/>
      <c r="Y381" s="97"/>
      <c r="Z381" s="41"/>
      <c r="AA381" s="94"/>
    </row>
    <row r="382" spans="1:27" x14ac:dyDescent="0.2">
      <c r="A382" s="87"/>
      <c r="B382" s="87"/>
      <c r="C382" s="88"/>
      <c r="D382" s="138"/>
      <c r="E382" s="87"/>
      <c r="F382" s="118"/>
      <c r="G382" s="119"/>
      <c r="H382" s="87"/>
      <c r="I382" s="90"/>
      <c r="J382" s="87"/>
      <c r="K382" s="87"/>
      <c r="L382" s="90"/>
      <c r="M382" s="120"/>
      <c r="N382" s="87"/>
      <c r="O382" s="89"/>
      <c r="P382" s="130"/>
      <c r="Q382" s="87"/>
      <c r="R382" s="89"/>
      <c r="S382" s="121"/>
      <c r="T382" s="87"/>
      <c r="U382" s="89"/>
      <c r="V382" s="87"/>
      <c r="W382" s="87"/>
      <c r="X382" s="89"/>
      <c r="Y382" s="87"/>
      <c r="Z382" s="87"/>
      <c r="AA382" s="88"/>
    </row>
    <row r="383" spans="1:27" x14ac:dyDescent="0.2">
      <c r="A383" s="44"/>
      <c r="B383" s="44"/>
      <c r="C383" s="91"/>
      <c r="D383" s="139"/>
      <c r="E383" s="44"/>
      <c r="F383" s="122"/>
      <c r="G383" s="123"/>
      <c r="H383" s="44"/>
      <c r="I383" s="93"/>
      <c r="J383" s="44"/>
      <c r="K383" s="44"/>
      <c r="L383" s="93"/>
      <c r="M383" s="124"/>
      <c r="N383" s="44"/>
      <c r="O383" s="92"/>
      <c r="P383" s="110"/>
      <c r="Q383" s="44"/>
      <c r="R383" s="92"/>
      <c r="S383" s="125"/>
      <c r="T383" s="44"/>
      <c r="U383" s="92"/>
      <c r="V383" s="44"/>
      <c r="W383" s="44"/>
      <c r="X383" s="92"/>
      <c r="Y383" s="44"/>
      <c r="Z383" s="44"/>
      <c r="AA383" s="91"/>
    </row>
    <row r="384" spans="1:27" x14ac:dyDescent="0.2">
      <c r="A384" s="41"/>
      <c r="B384" s="41"/>
      <c r="C384" s="94"/>
      <c r="D384" s="140"/>
      <c r="E384" s="41"/>
      <c r="F384" s="126"/>
      <c r="G384" s="127"/>
      <c r="H384" s="41"/>
      <c r="I384" s="95"/>
      <c r="J384" s="41"/>
      <c r="K384" s="41"/>
      <c r="L384" s="95"/>
      <c r="M384" s="128"/>
      <c r="N384" s="41"/>
      <c r="O384" s="42"/>
      <c r="P384" s="52"/>
      <c r="Q384" s="41"/>
      <c r="R384" s="42"/>
      <c r="S384" s="129"/>
      <c r="T384" s="41"/>
      <c r="U384" s="42"/>
      <c r="V384" s="41"/>
      <c r="W384" s="41"/>
      <c r="X384" s="42"/>
      <c r="Y384" s="41"/>
      <c r="Z384" s="41"/>
      <c r="AA384" s="94"/>
    </row>
    <row r="385" spans="1:27" x14ac:dyDescent="0.2">
      <c r="A385" s="44"/>
      <c r="B385" s="44"/>
      <c r="C385" s="91"/>
      <c r="D385" s="139"/>
      <c r="E385" s="44"/>
      <c r="F385" s="122"/>
      <c r="G385" s="123"/>
      <c r="H385" s="44"/>
      <c r="I385" s="93"/>
      <c r="J385" s="44"/>
      <c r="K385" s="44"/>
      <c r="L385" s="93"/>
      <c r="M385" s="124"/>
      <c r="N385" s="44"/>
      <c r="O385" s="92"/>
      <c r="P385" s="110"/>
      <c r="Q385" s="44"/>
      <c r="R385" s="92"/>
      <c r="S385" s="125"/>
      <c r="T385" s="44"/>
      <c r="U385" s="92"/>
      <c r="V385" s="44"/>
      <c r="W385" s="44"/>
      <c r="X385" s="92"/>
      <c r="Y385" s="44"/>
      <c r="Z385" s="44"/>
      <c r="AA385" s="91"/>
    </row>
    <row r="386" spans="1:27" x14ac:dyDescent="0.2">
      <c r="A386" s="87"/>
      <c r="B386" s="87"/>
      <c r="C386" s="88"/>
      <c r="D386" s="138"/>
      <c r="E386" s="87"/>
      <c r="F386" s="118"/>
      <c r="G386" s="119"/>
      <c r="H386" s="87"/>
      <c r="I386" s="90"/>
      <c r="J386" s="87"/>
      <c r="K386" s="87"/>
      <c r="L386" s="90"/>
      <c r="M386" s="120"/>
      <c r="N386" s="87"/>
      <c r="O386" s="89"/>
      <c r="P386" s="87"/>
      <c r="Q386" s="87"/>
      <c r="R386" s="89"/>
      <c r="S386" s="121"/>
      <c r="T386" s="87"/>
      <c r="U386" s="89"/>
      <c r="V386" s="87"/>
      <c r="W386" s="87"/>
      <c r="X386" s="89"/>
      <c r="Y386" s="87"/>
      <c r="Z386" s="87"/>
      <c r="AA386" s="88"/>
    </row>
    <row r="387" spans="1:27" x14ac:dyDescent="0.2">
      <c r="A387" s="44"/>
      <c r="B387" s="44"/>
      <c r="C387" s="91"/>
      <c r="D387" s="139"/>
      <c r="E387" s="44"/>
      <c r="F387" s="122"/>
      <c r="G387" s="123"/>
      <c r="H387" s="44"/>
      <c r="I387" s="93"/>
      <c r="J387" s="44"/>
      <c r="K387" s="44"/>
      <c r="L387" s="93"/>
      <c r="M387" s="124"/>
      <c r="N387" s="44"/>
      <c r="O387" s="92"/>
      <c r="P387" s="110"/>
      <c r="Q387" s="44"/>
      <c r="R387" s="92"/>
      <c r="S387" s="125"/>
      <c r="T387" s="44"/>
      <c r="U387" s="92"/>
      <c r="V387" s="44"/>
      <c r="W387" s="44"/>
      <c r="X387" s="92"/>
      <c r="Y387" s="44"/>
      <c r="Z387" s="44"/>
      <c r="AA387" s="91"/>
    </row>
    <row r="388" spans="1:27" x14ac:dyDescent="0.2">
      <c r="A388" s="41"/>
      <c r="B388" s="41"/>
      <c r="C388" s="94"/>
      <c r="D388" s="140"/>
      <c r="E388" s="41"/>
      <c r="F388" s="126"/>
      <c r="G388" s="127"/>
      <c r="H388" s="41"/>
      <c r="I388" s="95"/>
      <c r="J388" s="41"/>
      <c r="K388" s="41"/>
      <c r="L388" s="95"/>
      <c r="M388" s="128"/>
      <c r="N388" s="41"/>
      <c r="O388" s="42"/>
      <c r="P388" s="52"/>
      <c r="Q388" s="41"/>
      <c r="R388" s="42"/>
      <c r="S388" s="129"/>
      <c r="T388" s="41"/>
      <c r="U388" s="42"/>
      <c r="V388" s="41"/>
      <c r="W388" s="41"/>
      <c r="X388" s="42"/>
      <c r="Y388" s="41"/>
      <c r="Z388" s="41"/>
      <c r="AA388" s="94"/>
    </row>
    <row r="389" spans="1:27" x14ac:dyDescent="0.2">
      <c r="A389" s="44"/>
      <c r="B389" s="44"/>
      <c r="C389" s="91"/>
      <c r="D389" s="139"/>
      <c r="E389" s="44"/>
      <c r="F389" s="122"/>
      <c r="G389" s="123"/>
      <c r="H389" s="44"/>
      <c r="I389" s="93"/>
      <c r="J389" s="44"/>
      <c r="K389" s="44"/>
      <c r="L389" s="93"/>
      <c r="M389" s="124"/>
      <c r="N389" s="44"/>
      <c r="O389" s="92"/>
      <c r="P389" s="110"/>
      <c r="Q389" s="44"/>
      <c r="R389" s="92"/>
      <c r="S389" s="125"/>
      <c r="T389" s="44"/>
      <c r="U389" s="92"/>
      <c r="V389" s="44"/>
      <c r="W389" s="44"/>
      <c r="X389" s="92"/>
      <c r="Y389" s="44"/>
      <c r="Z389" s="44"/>
      <c r="AA389" s="91"/>
    </row>
    <row r="390" spans="1:27" x14ac:dyDescent="0.2">
      <c r="A390" s="41"/>
      <c r="B390" s="41"/>
      <c r="C390" s="94"/>
      <c r="D390" s="140"/>
      <c r="E390" s="41"/>
      <c r="F390" s="126"/>
      <c r="G390" s="127"/>
      <c r="H390" s="41"/>
      <c r="I390" s="95"/>
      <c r="J390" s="41"/>
      <c r="K390" s="41"/>
      <c r="L390" s="95"/>
      <c r="M390" s="128"/>
      <c r="N390" s="41"/>
      <c r="O390" s="42"/>
      <c r="P390" s="52"/>
      <c r="Q390" s="41"/>
      <c r="R390" s="42"/>
      <c r="S390" s="129"/>
      <c r="T390" s="41"/>
      <c r="U390" s="42"/>
      <c r="V390" s="41"/>
      <c r="W390" s="41"/>
      <c r="X390" s="42"/>
      <c r="Y390" s="41"/>
      <c r="Z390" s="41"/>
      <c r="AA390" s="94"/>
    </row>
    <row r="391" spans="1:27" x14ac:dyDescent="0.2">
      <c r="A391" s="44"/>
      <c r="B391" s="44"/>
      <c r="C391" s="91"/>
      <c r="D391" s="139"/>
      <c r="E391" s="44"/>
      <c r="F391" s="122"/>
      <c r="G391" s="123"/>
      <c r="H391" s="44"/>
      <c r="I391" s="93"/>
      <c r="J391" s="44"/>
      <c r="K391" s="44"/>
      <c r="L391" s="93"/>
      <c r="M391" s="124"/>
      <c r="N391" s="44"/>
      <c r="O391" s="92"/>
      <c r="P391" s="110"/>
      <c r="Q391" s="44"/>
      <c r="R391" s="92"/>
      <c r="S391" s="125"/>
      <c r="T391" s="44"/>
      <c r="U391" s="92"/>
      <c r="V391" s="44"/>
      <c r="W391" s="44"/>
      <c r="X391" s="92"/>
      <c r="Y391" s="44"/>
      <c r="Z391" s="44"/>
      <c r="AA391" s="91"/>
    </row>
    <row r="392" spans="1:27" x14ac:dyDescent="0.2">
      <c r="A392" s="41"/>
      <c r="B392" s="41"/>
      <c r="C392" s="94"/>
      <c r="D392" s="140"/>
      <c r="E392" s="41"/>
      <c r="F392" s="126"/>
      <c r="G392" s="127"/>
      <c r="H392" s="41"/>
      <c r="I392" s="95"/>
      <c r="J392" s="41"/>
      <c r="K392" s="41"/>
      <c r="L392" s="95"/>
      <c r="M392" s="128"/>
      <c r="N392" s="41"/>
      <c r="O392" s="42"/>
      <c r="P392" s="52"/>
      <c r="Q392" s="41"/>
      <c r="R392" s="42"/>
      <c r="S392" s="129"/>
      <c r="T392" s="41"/>
      <c r="U392" s="42"/>
      <c r="V392" s="41"/>
      <c r="W392" s="41"/>
      <c r="X392" s="42"/>
      <c r="Y392" s="41"/>
      <c r="Z392" s="41"/>
      <c r="AA392" s="94"/>
    </row>
    <row r="393" spans="1:27" x14ac:dyDescent="0.2">
      <c r="A393" s="44"/>
      <c r="B393" s="44"/>
      <c r="C393" s="91"/>
      <c r="D393" s="139"/>
      <c r="E393" s="44"/>
      <c r="F393" s="122"/>
      <c r="G393" s="123"/>
      <c r="H393" s="44"/>
      <c r="I393" s="93"/>
      <c r="J393" s="44"/>
      <c r="K393" s="44"/>
      <c r="L393" s="93"/>
      <c r="M393" s="124"/>
      <c r="N393" s="44"/>
      <c r="O393" s="92"/>
      <c r="P393" s="110"/>
      <c r="Q393" s="44"/>
      <c r="R393" s="92"/>
      <c r="S393" s="125"/>
      <c r="T393" s="44"/>
      <c r="U393" s="92"/>
      <c r="V393" s="44"/>
      <c r="W393" s="44"/>
      <c r="X393" s="92"/>
      <c r="Y393" s="44"/>
      <c r="Z393" s="44"/>
      <c r="AA393" s="91"/>
    </row>
    <row r="394" spans="1:27" x14ac:dyDescent="0.2">
      <c r="A394" s="41"/>
      <c r="B394" s="41"/>
      <c r="C394" s="94"/>
      <c r="D394" s="140"/>
      <c r="E394" s="41"/>
      <c r="F394" s="126"/>
      <c r="G394" s="127"/>
      <c r="H394" s="41"/>
      <c r="I394" s="95"/>
      <c r="J394" s="41"/>
      <c r="K394" s="41"/>
      <c r="L394" s="95"/>
      <c r="M394" s="128"/>
      <c r="N394" s="41"/>
      <c r="O394" s="42"/>
      <c r="P394" s="52"/>
      <c r="Q394" s="41"/>
      <c r="R394" s="42"/>
      <c r="S394" s="129"/>
      <c r="T394" s="41"/>
      <c r="U394" s="42"/>
      <c r="V394" s="41"/>
      <c r="W394" s="41"/>
      <c r="X394" s="42"/>
      <c r="Y394" s="41"/>
      <c r="Z394" s="41"/>
      <c r="AA394" s="94"/>
    </row>
    <row r="395" spans="1:27" x14ac:dyDescent="0.2">
      <c r="A395" s="44"/>
      <c r="B395" s="44"/>
      <c r="C395" s="91"/>
      <c r="D395" s="139"/>
      <c r="E395" s="44"/>
      <c r="F395" s="122"/>
      <c r="G395" s="123"/>
      <c r="H395" s="44"/>
      <c r="I395" s="93"/>
      <c r="J395" s="44"/>
      <c r="K395" s="44"/>
      <c r="L395" s="93"/>
      <c r="M395" s="124"/>
      <c r="N395" s="44"/>
      <c r="O395" s="92"/>
      <c r="P395" s="110"/>
      <c r="Q395" s="44"/>
      <c r="R395" s="92"/>
      <c r="S395" s="125"/>
      <c r="T395" s="44"/>
      <c r="U395" s="92"/>
      <c r="V395" s="44"/>
      <c r="W395" s="44"/>
      <c r="X395" s="92"/>
      <c r="Y395" s="44"/>
      <c r="Z395" s="44"/>
      <c r="AA395" s="91"/>
    </row>
    <row r="396" spans="1:27" x14ac:dyDescent="0.2">
      <c r="A396" s="41"/>
      <c r="B396" s="41"/>
      <c r="C396" s="94"/>
      <c r="D396" s="140"/>
      <c r="E396" s="41"/>
      <c r="F396" s="126"/>
      <c r="G396" s="127"/>
      <c r="H396" s="41"/>
      <c r="I396" s="95"/>
      <c r="J396" s="41"/>
      <c r="K396" s="41"/>
      <c r="L396" s="95"/>
      <c r="M396" s="128"/>
      <c r="N396" s="41"/>
      <c r="O396" s="42"/>
      <c r="P396" s="52"/>
      <c r="Q396" s="41"/>
      <c r="R396" s="42"/>
      <c r="S396" s="129"/>
      <c r="T396" s="41"/>
      <c r="U396" s="42"/>
      <c r="V396" s="41"/>
      <c r="W396" s="41"/>
      <c r="X396" s="42"/>
      <c r="Y396" s="41"/>
      <c r="Z396" s="41"/>
      <c r="AA396" s="94"/>
    </row>
    <row r="397" spans="1:27" x14ac:dyDescent="0.2">
      <c r="A397" s="44"/>
      <c r="B397" s="44"/>
      <c r="C397" s="91"/>
      <c r="D397" s="139"/>
      <c r="E397" s="44"/>
      <c r="F397" s="122"/>
      <c r="G397" s="123"/>
      <c r="H397" s="44"/>
      <c r="I397" s="93"/>
      <c r="J397" s="44"/>
      <c r="K397" s="44"/>
      <c r="L397" s="93"/>
      <c r="M397" s="124"/>
      <c r="N397" s="44"/>
      <c r="O397" s="92"/>
      <c r="P397" s="110"/>
      <c r="Q397" s="44"/>
      <c r="R397" s="92"/>
      <c r="S397" s="125"/>
      <c r="T397" s="44"/>
      <c r="U397" s="92"/>
      <c r="V397" s="44"/>
      <c r="W397" s="44"/>
      <c r="X397" s="92"/>
      <c r="Y397" s="44"/>
      <c r="Z397" s="44"/>
      <c r="AA397" s="91"/>
    </row>
    <row r="398" spans="1:27" x14ac:dyDescent="0.2">
      <c r="A398" s="41"/>
      <c r="B398" s="41"/>
      <c r="C398" s="94"/>
      <c r="D398" s="140"/>
      <c r="E398" s="41"/>
      <c r="F398" s="126"/>
      <c r="G398" s="127"/>
      <c r="H398" s="41"/>
      <c r="I398" s="95"/>
      <c r="J398" s="41"/>
      <c r="K398" s="41"/>
      <c r="L398" s="95"/>
      <c r="M398" s="128"/>
      <c r="N398" s="41"/>
      <c r="O398" s="42"/>
      <c r="P398" s="52"/>
      <c r="Q398" s="41"/>
      <c r="R398" s="42"/>
      <c r="S398" s="129"/>
      <c r="T398" s="41"/>
      <c r="U398" s="42"/>
      <c r="V398" s="41"/>
      <c r="W398" s="41"/>
      <c r="X398" s="42"/>
      <c r="Y398" s="41"/>
      <c r="Z398" s="41"/>
      <c r="AA398" s="94"/>
    </row>
    <row r="399" spans="1:27" x14ac:dyDescent="0.2">
      <c r="A399" s="44"/>
      <c r="B399" s="44"/>
      <c r="C399" s="91"/>
      <c r="D399" s="139"/>
      <c r="E399" s="44"/>
      <c r="F399" s="122"/>
      <c r="G399" s="123"/>
      <c r="H399" s="44"/>
      <c r="I399" s="93"/>
      <c r="J399" s="44"/>
      <c r="K399" s="44"/>
      <c r="L399" s="93"/>
      <c r="M399" s="124"/>
      <c r="N399" s="44"/>
      <c r="O399" s="92"/>
      <c r="P399" s="110"/>
      <c r="Q399" s="44"/>
      <c r="R399" s="92"/>
      <c r="S399" s="125"/>
      <c r="T399" s="44"/>
      <c r="U399" s="92"/>
      <c r="V399" s="44"/>
      <c r="W399" s="44"/>
      <c r="X399" s="92"/>
      <c r="Y399" s="44"/>
      <c r="Z399" s="44"/>
      <c r="AA399" s="91"/>
    </row>
    <row r="400" spans="1:27" x14ac:dyDescent="0.2">
      <c r="A400" s="41"/>
      <c r="B400" s="41"/>
      <c r="C400" s="94"/>
      <c r="D400" s="140"/>
      <c r="E400" s="41"/>
      <c r="F400" s="126"/>
      <c r="G400" s="127"/>
      <c r="H400" s="41"/>
      <c r="I400" s="95"/>
      <c r="J400" s="41"/>
      <c r="K400" s="41"/>
      <c r="L400" s="95"/>
      <c r="M400" s="128"/>
      <c r="N400" s="41"/>
      <c r="O400" s="42"/>
      <c r="P400" s="52"/>
      <c r="Q400" s="41"/>
      <c r="R400" s="42"/>
      <c r="S400" s="129"/>
      <c r="T400" s="41"/>
      <c r="U400" s="42"/>
      <c r="V400" s="41"/>
      <c r="W400" s="41"/>
      <c r="X400" s="42"/>
      <c r="Y400" s="41"/>
      <c r="Z400" s="41"/>
      <c r="AA400" s="94"/>
    </row>
    <row r="401" spans="1:27" x14ac:dyDescent="0.2">
      <c r="A401" s="44"/>
      <c r="B401" s="44"/>
      <c r="C401" s="91"/>
      <c r="D401" s="139"/>
      <c r="E401" s="44"/>
      <c r="F401" s="122"/>
      <c r="G401" s="123"/>
      <c r="H401" s="44"/>
      <c r="I401" s="93"/>
      <c r="J401" s="44"/>
      <c r="K401" s="44"/>
      <c r="L401" s="93"/>
      <c r="M401" s="124"/>
      <c r="N401" s="44"/>
      <c r="O401" s="92"/>
      <c r="P401" s="110"/>
      <c r="Q401" s="44"/>
      <c r="R401" s="92"/>
      <c r="S401" s="125"/>
      <c r="T401" s="44"/>
      <c r="U401" s="92"/>
      <c r="V401" s="44"/>
      <c r="W401" s="44"/>
      <c r="X401" s="92"/>
      <c r="Y401" s="44"/>
      <c r="Z401" s="44"/>
      <c r="AA401" s="91"/>
    </row>
    <row r="402" spans="1:27" x14ac:dyDescent="0.2">
      <c r="A402" s="41"/>
      <c r="B402" s="41"/>
      <c r="C402" s="94"/>
      <c r="D402" s="140"/>
      <c r="E402" s="41"/>
      <c r="F402" s="126"/>
      <c r="G402" s="127"/>
      <c r="H402" s="41"/>
      <c r="I402" s="95"/>
      <c r="J402" s="41"/>
      <c r="K402" s="41"/>
      <c r="L402" s="95"/>
      <c r="M402" s="128"/>
      <c r="N402" s="41"/>
      <c r="O402" s="42"/>
      <c r="P402" s="52"/>
      <c r="Q402" s="41"/>
      <c r="R402" s="42"/>
      <c r="S402" s="129"/>
      <c r="T402" s="41"/>
      <c r="U402" s="42"/>
      <c r="V402" s="41"/>
      <c r="W402" s="41"/>
      <c r="X402" s="42"/>
      <c r="Y402" s="41"/>
      <c r="Z402" s="41"/>
      <c r="AA402" s="94"/>
    </row>
    <row r="403" spans="1:27" x14ac:dyDescent="0.2">
      <c r="A403" s="44"/>
      <c r="B403" s="44"/>
      <c r="C403" s="91"/>
      <c r="D403" s="139"/>
      <c r="E403" s="44"/>
      <c r="F403" s="122"/>
      <c r="G403" s="123"/>
      <c r="H403" s="44"/>
      <c r="I403" s="93"/>
      <c r="J403" s="44"/>
      <c r="K403" s="44"/>
      <c r="L403" s="93"/>
      <c r="M403" s="124"/>
      <c r="N403" s="44"/>
      <c r="O403" s="92"/>
      <c r="P403" s="110"/>
      <c r="Q403" s="44"/>
      <c r="R403" s="92"/>
      <c r="S403" s="125"/>
      <c r="T403" s="44"/>
      <c r="U403" s="92"/>
      <c r="V403" s="44"/>
      <c r="W403" s="44"/>
      <c r="X403" s="92"/>
      <c r="Y403" s="44"/>
      <c r="Z403" s="44"/>
      <c r="AA403" s="91"/>
    </row>
    <row r="404" spans="1:27" x14ac:dyDescent="0.2">
      <c r="A404" s="41"/>
      <c r="B404" s="41"/>
      <c r="C404" s="94"/>
      <c r="D404" s="140"/>
      <c r="E404" s="41"/>
      <c r="F404" s="127"/>
      <c r="G404" s="127"/>
      <c r="H404" s="41"/>
      <c r="I404" s="95"/>
      <c r="J404" s="41"/>
      <c r="K404" s="41"/>
      <c r="L404" s="95"/>
      <c r="M404" s="128"/>
      <c r="N404" s="41"/>
      <c r="O404" s="42"/>
      <c r="P404" s="52"/>
      <c r="Q404" s="41"/>
      <c r="R404" s="42"/>
      <c r="S404" s="129"/>
      <c r="T404" s="41"/>
      <c r="U404" s="42"/>
      <c r="V404" s="41"/>
      <c r="W404" s="41"/>
      <c r="X404" s="42"/>
      <c r="Y404" s="41"/>
      <c r="Z404" s="41"/>
      <c r="AA404" s="94"/>
    </row>
    <row r="405" spans="1:27" x14ac:dyDescent="0.2">
      <c r="A405" s="44"/>
      <c r="B405" s="44"/>
      <c r="C405" s="91"/>
      <c r="D405" s="139"/>
      <c r="E405" s="44"/>
      <c r="F405" s="122"/>
      <c r="G405" s="123"/>
      <c r="H405" s="44"/>
      <c r="I405" s="93"/>
      <c r="J405" s="44"/>
      <c r="K405" s="44"/>
      <c r="L405" s="93"/>
      <c r="M405" s="124"/>
      <c r="N405" s="44"/>
      <c r="O405" s="92"/>
      <c r="P405" s="110"/>
      <c r="Q405" s="44"/>
      <c r="R405" s="92"/>
      <c r="S405" s="125"/>
      <c r="T405" s="44"/>
      <c r="U405" s="92"/>
      <c r="V405" s="44"/>
      <c r="W405" s="44"/>
      <c r="X405" s="92"/>
      <c r="Y405" s="44"/>
      <c r="Z405" s="44"/>
      <c r="AA405" s="91"/>
    </row>
    <row r="406" spans="1:27" x14ac:dyDescent="0.2">
      <c r="A406" s="41"/>
      <c r="B406" s="41"/>
      <c r="C406" s="94"/>
      <c r="D406" s="140"/>
      <c r="E406" s="41"/>
      <c r="F406" s="126"/>
      <c r="G406" s="127"/>
      <c r="H406" s="41"/>
      <c r="I406" s="95"/>
      <c r="J406" s="41"/>
      <c r="K406" s="41"/>
      <c r="L406" s="95"/>
      <c r="M406" s="128"/>
      <c r="N406" s="41"/>
      <c r="O406" s="42"/>
      <c r="P406" s="52"/>
      <c r="Q406" s="41"/>
      <c r="R406" s="42"/>
      <c r="S406" s="129"/>
      <c r="T406" s="41"/>
      <c r="U406" s="42"/>
      <c r="V406" s="41"/>
      <c r="W406" s="41"/>
      <c r="X406" s="42"/>
      <c r="Y406" s="41"/>
      <c r="Z406" s="41"/>
      <c r="AA406" s="94"/>
    </row>
    <row r="407" spans="1:27" x14ac:dyDescent="0.2">
      <c r="A407" s="44"/>
      <c r="B407" s="44"/>
      <c r="C407" s="91"/>
      <c r="D407" s="139"/>
      <c r="E407" s="44"/>
      <c r="F407" s="122"/>
      <c r="G407" s="123"/>
      <c r="H407" s="44"/>
      <c r="I407" s="93"/>
      <c r="J407" s="44"/>
      <c r="K407" s="44"/>
      <c r="L407" s="93"/>
      <c r="M407" s="124"/>
      <c r="N407" s="44"/>
      <c r="O407" s="92"/>
      <c r="P407" s="110"/>
      <c r="Q407" s="44"/>
      <c r="R407" s="92"/>
      <c r="S407" s="125"/>
      <c r="T407" s="44"/>
      <c r="U407" s="92"/>
      <c r="V407" s="44"/>
      <c r="W407" s="44"/>
      <c r="X407" s="92"/>
      <c r="Y407" s="44"/>
      <c r="Z407" s="44"/>
      <c r="AA407" s="91"/>
    </row>
    <row r="408" spans="1:27" x14ac:dyDescent="0.2">
      <c r="A408" s="41"/>
      <c r="B408" s="41"/>
      <c r="C408" s="94"/>
      <c r="D408" s="140"/>
      <c r="E408" s="41"/>
      <c r="F408" s="126"/>
      <c r="G408" s="127"/>
      <c r="H408" s="41"/>
      <c r="I408" s="95"/>
      <c r="J408" s="41"/>
      <c r="K408" s="41"/>
      <c r="L408" s="95"/>
      <c r="M408" s="128"/>
      <c r="N408" s="41"/>
      <c r="O408" s="42"/>
      <c r="P408" s="52"/>
      <c r="Q408" s="41"/>
      <c r="R408" s="42"/>
      <c r="S408" s="129"/>
      <c r="T408" s="41"/>
      <c r="U408" s="42"/>
      <c r="V408" s="41"/>
      <c r="W408" s="41"/>
      <c r="X408" s="42"/>
      <c r="Y408" s="41"/>
      <c r="Z408" s="41"/>
      <c r="AA408" s="94"/>
    </row>
    <row r="409" spans="1:27" x14ac:dyDescent="0.2">
      <c r="A409" s="44"/>
      <c r="B409" s="44"/>
      <c r="C409" s="91"/>
      <c r="D409" s="139"/>
      <c r="E409" s="44"/>
      <c r="F409" s="122"/>
      <c r="G409" s="123"/>
      <c r="H409" s="44"/>
      <c r="I409" s="93"/>
      <c r="J409" s="44"/>
      <c r="K409" s="44"/>
      <c r="L409" s="93"/>
      <c r="M409" s="124"/>
      <c r="N409" s="44"/>
      <c r="O409" s="92"/>
      <c r="P409" s="110"/>
      <c r="Q409" s="44"/>
      <c r="R409" s="92"/>
      <c r="S409" s="125"/>
      <c r="T409" s="44"/>
      <c r="U409" s="92"/>
      <c r="V409" s="44"/>
      <c r="W409" s="44"/>
      <c r="X409" s="92"/>
      <c r="Y409" s="44"/>
      <c r="Z409" s="44"/>
      <c r="AA409" s="91"/>
    </row>
    <row r="410" spans="1:27" x14ac:dyDescent="0.2">
      <c r="A410" s="41"/>
      <c r="B410" s="41"/>
      <c r="C410" s="94"/>
      <c r="D410" s="140"/>
      <c r="E410" s="41"/>
      <c r="F410" s="126"/>
      <c r="G410" s="127"/>
      <c r="H410" s="41"/>
      <c r="I410" s="95"/>
      <c r="J410" s="41"/>
      <c r="K410" s="41"/>
      <c r="L410" s="95"/>
      <c r="M410" s="128"/>
      <c r="N410" s="41"/>
      <c r="O410" s="42"/>
      <c r="P410" s="52"/>
      <c r="Q410" s="41"/>
      <c r="R410" s="42"/>
      <c r="S410" s="129"/>
      <c r="T410" s="41"/>
      <c r="U410" s="42"/>
      <c r="V410" s="41"/>
      <c r="W410" s="41"/>
      <c r="X410" s="42"/>
      <c r="Y410" s="41"/>
      <c r="Z410" s="41"/>
      <c r="AA410" s="94"/>
    </row>
    <row r="411" spans="1:27" x14ac:dyDescent="0.2">
      <c r="A411" s="44"/>
      <c r="B411" s="44"/>
      <c r="C411" s="91"/>
      <c r="D411" s="139"/>
      <c r="E411" s="44"/>
      <c r="F411" s="122"/>
      <c r="G411" s="123"/>
      <c r="H411" s="44"/>
      <c r="I411" s="93"/>
      <c r="J411" s="44"/>
      <c r="K411" s="44"/>
      <c r="L411" s="93"/>
      <c r="M411" s="124"/>
      <c r="N411" s="44"/>
      <c r="O411" s="92"/>
      <c r="P411" s="110"/>
      <c r="Q411" s="44"/>
      <c r="R411" s="92"/>
      <c r="S411" s="125"/>
      <c r="T411" s="44"/>
      <c r="U411" s="92"/>
      <c r="V411" s="44"/>
      <c r="W411" s="44"/>
      <c r="X411" s="92"/>
      <c r="Y411" s="44"/>
      <c r="Z411" s="44"/>
      <c r="AA411" s="91"/>
    </row>
    <row r="412" spans="1:27" x14ac:dyDescent="0.2">
      <c r="A412" s="96"/>
      <c r="B412" s="44"/>
      <c r="C412" s="91"/>
      <c r="D412" s="139"/>
      <c r="E412" s="44"/>
      <c r="F412" s="122"/>
      <c r="G412" s="123"/>
      <c r="H412" s="44"/>
      <c r="I412" s="93"/>
      <c r="J412" s="44"/>
      <c r="K412" s="44"/>
      <c r="L412" s="93"/>
      <c r="M412" s="124"/>
      <c r="N412" s="44"/>
      <c r="O412" s="92"/>
      <c r="P412" s="110"/>
      <c r="Q412" s="44"/>
      <c r="R412" s="92"/>
      <c r="S412" s="125"/>
      <c r="T412" s="44"/>
      <c r="U412" s="92"/>
      <c r="V412" s="44"/>
      <c r="W412" s="44"/>
      <c r="X412" s="92"/>
      <c r="Y412" s="96"/>
      <c r="Z412" s="44"/>
      <c r="AA412" s="91"/>
    </row>
    <row r="413" spans="1:27" x14ac:dyDescent="0.2">
      <c r="A413" s="97"/>
      <c r="B413" s="41"/>
      <c r="C413" s="94"/>
      <c r="D413" s="140"/>
      <c r="E413" s="41"/>
      <c r="F413" s="126"/>
      <c r="G413" s="127"/>
      <c r="H413" s="41"/>
      <c r="I413" s="95"/>
      <c r="J413" s="41"/>
      <c r="K413" s="41"/>
      <c r="L413" s="95"/>
      <c r="M413" s="128"/>
      <c r="N413" s="41"/>
      <c r="O413" s="42"/>
      <c r="P413" s="52"/>
      <c r="Q413" s="41"/>
      <c r="R413" s="42"/>
      <c r="S413" s="129"/>
      <c r="T413" s="41"/>
      <c r="U413" s="42"/>
      <c r="V413" s="41"/>
      <c r="W413" s="41"/>
      <c r="X413" s="42"/>
      <c r="Y413" s="97"/>
      <c r="Z413" s="41"/>
      <c r="AA413" s="94"/>
    </row>
    <row r="414" spans="1:27" x14ac:dyDescent="0.2">
      <c r="A414" s="96"/>
      <c r="B414" s="44"/>
      <c r="C414" s="91"/>
      <c r="D414" s="139"/>
      <c r="E414" s="44"/>
      <c r="F414" s="122"/>
      <c r="G414" s="123"/>
      <c r="H414" s="44"/>
      <c r="I414" s="93"/>
      <c r="J414" s="44"/>
      <c r="K414" s="44"/>
      <c r="L414" s="93"/>
      <c r="M414" s="124"/>
      <c r="N414" s="44"/>
      <c r="O414" s="92"/>
      <c r="P414" s="110"/>
      <c r="Q414" s="44"/>
      <c r="R414" s="92"/>
      <c r="S414" s="125"/>
      <c r="T414" s="44"/>
      <c r="U414" s="92"/>
      <c r="V414" s="44"/>
      <c r="W414" s="44"/>
      <c r="X414" s="92"/>
      <c r="Y414" s="96"/>
      <c r="Z414" s="44"/>
      <c r="AA414" s="91"/>
    </row>
    <row r="415" spans="1:27" x14ac:dyDescent="0.2">
      <c r="A415" s="97"/>
      <c r="B415" s="41"/>
      <c r="C415" s="94"/>
      <c r="D415" s="140"/>
      <c r="E415" s="41"/>
      <c r="F415" s="126"/>
      <c r="G415" s="127"/>
      <c r="H415" s="41"/>
      <c r="I415" s="95"/>
      <c r="J415" s="41"/>
      <c r="K415" s="41"/>
      <c r="L415" s="95"/>
      <c r="M415" s="128"/>
      <c r="N415" s="41"/>
      <c r="O415" s="42"/>
      <c r="P415" s="52"/>
      <c r="Q415" s="41"/>
      <c r="R415" s="42"/>
      <c r="S415" s="129"/>
      <c r="T415" s="41"/>
      <c r="U415" s="42"/>
      <c r="V415" s="41"/>
      <c r="W415" s="41"/>
      <c r="X415" s="42"/>
      <c r="Y415" s="97"/>
      <c r="Z415" s="41"/>
      <c r="AA415" s="94"/>
    </row>
    <row r="416" spans="1:27" x14ac:dyDescent="0.2">
      <c r="A416" s="97"/>
      <c r="B416" s="41"/>
      <c r="C416" s="94"/>
      <c r="D416" s="140"/>
      <c r="E416" s="41"/>
      <c r="F416" s="126"/>
      <c r="G416" s="127"/>
      <c r="H416" s="41"/>
      <c r="I416" s="95"/>
      <c r="J416" s="41"/>
      <c r="K416" s="41"/>
      <c r="L416" s="95"/>
      <c r="M416" s="128"/>
      <c r="N416" s="41"/>
      <c r="O416" s="42"/>
      <c r="P416" s="52"/>
      <c r="Q416" s="41"/>
      <c r="R416" s="42"/>
      <c r="S416" s="129"/>
      <c r="T416" s="41"/>
      <c r="U416" s="42"/>
      <c r="V416" s="41"/>
      <c r="W416" s="41"/>
      <c r="X416" s="42"/>
      <c r="Y416" s="97"/>
      <c r="Z416" s="41"/>
      <c r="AA416" s="94"/>
    </row>
    <row r="417" spans="1:27" x14ac:dyDescent="0.2">
      <c r="A417" s="97"/>
      <c r="B417" s="41"/>
      <c r="C417" s="94"/>
      <c r="D417" s="140"/>
      <c r="E417" s="41"/>
      <c r="F417" s="126"/>
      <c r="G417" s="127"/>
      <c r="H417" s="41"/>
      <c r="I417" s="95"/>
      <c r="J417" s="41"/>
      <c r="K417" s="41"/>
      <c r="L417" s="95"/>
      <c r="M417" s="128"/>
      <c r="N417" s="41"/>
      <c r="O417" s="42"/>
      <c r="P417" s="52"/>
      <c r="Q417" s="41"/>
      <c r="R417" s="42"/>
      <c r="S417" s="129"/>
      <c r="T417" s="41"/>
      <c r="U417" s="42"/>
      <c r="V417" s="41"/>
      <c r="W417" s="41"/>
      <c r="X417" s="42"/>
      <c r="Y417" s="97"/>
      <c r="Z417" s="41"/>
      <c r="AA417" s="94"/>
    </row>
    <row r="418" spans="1:27" x14ac:dyDescent="0.2">
      <c r="A418" s="97"/>
      <c r="B418" s="41"/>
      <c r="C418" s="94"/>
      <c r="D418" s="140"/>
      <c r="E418" s="41"/>
      <c r="F418" s="126"/>
      <c r="G418" s="127"/>
      <c r="H418" s="41"/>
      <c r="I418" s="95"/>
      <c r="J418" s="41"/>
      <c r="K418" s="41"/>
      <c r="L418" s="95"/>
      <c r="M418" s="128"/>
      <c r="N418" s="41"/>
      <c r="O418" s="42"/>
      <c r="P418" s="52"/>
      <c r="Q418" s="41"/>
      <c r="R418" s="42"/>
      <c r="S418" s="129"/>
      <c r="T418" s="41"/>
      <c r="U418" s="42"/>
      <c r="V418" s="41"/>
      <c r="W418" s="41"/>
      <c r="X418" s="42"/>
      <c r="Y418" s="97"/>
      <c r="Z418" s="41"/>
      <c r="AA418" s="94"/>
    </row>
    <row r="419" spans="1:27" x14ac:dyDescent="0.2">
      <c r="A419" s="96"/>
      <c r="B419" s="44"/>
      <c r="C419" s="91"/>
      <c r="D419" s="139"/>
      <c r="E419" s="44"/>
      <c r="F419" s="122"/>
      <c r="G419" s="123"/>
      <c r="H419" s="44"/>
      <c r="I419" s="93"/>
      <c r="J419" s="44"/>
      <c r="K419" s="44"/>
      <c r="L419" s="93"/>
      <c r="M419" s="124"/>
      <c r="N419" s="44"/>
      <c r="O419" s="92"/>
      <c r="P419" s="110"/>
      <c r="Q419" s="44"/>
      <c r="R419" s="92"/>
      <c r="S419" s="125"/>
      <c r="T419" s="44"/>
      <c r="U419" s="92"/>
      <c r="V419" s="44"/>
      <c r="W419" s="44"/>
      <c r="X419" s="92"/>
      <c r="Y419" s="96"/>
      <c r="Z419" s="44"/>
      <c r="AA419" s="91"/>
    </row>
    <row r="420" spans="1:27" x14ac:dyDescent="0.2">
      <c r="A420" s="96"/>
      <c r="B420" s="44"/>
      <c r="C420" s="91"/>
      <c r="D420" s="139"/>
      <c r="E420" s="44"/>
      <c r="F420" s="122"/>
      <c r="G420" s="123"/>
      <c r="H420" s="44"/>
      <c r="I420" s="93"/>
      <c r="J420" s="44"/>
      <c r="K420" s="44"/>
      <c r="L420" s="93"/>
      <c r="M420" s="124"/>
      <c r="N420" s="44"/>
      <c r="O420" s="92"/>
      <c r="P420" s="110"/>
      <c r="Q420" s="44"/>
      <c r="R420" s="92"/>
      <c r="S420" s="125"/>
      <c r="T420" s="44"/>
      <c r="U420" s="92"/>
      <c r="V420" s="44"/>
      <c r="W420" s="44"/>
      <c r="X420" s="92"/>
      <c r="Y420" s="96"/>
      <c r="Z420" s="44"/>
      <c r="AA420" s="91"/>
    </row>
    <row r="421" spans="1:27" x14ac:dyDescent="0.2">
      <c r="A421" s="96"/>
      <c r="B421" s="44"/>
      <c r="C421" s="91"/>
      <c r="D421" s="139"/>
      <c r="E421" s="44"/>
      <c r="F421" s="122"/>
      <c r="G421" s="123"/>
      <c r="H421" s="44"/>
      <c r="I421" s="93"/>
      <c r="J421" s="44"/>
      <c r="K421" s="44"/>
      <c r="L421" s="93"/>
      <c r="M421" s="124"/>
      <c r="N421" s="44"/>
      <c r="O421" s="92"/>
      <c r="P421" s="110"/>
      <c r="Q421" s="44"/>
      <c r="R421" s="92"/>
      <c r="S421" s="125"/>
      <c r="T421" s="44"/>
      <c r="U421" s="92"/>
      <c r="V421" s="44"/>
      <c r="W421" s="44"/>
      <c r="X421" s="92"/>
      <c r="Y421" s="96"/>
      <c r="Z421" s="44"/>
      <c r="AA421" s="91"/>
    </row>
    <row r="422" spans="1:27" x14ac:dyDescent="0.2">
      <c r="A422" s="96"/>
      <c r="B422" s="44"/>
      <c r="C422" s="91"/>
      <c r="D422" s="139"/>
      <c r="E422" s="44"/>
      <c r="F422" s="122"/>
      <c r="G422" s="123"/>
      <c r="H422" s="44"/>
      <c r="I422" s="93"/>
      <c r="J422" s="44"/>
      <c r="K422" s="44"/>
      <c r="L422" s="93"/>
      <c r="M422" s="124"/>
      <c r="N422" s="44"/>
      <c r="O422" s="92"/>
      <c r="P422" s="110"/>
      <c r="Q422" s="44"/>
      <c r="R422" s="92"/>
      <c r="S422" s="125"/>
      <c r="T422" s="44"/>
      <c r="U422" s="92"/>
      <c r="V422" s="44"/>
      <c r="W422" s="44"/>
      <c r="X422" s="92"/>
      <c r="Y422" s="96"/>
      <c r="Z422" s="44"/>
      <c r="AA422" s="91"/>
    </row>
    <row r="423" spans="1:27" x14ac:dyDescent="0.2">
      <c r="A423" s="96"/>
      <c r="B423" s="44"/>
      <c r="C423" s="91"/>
      <c r="D423" s="139"/>
      <c r="E423" s="44"/>
      <c r="F423" s="122"/>
      <c r="G423" s="123"/>
      <c r="H423" s="44"/>
      <c r="I423" s="93"/>
      <c r="J423" s="44"/>
      <c r="K423" s="44"/>
      <c r="L423" s="93"/>
      <c r="M423" s="124"/>
      <c r="N423" s="44"/>
      <c r="O423" s="92"/>
      <c r="P423" s="110"/>
      <c r="Q423" s="44"/>
      <c r="R423" s="92"/>
      <c r="S423" s="125"/>
      <c r="T423" s="44"/>
      <c r="U423" s="92"/>
      <c r="V423" s="44"/>
      <c r="W423" s="44"/>
      <c r="X423" s="92"/>
      <c r="Y423" s="96"/>
      <c r="Z423" s="44"/>
      <c r="AA423" s="91"/>
    </row>
    <row r="424" spans="1:27" x14ac:dyDescent="0.2">
      <c r="A424" s="97"/>
      <c r="B424" s="41"/>
      <c r="C424" s="94"/>
      <c r="D424" s="140"/>
      <c r="E424" s="41"/>
      <c r="F424" s="126"/>
      <c r="G424" s="127"/>
      <c r="H424" s="41"/>
      <c r="I424" s="95"/>
      <c r="J424" s="41"/>
      <c r="K424" s="41"/>
      <c r="L424" s="95"/>
      <c r="M424" s="128"/>
      <c r="N424" s="41"/>
      <c r="O424" s="42"/>
      <c r="P424" s="52"/>
      <c r="Q424" s="41"/>
      <c r="R424" s="42"/>
      <c r="S424" s="129"/>
      <c r="T424" s="41"/>
      <c r="U424" s="42"/>
      <c r="V424" s="41"/>
      <c r="W424" s="41"/>
      <c r="X424" s="42"/>
      <c r="Y424" s="97"/>
      <c r="Z424" s="41"/>
      <c r="AA424" s="94"/>
    </row>
    <row r="425" spans="1:27" x14ac:dyDescent="0.2">
      <c r="A425" s="96"/>
      <c r="B425" s="44"/>
      <c r="C425" s="91"/>
      <c r="D425" s="139"/>
      <c r="E425" s="44"/>
      <c r="F425" s="122"/>
      <c r="G425" s="123"/>
      <c r="H425" s="44"/>
      <c r="I425" s="93"/>
      <c r="J425" s="44"/>
      <c r="K425" s="44"/>
      <c r="L425" s="93"/>
      <c r="M425" s="124"/>
      <c r="N425" s="44"/>
      <c r="O425" s="92"/>
      <c r="P425" s="110"/>
      <c r="Q425" s="44"/>
      <c r="R425" s="92"/>
      <c r="S425" s="125"/>
      <c r="T425" s="44"/>
      <c r="U425" s="92"/>
      <c r="V425" s="44"/>
      <c r="W425" s="44"/>
      <c r="X425" s="92"/>
      <c r="Y425" s="96"/>
      <c r="Z425" s="44"/>
      <c r="AA425" s="91"/>
    </row>
    <row r="426" spans="1:27" x14ac:dyDescent="0.2">
      <c r="A426" s="97"/>
      <c r="B426" s="41"/>
      <c r="C426" s="94"/>
      <c r="D426" s="140"/>
      <c r="E426" s="41"/>
      <c r="F426" s="126"/>
      <c r="G426" s="127"/>
      <c r="H426" s="41"/>
      <c r="I426" s="95"/>
      <c r="J426" s="41"/>
      <c r="K426" s="41"/>
      <c r="L426" s="95"/>
      <c r="M426" s="128"/>
      <c r="N426" s="41"/>
      <c r="O426" s="42"/>
      <c r="P426" s="52"/>
      <c r="Q426" s="41"/>
      <c r="R426" s="42"/>
      <c r="S426" s="129"/>
      <c r="T426" s="41"/>
      <c r="U426" s="42"/>
      <c r="V426" s="41"/>
      <c r="W426" s="41"/>
      <c r="X426" s="42"/>
      <c r="Y426" s="97"/>
      <c r="Z426" s="41"/>
      <c r="AA426" s="94"/>
    </row>
    <row r="427" spans="1:27" x14ac:dyDescent="0.2">
      <c r="A427" s="96"/>
      <c r="B427" s="44"/>
      <c r="C427" s="91"/>
      <c r="D427" s="139"/>
      <c r="E427" s="44"/>
      <c r="F427" s="122"/>
      <c r="G427" s="123"/>
      <c r="H427" s="44"/>
      <c r="I427" s="93"/>
      <c r="J427" s="44"/>
      <c r="K427" s="44"/>
      <c r="L427" s="93"/>
      <c r="M427" s="124"/>
      <c r="N427" s="44"/>
      <c r="O427" s="92"/>
      <c r="P427" s="110"/>
      <c r="Q427" s="44"/>
      <c r="R427" s="92"/>
      <c r="S427" s="125"/>
      <c r="T427" s="44"/>
      <c r="U427" s="92"/>
      <c r="V427" s="44"/>
      <c r="W427" s="44"/>
      <c r="X427" s="92"/>
      <c r="Y427" s="96"/>
      <c r="Z427" s="44"/>
      <c r="AA427" s="91"/>
    </row>
    <row r="428" spans="1:27" x14ac:dyDescent="0.2">
      <c r="A428" s="96"/>
      <c r="B428" s="44"/>
      <c r="C428" s="91"/>
      <c r="D428" s="139"/>
      <c r="E428" s="44"/>
      <c r="F428" s="122"/>
      <c r="G428" s="123"/>
      <c r="H428" s="44"/>
      <c r="I428" s="93"/>
      <c r="J428" s="44"/>
      <c r="K428" s="44"/>
      <c r="L428" s="93"/>
      <c r="M428" s="124"/>
      <c r="N428" s="44"/>
      <c r="O428" s="92"/>
      <c r="P428" s="110"/>
      <c r="Q428" s="44"/>
      <c r="R428" s="92"/>
      <c r="S428" s="125"/>
      <c r="T428" s="44"/>
      <c r="U428" s="92"/>
      <c r="V428" s="44"/>
      <c r="W428" s="44"/>
      <c r="X428" s="92"/>
      <c r="Y428" s="96"/>
      <c r="Z428" s="44"/>
      <c r="AA428" s="91"/>
    </row>
    <row r="429" spans="1:27" x14ac:dyDescent="0.2">
      <c r="A429" s="97"/>
      <c r="B429" s="41"/>
      <c r="C429" s="94"/>
      <c r="D429" s="140"/>
      <c r="E429" s="41"/>
      <c r="F429" s="126"/>
      <c r="G429" s="127"/>
      <c r="H429" s="41"/>
      <c r="I429" s="95"/>
      <c r="J429" s="41"/>
      <c r="K429" s="41"/>
      <c r="L429" s="95"/>
      <c r="M429" s="128"/>
      <c r="N429" s="41"/>
      <c r="O429" s="42"/>
      <c r="P429" s="52"/>
      <c r="Q429" s="41"/>
      <c r="R429" s="42"/>
      <c r="S429" s="129"/>
      <c r="T429" s="41"/>
      <c r="U429" s="42"/>
      <c r="V429" s="41"/>
      <c r="W429" s="41"/>
      <c r="X429" s="42"/>
      <c r="Y429" s="97"/>
      <c r="Z429" s="41"/>
      <c r="AA429" s="94"/>
    </row>
    <row r="430" spans="1:27" x14ac:dyDescent="0.2">
      <c r="A430" s="96"/>
      <c r="B430" s="44"/>
      <c r="C430" s="91"/>
      <c r="D430" s="139"/>
      <c r="E430" s="44"/>
      <c r="F430" s="122"/>
      <c r="G430" s="123"/>
      <c r="H430" s="44"/>
      <c r="I430" s="93"/>
      <c r="J430" s="44"/>
      <c r="K430" s="44"/>
      <c r="L430" s="93"/>
      <c r="M430" s="124"/>
      <c r="N430" s="44"/>
      <c r="O430" s="92"/>
      <c r="P430" s="110"/>
      <c r="Q430" s="44"/>
      <c r="R430" s="92"/>
      <c r="S430" s="125"/>
      <c r="T430" s="44"/>
      <c r="U430" s="92"/>
      <c r="V430" s="44"/>
      <c r="W430" s="44"/>
      <c r="X430" s="92"/>
      <c r="Y430" s="96"/>
      <c r="Z430" s="44"/>
      <c r="AA430" s="91"/>
    </row>
    <row r="431" spans="1:27" x14ac:dyDescent="0.2">
      <c r="A431" s="96"/>
      <c r="B431" s="44"/>
      <c r="C431" s="91"/>
      <c r="D431" s="139"/>
      <c r="E431" s="44"/>
      <c r="F431" s="122"/>
      <c r="G431" s="123"/>
      <c r="H431" s="44"/>
      <c r="I431" s="93"/>
      <c r="J431" s="44"/>
      <c r="K431" s="44"/>
      <c r="L431" s="93"/>
      <c r="M431" s="124"/>
      <c r="N431" s="44"/>
      <c r="O431" s="92"/>
      <c r="P431" s="110"/>
      <c r="Q431" s="44"/>
      <c r="R431" s="92"/>
      <c r="S431" s="125"/>
      <c r="T431" s="44"/>
      <c r="U431" s="92"/>
      <c r="V431" s="44"/>
      <c r="W431" s="44"/>
      <c r="X431" s="92"/>
      <c r="Y431" s="96"/>
      <c r="Z431" s="44"/>
      <c r="AA431" s="91"/>
    </row>
    <row r="432" spans="1:27" x14ac:dyDescent="0.2">
      <c r="A432" s="97"/>
      <c r="B432" s="41"/>
      <c r="C432" s="94"/>
      <c r="D432" s="140"/>
      <c r="E432" s="41"/>
      <c r="F432" s="126"/>
      <c r="G432" s="127"/>
      <c r="H432" s="41"/>
      <c r="I432" s="95"/>
      <c r="J432" s="41"/>
      <c r="K432" s="41"/>
      <c r="L432" s="95"/>
      <c r="M432" s="128"/>
      <c r="N432" s="41"/>
      <c r="O432" s="42"/>
      <c r="P432" s="52"/>
      <c r="Q432" s="41"/>
      <c r="R432" s="42"/>
      <c r="S432" s="129"/>
      <c r="T432" s="41"/>
      <c r="U432" s="42"/>
      <c r="V432" s="41"/>
      <c r="W432" s="41"/>
      <c r="X432" s="42"/>
      <c r="Y432" s="97"/>
      <c r="Z432" s="41"/>
      <c r="AA432" s="94"/>
    </row>
    <row r="433" spans="1:27" x14ac:dyDescent="0.2">
      <c r="A433" s="97"/>
      <c r="B433" s="41"/>
      <c r="C433" s="94"/>
      <c r="D433" s="140"/>
      <c r="E433" s="41"/>
      <c r="F433" s="126"/>
      <c r="G433" s="127"/>
      <c r="H433" s="41"/>
      <c r="I433" s="95"/>
      <c r="J433" s="41"/>
      <c r="K433" s="41"/>
      <c r="L433" s="95"/>
      <c r="M433" s="128"/>
      <c r="N433" s="41"/>
      <c r="O433" s="42"/>
      <c r="P433" s="52"/>
      <c r="Q433" s="41"/>
      <c r="R433" s="42"/>
      <c r="S433" s="129"/>
      <c r="T433" s="41"/>
      <c r="U433" s="42"/>
      <c r="V433" s="41"/>
      <c r="W433" s="41"/>
      <c r="X433" s="42"/>
      <c r="Y433" s="97"/>
      <c r="Z433" s="41"/>
      <c r="AA433" s="94"/>
    </row>
    <row r="434" spans="1:27" x14ac:dyDescent="0.2">
      <c r="A434" s="96"/>
      <c r="B434" s="44"/>
      <c r="C434" s="91"/>
      <c r="D434" s="139"/>
      <c r="E434" s="44"/>
      <c r="F434" s="122"/>
      <c r="G434" s="123"/>
      <c r="H434" s="44"/>
      <c r="I434" s="93"/>
      <c r="J434" s="44"/>
      <c r="K434" s="44"/>
      <c r="L434" s="93"/>
      <c r="M434" s="124"/>
      <c r="N434" s="44"/>
      <c r="O434" s="92"/>
      <c r="P434" s="110"/>
      <c r="Q434" s="44"/>
      <c r="R434" s="92"/>
      <c r="S434" s="125"/>
      <c r="T434" s="44"/>
      <c r="U434" s="92"/>
      <c r="V434" s="44"/>
      <c r="W434" s="44"/>
      <c r="X434" s="92"/>
      <c r="Y434" s="96"/>
      <c r="Z434" s="44"/>
      <c r="AA434" s="91"/>
    </row>
    <row r="435" spans="1:27" x14ac:dyDescent="0.2">
      <c r="A435" s="96"/>
      <c r="B435" s="44"/>
      <c r="C435" s="91"/>
      <c r="D435" s="139"/>
      <c r="E435" s="44"/>
      <c r="F435" s="122"/>
      <c r="G435" s="123"/>
      <c r="H435" s="44"/>
      <c r="I435" s="93"/>
      <c r="J435" s="44"/>
      <c r="K435" s="44"/>
      <c r="L435" s="93"/>
      <c r="M435" s="124"/>
      <c r="N435" s="44"/>
      <c r="O435" s="92"/>
      <c r="P435" s="110"/>
      <c r="Q435" s="44"/>
      <c r="R435" s="92"/>
      <c r="S435" s="125"/>
      <c r="T435" s="44"/>
      <c r="U435" s="92"/>
      <c r="V435" s="44"/>
      <c r="W435" s="44"/>
      <c r="X435" s="92"/>
      <c r="Y435" s="96"/>
      <c r="Z435" s="44"/>
      <c r="AA435" s="91"/>
    </row>
    <row r="436" spans="1:27" x14ac:dyDescent="0.2">
      <c r="A436" s="97"/>
      <c r="B436" s="41"/>
      <c r="C436" s="94"/>
      <c r="D436" s="140"/>
      <c r="E436" s="41"/>
      <c r="F436" s="126"/>
      <c r="G436" s="127"/>
      <c r="H436" s="41"/>
      <c r="I436" s="95"/>
      <c r="J436" s="41"/>
      <c r="K436" s="41"/>
      <c r="L436" s="95"/>
      <c r="M436" s="128"/>
      <c r="N436" s="41"/>
      <c r="O436" s="42"/>
      <c r="P436" s="52"/>
      <c r="Q436" s="41"/>
      <c r="R436" s="42"/>
      <c r="S436" s="129"/>
      <c r="T436" s="41"/>
      <c r="U436" s="42"/>
      <c r="V436" s="41"/>
      <c r="W436" s="41"/>
      <c r="X436" s="42"/>
      <c r="Y436" s="97"/>
      <c r="Z436" s="41"/>
      <c r="AA436" s="94"/>
    </row>
    <row r="437" spans="1:27" x14ac:dyDescent="0.2">
      <c r="A437" s="87"/>
      <c r="B437" s="87"/>
      <c r="C437" s="88"/>
      <c r="D437" s="138"/>
      <c r="E437" s="87"/>
      <c r="F437" s="118"/>
      <c r="G437" s="119"/>
      <c r="H437" s="87"/>
      <c r="I437" s="90"/>
      <c r="J437" s="87"/>
      <c r="K437" s="87"/>
      <c r="L437" s="90"/>
      <c r="M437" s="120"/>
      <c r="N437" s="87"/>
      <c r="O437" s="89"/>
      <c r="P437" s="130"/>
      <c r="Q437" s="87"/>
      <c r="R437" s="89"/>
      <c r="S437" s="121"/>
      <c r="T437" s="87"/>
      <c r="U437" s="89"/>
      <c r="V437" s="87"/>
      <c r="W437" s="87"/>
      <c r="X437" s="89"/>
      <c r="Y437" s="87"/>
      <c r="Z437" s="87"/>
      <c r="AA437" s="88"/>
    </row>
    <row r="438" spans="1:27" x14ac:dyDescent="0.2">
      <c r="A438" s="44"/>
      <c r="B438" s="44"/>
      <c r="C438" s="91"/>
      <c r="D438" s="139"/>
      <c r="E438" s="44"/>
      <c r="F438" s="122"/>
      <c r="G438" s="123"/>
      <c r="H438" s="44"/>
      <c r="I438" s="93"/>
      <c r="J438" s="44"/>
      <c r="K438" s="44"/>
      <c r="L438" s="93"/>
      <c r="M438" s="124"/>
      <c r="N438" s="44"/>
      <c r="O438" s="92"/>
      <c r="P438" s="110"/>
      <c r="Q438" s="44"/>
      <c r="R438" s="92"/>
      <c r="S438" s="125"/>
      <c r="T438" s="44"/>
      <c r="U438" s="92"/>
      <c r="V438" s="44"/>
      <c r="W438" s="44"/>
      <c r="X438" s="92"/>
      <c r="Y438" s="44"/>
      <c r="Z438" s="44"/>
      <c r="AA438" s="91"/>
    </row>
    <row r="439" spans="1:27" x14ac:dyDescent="0.2">
      <c r="A439" s="41"/>
      <c r="B439" s="41"/>
      <c r="C439" s="94"/>
      <c r="D439" s="140"/>
      <c r="E439" s="41"/>
      <c r="F439" s="126"/>
      <c r="G439" s="127"/>
      <c r="H439" s="41"/>
      <c r="I439" s="95"/>
      <c r="J439" s="41"/>
      <c r="K439" s="41"/>
      <c r="L439" s="95"/>
      <c r="M439" s="128"/>
      <c r="N439" s="41"/>
      <c r="O439" s="42"/>
      <c r="P439" s="52"/>
      <c r="Q439" s="41"/>
      <c r="R439" s="42"/>
      <c r="S439" s="129"/>
      <c r="T439" s="41"/>
      <c r="U439" s="42"/>
      <c r="V439" s="41"/>
      <c r="W439" s="41"/>
      <c r="X439" s="42"/>
      <c r="Y439" s="41"/>
      <c r="Z439" s="41"/>
      <c r="AA439" s="94"/>
    </row>
    <row r="440" spans="1:27" x14ac:dyDescent="0.2">
      <c r="A440" s="44"/>
      <c r="B440" s="44"/>
      <c r="C440" s="91"/>
      <c r="D440" s="139"/>
      <c r="E440" s="44"/>
      <c r="F440" s="122"/>
      <c r="G440" s="123"/>
      <c r="H440" s="44"/>
      <c r="I440" s="93"/>
      <c r="J440" s="44"/>
      <c r="K440" s="44"/>
      <c r="L440" s="93"/>
      <c r="M440" s="124"/>
      <c r="N440" s="44"/>
      <c r="O440" s="92"/>
      <c r="P440" s="110"/>
      <c r="Q440" s="44"/>
      <c r="R440" s="92"/>
      <c r="S440" s="125"/>
      <c r="T440" s="44"/>
      <c r="U440" s="92"/>
      <c r="V440" s="44"/>
      <c r="W440" s="44"/>
      <c r="X440" s="92"/>
      <c r="Y440" s="44"/>
      <c r="Z440" s="44"/>
      <c r="AA440" s="91"/>
    </row>
    <row r="441" spans="1:27" x14ac:dyDescent="0.2">
      <c r="A441" s="87"/>
      <c r="B441" s="87"/>
      <c r="C441" s="88"/>
      <c r="D441" s="138"/>
      <c r="E441" s="87"/>
      <c r="F441" s="118"/>
      <c r="G441" s="119"/>
      <c r="H441" s="87"/>
      <c r="I441" s="90"/>
      <c r="J441" s="87"/>
      <c r="K441" s="87"/>
      <c r="L441" s="90"/>
      <c r="M441" s="120"/>
      <c r="N441" s="87"/>
      <c r="O441" s="89"/>
      <c r="P441" s="87"/>
      <c r="Q441" s="87"/>
      <c r="R441" s="89"/>
      <c r="S441" s="121"/>
      <c r="T441" s="87"/>
      <c r="U441" s="89"/>
      <c r="V441" s="87"/>
      <c r="W441" s="87"/>
      <c r="X441" s="89"/>
      <c r="Y441" s="87"/>
      <c r="Z441" s="87"/>
      <c r="AA441" s="88"/>
    </row>
    <row r="442" spans="1:27" x14ac:dyDescent="0.2">
      <c r="A442" s="44"/>
      <c r="B442" s="44"/>
      <c r="C442" s="91"/>
      <c r="D442" s="139"/>
      <c r="E442" s="44"/>
      <c r="F442" s="122"/>
      <c r="G442" s="123"/>
      <c r="H442" s="44"/>
      <c r="I442" s="93"/>
      <c r="J442" s="44"/>
      <c r="K442" s="44"/>
      <c r="L442" s="93"/>
      <c r="M442" s="124"/>
      <c r="N442" s="44"/>
      <c r="O442" s="92"/>
      <c r="P442" s="110"/>
      <c r="Q442" s="44"/>
      <c r="R442" s="92"/>
      <c r="S442" s="125"/>
      <c r="T442" s="44"/>
      <c r="U442" s="92"/>
      <c r="V442" s="44"/>
      <c r="W442" s="44"/>
      <c r="X442" s="92"/>
      <c r="Y442" s="44"/>
      <c r="Z442" s="44"/>
      <c r="AA442" s="91"/>
    </row>
    <row r="443" spans="1:27" x14ac:dyDescent="0.2">
      <c r="A443" s="41"/>
      <c r="B443" s="41"/>
      <c r="C443" s="94"/>
      <c r="D443" s="140"/>
      <c r="E443" s="41"/>
      <c r="F443" s="126"/>
      <c r="G443" s="127"/>
      <c r="H443" s="41"/>
      <c r="I443" s="95"/>
      <c r="J443" s="41"/>
      <c r="K443" s="41"/>
      <c r="L443" s="95"/>
      <c r="M443" s="128"/>
      <c r="N443" s="41"/>
      <c r="O443" s="42"/>
      <c r="P443" s="52"/>
      <c r="Q443" s="41"/>
      <c r="R443" s="42"/>
      <c r="S443" s="129"/>
      <c r="T443" s="41"/>
      <c r="U443" s="42"/>
      <c r="V443" s="41"/>
      <c r="W443" s="41"/>
      <c r="X443" s="42"/>
      <c r="Y443" s="41"/>
      <c r="Z443" s="41"/>
      <c r="AA443" s="94"/>
    </row>
    <row r="444" spans="1:27" x14ac:dyDescent="0.2">
      <c r="A444" s="44"/>
      <c r="B444" s="44"/>
      <c r="C444" s="91"/>
      <c r="D444" s="139"/>
      <c r="E444" s="44"/>
      <c r="F444" s="122"/>
      <c r="G444" s="123"/>
      <c r="H444" s="44"/>
      <c r="I444" s="93"/>
      <c r="J444" s="44"/>
      <c r="K444" s="44"/>
      <c r="L444" s="93"/>
      <c r="M444" s="124"/>
      <c r="N444" s="44"/>
      <c r="O444" s="92"/>
      <c r="P444" s="110"/>
      <c r="Q444" s="44"/>
      <c r="R444" s="92"/>
      <c r="S444" s="125"/>
      <c r="T444" s="44"/>
      <c r="U444" s="92"/>
      <c r="V444" s="44"/>
      <c r="W444" s="44"/>
      <c r="X444" s="92"/>
      <c r="Y444" s="44"/>
      <c r="Z444" s="44"/>
      <c r="AA444" s="91"/>
    </row>
    <row r="445" spans="1:27" x14ac:dyDescent="0.2">
      <c r="A445" s="41"/>
      <c r="B445" s="41"/>
      <c r="C445" s="94"/>
      <c r="D445" s="140"/>
      <c r="E445" s="41"/>
      <c r="F445" s="126"/>
      <c r="G445" s="127"/>
      <c r="H445" s="41"/>
      <c r="I445" s="95"/>
      <c r="J445" s="41"/>
      <c r="K445" s="41"/>
      <c r="L445" s="95"/>
      <c r="M445" s="128"/>
      <c r="N445" s="41"/>
      <c r="O445" s="42"/>
      <c r="P445" s="52"/>
      <c r="Q445" s="41"/>
      <c r="R445" s="42"/>
      <c r="S445" s="129"/>
      <c r="T445" s="41"/>
      <c r="U445" s="42"/>
      <c r="V445" s="41"/>
      <c r="W445" s="41"/>
      <c r="X445" s="42"/>
      <c r="Y445" s="41"/>
      <c r="Z445" s="41"/>
      <c r="AA445" s="94"/>
    </row>
    <row r="446" spans="1:27" x14ac:dyDescent="0.2">
      <c r="A446" s="44"/>
      <c r="B446" s="44"/>
      <c r="C446" s="91"/>
      <c r="D446" s="139"/>
      <c r="E446" s="44"/>
      <c r="F446" s="122"/>
      <c r="G446" s="123"/>
      <c r="H446" s="44"/>
      <c r="I446" s="93"/>
      <c r="J446" s="44"/>
      <c r="K446" s="44"/>
      <c r="L446" s="93"/>
      <c r="M446" s="124"/>
      <c r="N446" s="44"/>
      <c r="O446" s="92"/>
      <c r="P446" s="110"/>
      <c r="Q446" s="44"/>
      <c r="R446" s="92"/>
      <c r="S446" s="125"/>
      <c r="T446" s="44"/>
      <c r="U446" s="92"/>
      <c r="V446" s="44"/>
      <c r="W446" s="44"/>
      <c r="X446" s="92"/>
      <c r="Y446" s="44"/>
      <c r="Z446" s="44"/>
      <c r="AA446" s="91"/>
    </row>
    <row r="447" spans="1:27" x14ac:dyDescent="0.2">
      <c r="A447" s="41"/>
      <c r="B447" s="41"/>
      <c r="C447" s="94"/>
      <c r="D447" s="140"/>
      <c r="E447" s="41"/>
      <c r="F447" s="126"/>
      <c r="G447" s="127"/>
      <c r="H447" s="41"/>
      <c r="I447" s="95"/>
      <c r="J447" s="41"/>
      <c r="K447" s="41"/>
      <c r="L447" s="95"/>
      <c r="M447" s="128"/>
      <c r="N447" s="41"/>
      <c r="O447" s="42"/>
      <c r="P447" s="52"/>
      <c r="Q447" s="41"/>
      <c r="R447" s="42"/>
      <c r="S447" s="129"/>
      <c r="T447" s="41"/>
      <c r="U447" s="42"/>
      <c r="V447" s="41"/>
      <c r="W447" s="41"/>
      <c r="X447" s="42"/>
      <c r="Y447" s="41"/>
      <c r="Z447" s="41"/>
      <c r="AA447" s="94"/>
    </row>
    <row r="448" spans="1:27" x14ac:dyDescent="0.2">
      <c r="A448" s="44"/>
      <c r="B448" s="44"/>
      <c r="C448" s="91"/>
      <c r="D448" s="139"/>
      <c r="E448" s="44"/>
      <c r="F448" s="122"/>
      <c r="G448" s="123"/>
      <c r="H448" s="44"/>
      <c r="I448" s="93"/>
      <c r="J448" s="44"/>
      <c r="K448" s="44"/>
      <c r="L448" s="93"/>
      <c r="M448" s="124"/>
      <c r="N448" s="44"/>
      <c r="O448" s="92"/>
      <c r="P448" s="110"/>
      <c r="Q448" s="44"/>
      <c r="R448" s="92"/>
      <c r="S448" s="125"/>
      <c r="T448" s="44"/>
      <c r="U448" s="92"/>
      <c r="V448" s="44"/>
      <c r="W448" s="44"/>
      <c r="X448" s="92"/>
      <c r="Y448" s="44"/>
      <c r="Z448" s="44"/>
      <c r="AA448" s="91"/>
    </row>
    <row r="449" spans="1:27" x14ac:dyDescent="0.2">
      <c r="A449" s="41"/>
      <c r="B449" s="41"/>
      <c r="C449" s="94"/>
      <c r="D449" s="140"/>
      <c r="E449" s="41"/>
      <c r="F449" s="126"/>
      <c r="G449" s="127"/>
      <c r="H449" s="41"/>
      <c r="I449" s="95"/>
      <c r="J449" s="41"/>
      <c r="K449" s="41"/>
      <c r="L449" s="95"/>
      <c r="M449" s="128"/>
      <c r="N449" s="41"/>
      <c r="O449" s="42"/>
      <c r="P449" s="52"/>
      <c r="Q449" s="41"/>
      <c r="R449" s="42"/>
      <c r="S449" s="129"/>
      <c r="T449" s="41"/>
      <c r="U449" s="42"/>
      <c r="V449" s="41"/>
      <c r="W449" s="41"/>
      <c r="X449" s="42"/>
      <c r="Y449" s="41"/>
      <c r="Z449" s="41"/>
      <c r="AA449" s="94"/>
    </row>
    <row r="450" spans="1:27" x14ac:dyDescent="0.2">
      <c r="A450" s="44"/>
      <c r="B450" s="44"/>
      <c r="C450" s="91"/>
      <c r="D450" s="139"/>
      <c r="E450" s="44"/>
      <c r="F450" s="122"/>
      <c r="G450" s="123"/>
      <c r="H450" s="44"/>
      <c r="I450" s="93"/>
      <c r="J450" s="44"/>
      <c r="K450" s="44"/>
      <c r="L450" s="93"/>
      <c r="M450" s="124"/>
      <c r="N450" s="44"/>
      <c r="O450" s="92"/>
      <c r="P450" s="110"/>
      <c r="Q450" s="44"/>
      <c r="R450" s="92"/>
      <c r="S450" s="125"/>
      <c r="T450" s="44"/>
      <c r="U450" s="92"/>
      <c r="V450" s="44"/>
      <c r="W450" s="44"/>
      <c r="X450" s="92"/>
      <c r="Y450" s="44"/>
      <c r="Z450" s="44"/>
      <c r="AA450" s="91"/>
    </row>
    <row r="451" spans="1:27" x14ac:dyDescent="0.2">
      <c r="A451" s="41"/>
      <c r="B451" s="41"/>
      <c r="C451" s="94"/>
      <c r="D451" s="140"/>
      <c r="E451" s="41"/>
      <c r="F451" s="126"/>
      <c r="G451" s="127"/>
      <c r="H451" s="41"/>
      <c r="I451" s="95"/>
      <c r="J451" s="41"/>
      <c r="K451" s="41"/>
      <c r="L451" s="95"/>
      <c r="M451" s="128"/>
      <c r="N451" s="41"/>
      <c r="O451" s="42"/>
      <c r="P451" s="52"/>
      <c r="Q451" s="41"/>
      <c r="R451" s="42"/>
      <c r="S451" s="129"/>
      <c r="T451" s="41"/>
      <c r="U451" s="42"/>
      <c r="V451" s="41"/>
      <c r="W451" s="41"/>
      <c r="X451" s="42"/>
      <c r="Y451" s="41"/>
      <c r="Z451" s="41"/>
      <c r="AA451" s="94"/>
    </row>
    <row r="452" spans="1:27" x14ac:dyDescent="0.2">
      <c r="A452" s="44"/>
      <c r="B452" s="44"/>
      <c r="C452" s="91"/>
      <c r="D452" s="139"/>
      <c r="E452" s="44"/>
      <c r="F452" s="122"/>
      <c r="G452" s="123"/>
      <c r="H452" s="44"/>
      <c r="I452" s="93"/>
      <c r="J452" s="44"/>
      <c r="K452" s="44"/>
      <c r="L452" s="93"/>
      <c r="M452" s="124"/>
      <c r="N452" s="44"/>
      <c r="O452" s="92"/>
      <c r="P452" s="110"/>
      <c r="Q452" s="44"/>
      <c r="R452" s="92"/>
      <c r="S452" s="125"/>
      <c r="T452" s="44"/>
      <c r="U452" s="92"/>
      <c r="V452" s="44"/>
      <c r="W452" s="44"/>
      <c r="X452" s="92"/>
      <c r="Y452" s="44"/>
      <c r="Z452" s="44"/>
      <c r="AA452" s="91"/>
    </row>
    <row r="453" spans="1:27" x14ac:dyDescent="0.2">
      <c r="A453" s="41"/>
      <c r="B453" s="41"/>
      <c r="C453" s="94"/>
      <c r="D453" s="140"/>
      <c r="E453" s="41"/>
      <c r="F453" s="126"/>
      <c r="G453" s="127"/>
      <c r="H453" s="41"/>
      <c r="I453" s="95"/>
      <c r="J453" s="41"/>
      <c r="K453" s="41"/>
      <c r="L453" s="95"/>
      <c r="M453" s="128"/>
      <c r="N453" s="41"/>
      <c r="O453" s="42"/>
      <c r="P453" s="52"/>
      <c r="Q453" s="41"/>
      <c r="R453" s="42"/>
      <c r="S453" s="129"/>
      <c r="T453" s="41"/>
      <c r="U453" s="42"/>
      <c r="V453" s="41"/>
      <c r="W453" s="41"/>
      <c r="X453" s="42"/>
      <c r="Y453" s="41"/>
      <c r="Z453" s="41"/>
      <c r="AA453" s="94"/>
    </row>
    <row r="454" spans="1:27" x14ac:dyDescent="0.2">
      <c r="A454" s="44"/>
      <c r="B454" s="44"/>
      <c r="C454" s="91"/>
      <c r="D454" s="139"/>
      <c r="E454" s="44"/>
      <c r="F454" s="122"/>
      <c r="G454" s="123"/>
      <c r="H454" s="44"/>
      <c r="I454" s="93"/>
      <c r="J454" s="44"/>
      <c r="K454" s="44"/>
      <c r="L454" s="93"/>
      <c r="M454" s="124"/>
      <c r="N454" s="44"/>
      <c r="O454" s="92"/>
      <c r="P454" s="110"/>
      <c r="Q454" s="44"/>
      <c r="R454" s="92"/>
      <c r="S454" s="125"/>
      <c r="T454" s="44"/>
      <c r="U454" s="92"/>
      <c r="V454" s="44"/>
      <c r="W454" s="44"/>
      <c r="X454" s="92"/>
      <c r="Y454" s="44"/>
      <c r="Z454" s="44"/>
      <c r="AA454" s="91"/>
    </row>
    <row r="455" spans="1:27" x14ac:dyDescent="0.2">
      <c r="A455" s="41"/>
      <c r="B455" s="41"/>
      <c r="C455" s="94"/>
      <c r="D455" s="140"/>
      <c r="E455" s="41"/>
      <c r="F455" s="126"/>
      <c r="G455" s="127"/>
      <c r="H455" s="41"/>
      <c r="I455" s="95"/>
      <c r="J455" s="41"/>
      <c r="K455" s="41"/>
      <c r="L455" s="95"/>
      <c r="M455" s="128"/>
      <c r="N455" s="41"/>
      <c r="O455" s="42"/>
      <c r="P455" s="52"/>
      <c r="Q455" s="41"/>
      <c r="R455" s="42"/>
      <c r="S455" s="129"/>
      <c r="T455" s="41"/>
      <c r="U455" s="42"/>
      <c r="V455" s="41"/>
      <c r="W455" s="41"/>
      <c r="X455" s="42"/>
      <c r="Y455" s="41"/>
      <c r="Z455" s="41"/>
      <c r="AA455" s="94"/>
    </row>
    <row r="456" spans="1:27" x14ac:dyDescent="0.2">
      <c r="A456" s="44"/>
      <c r="B456" s="44"/>
      <c r="C456" s="91"/>
      <c r="D456" s="139"/>
      <c r="E456" s="44"/>
      <c r="F456" s="122"/>
      <c r="G456" s="123"/>
      <c r="H456" s="44"/>
      <c r="I456" s="93"/>
      <c r="J456" s="44"/>
      <c r="K456" s="44"/>
      <c r="L456" s="93"/>
      <c r="M456" s="124"/>
      <c r="N456" s="44"/>
      <c r="O456" s="92"/>
      <c r="P456" s="110"/>
      <c r="Q456" s="44"/>
      <c r="R456" s="92"/>
      <c r="S456" s="125"/>
      <c r="T456" s="44"/>
      <c r="U456" s="92"/>
      <c r="V456" s="44"/>
      <c r="W456" s="44"/>
      <c r="X456" s="92"/>
      <c r="Y456" s="44"/>
      <c r="Z456" s="44"/>
      <c r="AA456" s="91"/>
    </row>
    <row r="457" spans="1:27" x14ac:dyDescent="0.2">
      <c r="A457" s="41"/>
      <c r="B457" s="41"/>
      <c r="C457" s="94"/>
      <c r="D457" s="140"/>
      <c r="E457" s="41"/>
      <c r="F457" s="126"/>
      <c r="G457" s="127"/>
      <c r="H457" s="41"/>
      <c r="I457" s="95"/>
      <c r="J457" s="41"/>
      <c r="K457" s="41"/>
      <c r="L457" s="95"/>
      <c r="M457" s="128"/>
      <c r="N457" s="41"/>
      <c r="O457" s="42"/>
      <c r="P457" s="52"/>
      <c r="Q457" s="41"/>
      <c r="R457" s="42"/>
      <c r="S457" s="129"/>
      <c r="T457" s="41"/>
      <c r="U457" s="42"/>
      <c r="V457" s="41"/>
      <c r="W457" s="41"/>
      <c r="X457" s="42"/>
      <c r="Y457" s="41"/>
      <c r="Z457" s="41"/>
      <c r="AA457" s="94"/>
    </row>
    <row r="458" spans="1:27" x14ac:dyDescent="0.2">
      <c r="A458" s="44"/>
      <c r="B458" s="44"/>
      <c r="C458" s="91"/>
      <c r="D458" s="139"/>
      <c r="E458" s="44"/>
      <c r="F458" s="122"/>
      <c r="G458" s="123"/>
      <c r="H458" s="44"/>
      <c r="I458" s="93"/>
      <c r="J458" s="44"/>
      <c r="K458" s="44"/>
      <c r="L458" s="93"/>
      <c r="M458" s="124"/>
      <c r="N458" s="44"/>
      <c r="O458" s="92"/>
      <c r="P458" s="110"/>
      <c r="Q458" s="44"/>
      <c r="R458" s="92"/>
      <c r="S458" s="125"/>
      <c r="T458" s="44"/>
      <c r="U458" s="92"/>
      <c r="V458" s="44"/>
      <c r="W458" s="44"/>
      <c r="X458" s="92"/>
      <c r="Y458" s="44"/>
      <c r="Z458" s="44"/>
      <c r="AA458" s="91"/>
    </row>
    <row r="459" spans="1:27" x14ac:dyDescent="0.2">
      <c r="A459" s="41"/>
      <c r="B459" s="41"/>
      <c r="C459" s="94"/>
      <c r="D459" s="140"/>
      <c r="E459" s="41"/>
      <c r="F459" s="127"/>
      <c r="G459" s="127"/>
      <c r="H459" s="41"/>
      <c r="I459" s="95"/>
      <c r="J459" s="41"/>
      <c r="K459" s="41"/>
      <c r="L459" s="95"/>
      <c r="M459" s="128"/>
      <c r="N459" s="41"/>
      <c r="O459" s="42"/>
      <c r="P459" s="52"/>
      <c r="Q459" s="41"/>
      <c r="R459" s="42"/>
      <c r="S459" s="129"/>
      <c r="T459" s="41"/>
      <c r="U459" s="42"/>
      <c r="V459" s="41"/>
      <c r="W459" s="41"/>
      <c r="X459" s="42"/>
      <c r="Y459" s="41"/>
      <c r="Z459" s="41"/>
      <c r="AA459" s="94"/>
    </row>
    <row r="460" spans="1:27" x14ac:dyDescent="0.2">
      <c r="A460" s="44"/>
      <c r="B460" s="44"/>
      <c r="C460" s="91"/>
      <c r="D460" s="139"/>
      <c r="E460" s="44"/>
      <c r="F460" s="122"/>
      <c r="G460" s="123"/>
      <c r="H460" s="44"/>
      <c r="I460" s="93"/>
      <c r="J460" s="44"/>
      <c r="K460" s="44"/>
      <c r="L460" s="93"/>
      <c r="M460" s="124"/>
      <c r="N460" s="44"/>
      <c r="O460" s="92"/>
      <c r="P460" s="110"/>
      <c r="Q460" s="44"/>
      <c r="R460" s="92"/>
      <c r="S460" s="125"/>
      <c r="T460" s="44"/>
      <c r="U460" s="92"/>
      <c r="V460" s="44"/>
      <c r="W460" s="44"/>
      <c r="X460" s="92"/>
      <c r="Y460" s="44"/>
      <c r="Z460" s="44"/>
      <c r="AA460" s="91"/>
    </row>
    <row r="461" spans="1:27" x14ac:dyDescent="0.2">
      <c r="A461" s="41"/>
      <c r="B461" s="41"/>
      <c r="C461" s="94"/>
      <c r="D461" s="140"/>
      <c r="E461" s="41"/>
      <c r="F461" s="126"/>
      <c r="G461" s="127"/>
      <c r="H461" s="41"/>
      <c r="I461" s="95"/>
      <c r="J461" s="41"/>
      <c r="K461" s="41"/>
      <c r="L461" s="95"/>
      <c r="M461" s="128"/>
      <c r="N461" s="41"/>
      <c r="O461" s="42"/>
      <c r="P461" s="52"/>
      <c r="Q461" s="41"/>
      <c r="R461" s="42"/>
      <c r="S461" s="129"/>
      <c r="T461" s="41"/>
      <c r="U461" s="42"/>
      <c r="V461" s="41"/>
      <c r="W461" s="41"/>
      <c r="X461" s="42"/>
      <c r="Y461" s="41"/>
      <c r="Z461" s="41"/>
      <c r="AA461" s="94"/>
    </row>
    <row r="462" spans="1:27" x14ac:dyDescent="0.2">
      <c r="A462" s="44"/>
      <c r="B462" s="44"/>
      <c r="C462" s="91"/>
      <c r="D462" s="139"/>
      <c r="E462" s="44"/>
      <c r="F462" s="122"/>
      <c r="G462" s="123"/>
      <c r="H462" s="44"/>
      <c r="I462" s="93"/>
      <c r="J462" s="44"/>
      <c r="K462" s="44"/>
      <c r="L462" s="93"/>
      <c r="M462" s="124"/>
      <c r="N462" s="44"/>
      <c r="O462" s="92"/>
      <c r="P462" s="110"/>
      <c r="Q462" s="44"/>
      <c r="R462" s="92"/>
      <c r="S462" s="125"/>
      <c r="T462" s="44"/>
      <c r="U462" s="92"/>
      <c r="V462" s="44"/>
      <c r="W462" s="44"/>
      <c r="X462" s="92"/>
      <c r="Y462" s="44"/>
      <c r="Z462" s="44"/>
      <c r="AA462" s="91"/>
    </row>
    <row r="463" spans="1:27" x14ac:dyDescent="0.2">
      <c r="A463" s="41"/>
      <c r="B463" s="41"/>
      <c r="C463" s="94"/>
      <c r="D463" s="140"/>
      <c r="E463" s="41"/>
      <c r="F463" s="126"/>
      <c r="G463" s="127"/>
      <c r="H463" s="41"/>
      <c r="I463" s="95"/>
      <c r="J463" s="41"/>
      <c r="K463" s="41"/>
      <c r="L463" s="95"/>
      <c r="M463" s="128"/>
      <c r="N463" s="41"/>
      <c r="O463" s="42"/>
      <c r="P463" s="52"/>
      <c r="Q463" s="41"/>
      <c r="R463" s="42"/>
      <c r="S463" s="129"/>
      <c r="T463" s="41"/>
      <c r="U463" s="42"/>
      <c r="V463" s="41"/>
      <c r="W463" s="41"/>
      <c r="X463" s="42"/>
      <c r="Y463" s="41"/>
      <c r="Z463" s="41"/>
      <c r="AA463" s="94"/>
    </row>
    <row r="464" spans="1:27" x14ac:dyDescent="0.2">
      <c r="A464" s="44"/>
      <c r="B464" s="44"/>
      <c r="C464" s="91"/>
      <c r="D464" s="139"/>
      <c r="E464" s="44"/>
      <c r="F464" s="122"/>
      <c r="G464" s="123"/>
      <c r="H464" s="44"/>
      <c r="I464" s="93"/>
      <c r="J464" s="44"/>
      <c r="K464" s="44"/>
      <c r="L464" s="93"/>
      <c r="M464" s="124"/>
      <c r="N464" s="44"/>
      <c r="O464" s="92"/>
      <c r="P464" s="110"/>
      <c r="Q464" s="44"/>
      <c r="R464" s="92"/>
      <c r="S464" s="125"/>
      <c r="T464" s="44"/>
      <c r="U464" s="92"/>
      <c r="V464" s="44"/>
      <c r="W464" s="44"/>
      <c r="X464" s="92"/>
      <c r="Y464" s="44"/>
      <c r="Z464" s="44"/>
      <c r="AA464" s="91"/>
    </row>
    <row r="465" spans="1:27" x14ac:dyDescent="0.2">
      <c r="A465" s="41"/>
      <c r="B465" s="41"/>
      <c r="C465" s="94"/>
      <c r="D465" s="140"/>
      <c r="E465" s="41"/>
      <c r="F465" s="126"/>
      <c r="G465" s="127"/>
      <c r="H465" s="41"/>
      <c r="I465" s="95"/>
      <c r="J465" s="41"/>
      <c r="K465" s="41"/>
      <c r="L465" s="95"/>
      <c r="M465" s="128"/>
      <c r="N465" s="41"/>
      <c r="O465" s="42"/>
      <c r="P465" s="52"/>
      <c r="Q465" s="41"/>
      <c r="R465" s="42"/>
      <c r="S465" s="129"/>
      <c r="T465" s="41"/>
      <c r="U465" s="42"/>
      <c r="V465" s="41"/>
      <c r="W465" s="41"/>
      <c r="X465" s="42"/>
      <c r="Y465" s="41"/>
      <c r="Z465" s="41"/>
      <c r="AA465" s="94"/>
    </row>
    <row r="466" spans="1:27" x14ac:dyDescent="0.2">
      <c r="A466" s="44"/>
      <c r="B466" s="44"/>
      <c r="C466" s="91"/>
      <c r="D466" s="139"/>
      <c r="E466" s="44"/>
      <c r="F466" s="122"/>
      <c r="G466" s="123"/>
      <c r="H466" s="44"/>
      <c r="I466" s="93"/>
      <c r="J466" s="44"/>
      <c r="K466" s="44"/>
      <c r="L466" s="93"/>
      <c r="M466" s="124"/>
      <c r="N466" s="44"/>
      <c r="O466" s="92"/>
      <c r="P466" s="110"/>
      <c r="Q466" s="44"/>
      <c r="R466" s="92"/>
      <c r="S466" s="125"/>
      <c r="T466" s="44"/>
      <c r="U466" s="92"/>
      <c r="V466" s="44"/>
      <c r="W466" s="44"/>
      <c r="X466" s="92"/>
      <c r="Y466" s="44"/>
      <c r="Z466" s="44"/>
      <c r="AA466" s="91"/>
    </row>
    <row r="467" spans="1:27" x14ac:dyDescent="0.2">
      <c r="A467" s="96"/>
      <c r="B467" s="44"/>
      <c r="C467" s="91"/>
      <c r="D467" s="139"/>
      <c r="E467" s="44"/>
      <c r="F467" s="122"/>
      <c r="G467" s="123"/>
      <c r="H467" s="44"/>
      <c r="I467" s="93"/>
      <c r="J467" s="44"/>
      <c r="K467" s="44"/>
      <c r="L467" s="93"/>
      <c r="M467" s="124"/>
      <c r="N467" s="44"/>
      <c r="O467" s="92"/>
      <c r="P467" s="110"/>
      <c r="Q467" s="44"/>
      <c r="R467" s="92"/>
      <c r="S467" s="125"/>
      <c r="T467" s="44"/>
      <c r="U467" s="92"/>
      <c r="V467" s="44"/>
      <c r="W467" s="44"/>
      <c r="X467" s="92"/>
      <c r="Y467" s="96"/>
      <c r="Z467" s="44"/>
      <c r="AA467" s="91"/>
    </row>
    <row r="468" spans="1:27" x14ac:dyDescent="0.2">
      <c r="A468" s="97"/>
      <c r="B468" s="41"/>
      <c r="C468" s="94"/>
      <c r="D468" s="140"/>
      <c r="E468" s="41"/>
      <c r="F468" s="126"/>
      <c r="G468" s="127"/>
      <c r="H468" s="41"/>
      <c r="I468" s="95"/>
      <c r="J468" s="41"/>
      <c r="K468" s="41"/>
      <c r="L468" s="95"/>
      <c r="M468" s="128"/>
      <c r="N468" s="41"/>
      <c r="O468" s="42"/>
      <c r="P468" s="52"/>
      <c r="Q468" s="41"/>
      <c r="R468" s="42"/>
      <c r="S468" s="129"/>
      <c r="T468" s="41"/>
      <c r="U468" s="42"/>
      <c r="V468" s="41"/>
      <c r="W468" s="41"/>
      <c r="X468" s="42"/>
      <c r="Y468" s="97"/>
      <c r="Z468" s="41"/>
      <c r="AA468" s="94"/>
    </row>
    <row r="469" spans="1:27" x14ac:dyDescent="0.2">
      <c r="A469" s="96"/>
      <c r="B469" s="44"/>
      <c r="C469" s="91"/>
      <c r="D469" s="139"/>
      <c r="E469" s="44"/>
      <c r="F469" s="122"/>
      <c r="G469" s="123"/>
      <c r="H469" s="44"/>
      <c r="I469" s="93"/>
      <c r="J469" s="44"/>
      <c r="K469" s="44"/>
      <c r="L469" s="93"/>
      <c r="M469" s="124"/>
      <c r="N469" s="44"/>
      <c r="O469" s="92"/>
      <c r="P469" s="110"/>
      <c r="Q469" s="44"/>
      <c r="R469" s="92"/>
      <c r="S469" s="125"/>
      <c r="T469" s="44"/>
      <c r="U469" s="92"/>
      <c r="V469" s="44"/>
      <c r="W469" s="44"/>
      <c r="X469" s="92"/>
      <c r="Y469" s="96"/>
      <c r="Z469" s="44"/>
      <c r="AA469" s="91"/>
    </row>
    <row r="470" spans="1:27" x14ac:dyDescent="0.2">
      <c r="A470" s="97"/>
      <c r="B470" s="41"/>
      <c r="C470" s="94"/>
      <c r="D470" s="140"/>
      <c r="E470" s="41"/>
      <c r="F470" s="126"/>
      <c r="G470" s="127"/>
      <c r="H470" s="41"/>
      <c r="I470" s="95"/>
      <c r="J470" s="41"/>
      <c r="K470" s="41"/>
      <c r="L470" s="95"/>
      <c r="M470" s="128"/>
      <c r="N470" s="41"/>
      <c r="O470" s="42"/>
      <c r="P470" s="52"/>
      <c r="Q470" s="41"/>
      <c r="R470" s="42"/>
      <c r="S470" s="129"/>
      <c r="T470" s="41"/>
      <c r="U470" s="42"/>
      <c r="V470" s="41"/>
      <c r="W470" s="41"/>
      <c r="X470" s="42"/>
      <c r="Y470" s="97"/>
      <c r="Z470" s="41"/>
      <c r="AA470" s="94"/>
    </row>
    <row r="471" spans="1:27" x14ac:dyDescent="0.2">
      <c r="A471" s="97"/>
      <c r="B471" s="41"/>
      <c r="C471" s="94"/>
      <c r="D471" s="140"/>
      <c r="E471" s="41"/>
      <c r="F471" s="126"/>
      <c r="G471" s="127"/>
      <c r="H471" s="41"/>
      <c r="I471" s="95"/>
      <c r="J471" s="41"/>
      <c r="K471" s="41"/>
      <c r="L471" s="95"/>
      <c r="M471" s="128"/>
      <c r="N471" s="41"/>
      <c r="O471" s="42"/>
      <c r="P471" s="52"/>
      <c r="Q471" s="41"/>
      <c r="R471" s="42"/>
      <c r="S471" s="129"/>
      <c r="T471" s="41"/>
      <c r="U471" s="42"/>
      <c r="V471" s="41"/>
      <c r="W471" s="41"/>
      <c r="X471" s="42"/>
      <c r="Y471" s="97"/>
      <c r="Z471" s="41"/>
      <c r="AA471" s="94"/>
    </row>
    <row r="472" spans="1:27" x14ac:dyDescent="0.2">
      <c r="A472" s="97"/>
      <c r="B472" s="41"/>
      <c r="C472" s="94"/>
      <c r="D472" s="140"/>
      <c r="E472" s="41"/>
      <c r="F472" s="126"/>
      <c r="G472" s="127"/>
      <c r="H472" s="41"/>
      <c r="I472" s="95"/>
      <c r="J472" s="41"/>
      <c r="K472" s="41"/>
      <c r="L472" s="95"/>
      <c r="M472" s="128"/>
      <c r="N472" s="41"/>
      <c r="O472" s="42"/>
      <c r="P472" s="52"/>
      <c r="Q472" s="41"/>
      <c r="R472" s="42"/>
      <c r="S472" s="129"/>
      <c r="T472" s="41"/>
      <c r="U472" s="42"/>
      <c r="V472" s="41"/>
      <c r="W472" s="41"/>
      <c r="X472" s="42"/>
      <c r="Y472" s="97"/>
      <c r="Z472" s="41"/>
      <c r="AA472" s="94"/>
    </row>
    <row r="473" spans="1:27" x14ac:dyDescent="0.2">
      <c r="A473" s="97"/>
      <c r="B473" s="41"/>
      <c r="C473" s="94"/>
      <c r="D473" s="140"/>
      <c r="E473" s="41"/>
      <c r="F473" s="126"/>
      <c r="G473" s="127"/>
      <c r="H473" s="41"/>
      <c r="I473" s="95"/>
      <c r="J473" s="41"/>
      <c r="K473" s="41"/>
      <c r="L473" s="95"/>
      <c r="M473" s="128"/>
      <c r="N473" s="41"/>
      <c r="O473" s="42"/>
      <c r="P473" s="52"/>
      <c r="Q473" s="41"/>
      <c r="R473" s="42"/>
      <c r="S473" s="129"/>
      <c r="T473" s="41"/>
      <c r="U473" s="42"/>
      <c r="V473" s="41"/>
      <c r="W473" s="41"/>
      <c r="X473" s="42"/>
      <c r="Y473" s="97"/>
      <c r="Z473" s="41"/>
      <c r="AA473" s="94"/>
    </row>
    <row r="474" spans="1:27" x14ac:dyDescent="0.2">
      <c r="A474" s="96"/>
      <c r="B474" s="44"/>
      <c r="C474" s="91"/>
      <c r="D474" s="139"/>
      <c r="E474" s="44"/>
      <c r="F474" s="122"/>
      <c r="G474" s="123"/>
      <c r="H474" s="44"/>
      <c r="I474" s="93"/>
      <c r="J474" s="44"/>
      <c r="K474" s="44"/>
      <c r="L474" s="93"/>
      <c r="M474" s="124"/>
      <c r="N474" s="44"/>
      <c r="O474" s="92"/>
      <c r="P474" s="110"/>
      <c r="Q474" s="44"/>
      <c r="R474" s="92"/>
      <c r="S474" s="125"/>
      <c r="T474" s="44"/>
      <c r="U474" s="92"/>
      <c r="V474" s="44"/>
      <c r="W474" s="44"/>
      <c r="X474" s="92"/>
      <c r="Y474" s="96"/>
      <c r="Z474" s="44"/>
      <c r="AA474" s="91"/>
    </row>
    <row r="475" spans="1:27" x14ac:dyDescent="0.2">
      <c r="A475" s="96"/>
      <c r="B475" s="44"/>
      <c r="C475" s="91"/>
      <c r="D475" s="139"/>
      <c r="E475" s="44"/>
      <c r="F475" s="122"/>
      <c r="G475" s="123"/>
      <c r="H475" s="44"/>
      <c r="I475" s="93"/>
      <c r="J475" s="44"/>
      <c r="K475" s="44"/>
      <c r="L475" s="93"/>
      <c r="M475" s="124"/>
      <c r="N475" s="44"/>
      <c r="O475" s="92"/>
      <c r="P475" s="110"/>
      <c r="Q475" s="44"/>
      <c r="R475" s="92"/>
      <c r="S475" s="125"/>
      <c r="T475" s="44"/>
      <c r="U475" s="92"/>
      <c r="V475" s="44"/>
      <c r="W475" s="44"/>
      <c r="X475" s="92"/>
      <c r="Y475" s="96"/>
      <c r="Z475" s="44"/>
      <c r="AA475" s="91"/>
    </row>
    <row r="476" spans="1:27" x14ac:dyDescent="0.2">
      <c r="A476" s="96"/>
      <c r="B476" s="44"/>
      <c r="C476" s="91"/>
      <c r="D476" s="139"/>
      <c r="E476" s="44"/>
      <c r="F476" s="122"/>
      <c r="G476" s="123"/>
      <c r="H476" s="44"/>
      <c r="I476" s="93"/>
      <c r="J476" s="44"/>
      <c r="K476" s="44"/>
      <c r="L476" s="93"/>
      <c r="M476" s="124"/>
      <c r="N476" s="44"/>
      <c r="O476" s="92"/>
      <c r="P476" s="110"/>
      <c r="Q476" s="44"/>
      <c r="R476" s="92"/>
      <c r="S476" s="125"/>
      <c r="T476" s="44"/>
      <c r="U476" s="92"/>
      <c r="V476" s="44"/>
      <c r="W476" s="44"/>
      <c r="X476" s="92"/>
      <c r="Y476" s="96"/>
      <c r="Z476" s="44"/>
      <c r="AA476" s="91"/>
    </row>
    <row r="477" spans="1:27" x14ac:dyDescent="0.2">
      <c r="A477" s="96"/>
      <c r="B477" s="44"/>
      <c r="C477" s="91"/>
      <c r="D477" s="139"/>
      <c r="E477" s="44"/>
      <c r="F477" s="122"/>
      <c r="G477" s="123"/>
      <c r="H477" s="44"/>
      <c r="I477" s="93"/>
      <c r="J477" s="44"/>
      <c r="K477" s="44"/>
      <c r="L477" s="93"/>
      <c r="M477" s="124"/>
      <c r="N477" s="44"/>
      <c r="O477" s="92"/>
      <c r="P477" s="110"/>
      <c r="Q477" s="44"/>
      <c r="R477" s="92"/>
      <c r="S477" s="125"/>
      <c r="T477" s="44"/>
      <c r="U477" s="92"/>
      <c r="V477" s="44"/>
      <c r="W477" s="44"/>
      <c r="X477" s="92"/>
      <c r="Y477" s="96"/>
      <c r="Z477" s="44"/>
      <c r="AA477" s="91"/>
    </row>
    <row r="478" spans="1:27" x14ac:dyDescent="0.2">
      <c r="A478" s="96"/>
      <c r="B478" s="44"/>
      <c r="C478" s="91"/>
      <c r="D478" s="139"/>
      <c r="E478" s="44"/>
      <c r="F478" s="122"/>
      <c r="G478" s="123"/>
      <c r="H478" s="44"/>
      <c r="I478" s="93"/>
      <c r="J478" s="44"/>
      <c r="K478" s="44"/>
      <c r="L478" s="93"/>
      <c r="M478" s="124"/>
      <c r="N478" s="44"/>
      <c r="O478" s="92"/>
      <c r="P478" s="110"/>
      <c r="Q478" s="44"/>
      <c r="R478" s="92"/>
      <c r="S478" s="125"/>
      <c r="T478" s="44"/>
      <c r="U478" s="92"/>
      <c r="V478" s="44"/>
      <c r="W478" s="44"/>
      <c r="X478" s="92"/>
      <c r="Y478" s="96"/>
      <c r="Z478" s="44"/>
      <c r="AA478" s="91"/>
    </row>
    <row r="479" spans="1:27" x14ac:dyDescent="0.2">
      <c r="A479" s="97"/>
      <c r="B479" s="41"/>
      <c r="C479" s="94"/>
      <c r="D479" s="140"/>
      <c r="E479" s="41"/>
      <c r="F479" s="126"/>
      <c r="G479" s="127"/>
      <c r="H479" s="41"/>
      <c r="I479" s="95"/>
      <c r="J479" s="41"/>
      <c r="K479" s="41"/>
      <c r="L479" s="95"/>
      <c r="M479" s="128"/>
      <c r="N479" s="41"/>
      <c r="O479" s="42"/>
      <c r="P479" s="52"/>
      <c r="Q479" s="41"/>
      <c r="R479" s="42"/>
      <c r="S479" s="129"/>
      <c r="T479" s="41"/>
      <c r="U479" s="42"/>
      <c r="V479" s="41"/>
      <c r="W479" s="41"/>
      <c r="X479" s="42"/>
      <c r="Y479" s="97"/>
      <c r="Z479" s="41"/>
      <c r="AA479" s="94"/>
    </row>
    <row r="480" spans="1:27" x14ac:dyDescent="0.2">
      <c r="A480" s="96"/>
      <c r="B480" s="44"/>
      <c r="C480" s="91"/>
      <c r="D480" s="139"/>
      <c r="E480" s="44"/>
      <c r="F480" s="122"/>
      <c r="G480" s="123"/>
      <c r="H480" s="44"/>
      <c r="I480" s="93"/>
      <c r="J480" s="44"/>
      <c r="K480" s="44"/>
      <c r="L480" s="93"/>
      <c r="M480" s="124"/>
      <c r="N480" s="44"/>
      <c r="O480" s="92"/>
      <c r="P480" s="110"/>
      <c r="Q480" s="44"/>
      <c r="R480" s="92"/>
      <c r="S480" s="125"/>
      <c r="T480" s="44"/>
      <c r="U480" s="92"/>
      <c r="V480" s="44"/>
      <c r="W480" s="44"/>
      <c r="X480" s="92"/>
      <c r="Y480" s="96"/>
      <c r="Z480" s="44"/>
      <c r="AA480" s="91"/>
    </row>
    <row r="481" spans="1:27" x14ac:dyDescent="0.2">
      <c r="A481" s="97"/>
      <c r="B481" s="41"/>
      <c r="C481" s="94"/>
      <c r="D481" s="140"/>
      <c r="E481" s="41"/>
      <c r="F481" s="126"/>
      <c r="G481" s="127"/>
      <c r="H481" s="41"/>
      <c r="I481" s="95"/>
      <c r="J481" s="41"/>
      <c r="K481" s="41"/>
      <c r="L481" s="95"/>
      <c r="M481" s="128"/>
      <c r="N481" s="41"/>
      <c r="O481" s="42"/>
      <c r="P481" s="52"/>
      <c r="Q481" s="41"/>
      <c r="R481" s="42"/>
      <c r="S481" s="129"/>
      <c r="T481" s="41"/>
      <c r="U481" s="42"/>
      <c r="V481" s="41"/>
      <c r="W481" s="41"/>
      <c r="X481" s="42"/>
      <c r="Y481" s="97"/>
      <c r="Z481" s="41"/>
      <c r="AA481" s="94"/>
    </row>
    <row r="482" spans="1:27" x14ac:dyDescent="0.2">
      <c r="A482" s="96"/>
      <c r="B482" s="44"/>
      <c r="C482" s="91"/>
      <c r="D482" s="139"/>
      <c r="E482" s="44"/>
      <c r="F482" s="122"/>
      <c r="G482" s="123"/>
      <c r="H482" s="44"/>
      <c r="I482" s="93"/>
      <c r="J482" s="44"/>
      <c r="K482" s="44"/>
      <c r="L482" s="93"/>
      <c r="M482" s="124"/>
      <c r="N482" s="44"/>
      <c r="O482" s="92"/>
      <c r="P482" s="110"/>
      <c r="Q482" s="44"/>
      <c r="R482" s="92"/>
      <c r="S482" s="125"/>
      <c r="T482" s="44"/>
      <c r="U482" s="92"/>
      <c r="V482" s="44"/>
      <c r="W482" s="44"/>
      <c r="X482" s="92"/>
      <c r="Y482" s="96"/>
      <c r="Z482" s="44"/>
      <c r="AA482" s="91"/>
    </row>
    <row r="483" spans="1:27" x14ac:dyDescent="0.2">
      <c r="A483" s="96"/>
      <c r="B483" s="44"/>
      <c r="C483" s="91"/>
      <c r="D483" s="139"/>
      <c r="E483" s="44"/>
      <c r="F483" s="122"/>
      <c r="G483" s="123"/>
      <c r="H483" s="44"/>
      <c r="I483" s="93"/>
      <c r="J483" s="44"/>
      <c r="K483" s="44"/>
      <c r="L483" s="93"/>
      <c r="M483" s="124"/>
      <c r="N483" s="44"/>
      <c r="O483" s="92"/>
      <c r="P483" s="110"/>
      <c r="Q483" s="44"/>
      <c r="R483" s="92"/>
      <c r="S483" s="125"/>
      <c r="T483" s="44"/>
      <c r="U483" s="92"/>
      <c r="V483" s="44"/>
      <c r="W483" s="44"/>
      <c r="X483" s="92"/>
      <c r="Y483" s="96"/>
      <c r="Z483" s="44"/>
      <c r="AA483" s="91"/>
    </row>
    <row r="484" spans="1:27" x14ac:dyDescent="0.2">
      <c r="A484" s="97"/>
      <c r="B484" s="41"/>
      <c r="C484" s="94"/>
      <c r="D484" s="140"/>
      <c r="E484" s="41"/>
      <c r="F484" s="126"/>
      <c r="G484" s="127"/>
      <c r="H484" s="41"/>
      <c r="I484" s="95"/>
      <c r="J484" s="41"/>
      <c r="K484" s="41"/>
      <c r="L484" s="95"/>
      <c r="M484" s="128"/>
      <c r="N484" s="41"/>
      <c r="O484" s="42"/>
      <c r="P484" s="52"/>
      <c r="Q484" s="41"/>
      <c r="R484" s="42"/>
      <c r="S484" s="129"/>
      <c r="T484" s="41"/>
      <c r="U484" s="42"/>
      <c r="V484" s="41"/>
      <c r="W484" s="41"/>
      <c r="X484" s="42"/>
      <c r="Y484" s="97"/>
      <c r="Z484" s="41"/>
      <c r="AA484" s="94"/>
    </row>
    <row r="485" spans="1:27" x14ac:dyDescent="0.2">
      <c r="A485" s="96"/>
      <c r="B485" s="44"/>
      <c r="C485" s="91"/>
      <c r="D485" s="139"/>
      <c r="E485" s="44"/>
      <c r="F485" s="122"/>
      <c r="G485" s="123"/>
      <c r="H485" s="44"/>
      <c r="I485" s="93"/>
      <c r="J485" s="44"/>
      <c r="K485" s="44"/>
      <c r="L485" s="93"/>
      <c r="M485" s="124"/>
      <c r="N485" s="44"/>
      <c r="O485" s="92"/>
      <c r="P485" s="110"/>
      <c r="Q485" s="44"/>
      <c r="R485" s="92"/>
      <c r="S485" s="125"/>
      <c r="T485" s="44"/>
      <c r="U485" s="92"/>
      <c r="V485" s="44"/>
      <c r="W485" s="44"/>
      <c r="X485" s="92"/>
      <c r="Y485" s="96"/>
      <c r="Z485" s="44"/>
      <c r="AA485" s="91"/>
    </row>
    <row r="486" spans="1:27" x14ac:dyDescent="0.2">
      <c r="A486" s="96"/>
      <c r="B486" s="44"/>
      <c r="C486" s="91"/>
      <c r="D486" s="139"/>
      <c r="E486" s="44"/>
      <c r="F486" s="122"/>
      <c r="G486" s="123"/>
      <c r="H486" s="44"/>
      <c r="I486" s="93"/>
      <c r="J486" s="44"/>
      <c r="K486" s="44"/>
      <c r="L486" s="93"/>
      <c r="M486" s="124"/>
      <c r="N486" s="44"/>
      <c r="O486" s="92"/>
      <c r="P486" s="110"/>
      <c r="Q486" s="44"/>
      <c r="R486" s="92"/>
      <c r="S486" s="125"/>
      <c r="T486" s="44"/>
      <c r="U486" s="92"/>
      <c r="V486" s="44"/>
      <c r="W486" s="44"/>
      <c r="X486" s="92"/>
      <c r="Y486" s="96"/>
      <c r="Z486" s="44"/>
      <c r="AA486" s="91"/>
    </row>
    <row r="487" spans="1:27" x14ac:dyDescent="0.2">
      <c r="A487" s="97"/>
      <c r="B487" s="41"/>
      <c r="C487" s="94"/>
      <c r="D487" s="140"/>
      <c r="E487" s="41"/>
      <c r="F487" s="126"/>
      <c r="G487" s="127"/>
      <c r="H487" s="41"/>
      <c r="I487" s="95"/>
      <c r="J487" s="41"/>
      <c r="K487" s="41"/>
      <c r="L487" s="95"/>
      <c r="M487" s="128"/>
      <c r="N487" s="41"/>
      <c r="O487" s="42"/>
      <c r="P487" s="52"/>
      <c r="Q487" s="41"/>
      <c r="R487" s="42"/>
      <c r="S487" s="129"/>
      <c r="T487" s="41"/>
      <c r="U487" s="42"/>
      <c r="V487" s="41"/>
      <c r="W487" s="41"/>
      <c r="X487" s="42"/>
      <c r="Y487" s="97"/>
      <c r="Z487" s="41"/>
      <c r="AA487" s="94"/>
    </row>
    <row r="488" spans="1:27" x14ac:dyDescent="0.2">
      <c r="A488" s="97"/>
      <c r="B488" s="41"/>
      <c r="C488" s="94"/>
      <c r="D488" s="140"/>
      <c r="E488" s="41"/>
      <c r="F488" s="126"/>
      <c r="G488" s="127"/>
      <c r="H488" s="41"/>
      <c r="I488" s="95"/>
      <c r="J488" s="41"/>
      <c r="K488" s="41"/>
      <c r="L488" s="95"/>
      <c r="M488" s="128"/>
      <c r="N488" s="41"/>
      <c r="O488" s="42"/>
      <c r="P488" s="52"/>
      <c r="Q488" s="41"/>
      <c r="R488" s="42"/>
      <c r="S488" s="129"/>
      <c r="T488" s="41"/>
      <c r="U488" s="42"/>
      <c r="V488" s="41"/>
      <c r="W488" s="41"/>
      <c r="X488" s="42"/>
      <c r="Y488" s="97"/>
      <c r="Z488" s="41"/>
      <c r="AA488" s="94"/>
    </row>
    <row r="489" spans="1:27" x14ac:dyDescent="0.2">
      <c r="A489" s="96"/>
      <c r="B489" s="44"/>
      <c r="C489" s="91"/>
      <c r="D489" s="139"/>
      <c r="E489" s="44"/>
      <c r="F489" s="122"/>
      <c r="G489" s="123"/>
      <c r="H489" s="44"/>
      <c r="I489" s="93"/>
      <c r="J489" s="44"/>
      <c r="K489" s="44"/>
      <c r="L489" s="93"/>
      <c r="M489" s="124"/>
      <c r="N489" s="44"/>
      <c r="O489" s="92"/>
      <c r="P489" s="110"/>
      <c r="Q489" s="44"/>
      <c r="R489" s="92"/>
      <c r="S489" s="125"/>
      <c r="T489" s="44"/>
      <c r="U489" s="92"/>
      <c r="V489" s="44"/>
      <c r="W489" s="44"/>
      <c r="X489" s="92"/>
      <c r="Y489" s="96"/>
      <c r="Z489" s="44"/>
      <c r="AA489" s="91"/>
    </row>
    <row r="490" spans="1:27" x14ac:dyDescent="0.2">
      <c r="A490" s="96"/>
      <c r="B490" s="44"/>
      <c r="C490" s="91"/>
      <c r="D490" s="139"/>
      <c r="E490" s="44"/>
      <c r="F490" s="122"/>
      <c r="G490" s="123"/>
      <c r="H490" s="44"/>
      <c r="I490" s="93"/>
      <c r="J490" s="44"/>
      <c r="K490" s="44"/>
      <c r="L490" s="93"/>
      <c r="M490" s="124"/>
      <c r="N490" s="44"/>
      <c r="O490" s="92"/>
      <c r="P490" s="110"/>
      <c r="Q490" s="44"/>
      <c r="R490" s="92"/>
      <c r="S490" s="125"/>
      <c r="T490" s="44"/>
      <c r="U490" s="92"/>
      <c r="V490" s="44"/>
      <c r="W490" s="44"/>
      <c r="X490" s="92"/>
      <c r="Y490" s="96"/>
      <c r="Z490" s="44"/>
      <c r="AA490" s="91"/>
    </row>
    <row r="491" spans="1:27" x14ac:dyDescent="0.2">
      <c r="A491" s="97"/>
      <c r="B491" s="41"/>
      <c r="C491" s="94"/>
      <c r="D491" s="140"/>
      <c r="E491" s="41"/>
      <c r="F491" s="126"/>
      <c r="G491" s="127"/>
      <c r="H491" s="41"/>
      <c r="I491" s="95"/>
      <c r="J491" s="41"/>
      <c r="K491" s="41"/>
      <c r="L491" s="95"/>
      <c r="M491" s="128"/>
      <c r="N491" s="41"/>
      <c r="O491" s="42"/>
      <c r="P491" s="52"/>
      <c r="Q491" s="41"/>
      <c r="R491" s="42"/>
      <c r="S491" s="129"/>
      <c r="T491" s="41"/>
      <c r="U491" s="42"/>
      <c r="V491" s="41"/>
      <c r="W491" s="41"/>
      <c r="X491" s="42"/>
      <c r="Y491" s="97"/>
      <c r="Z491" s="41"/>
      <c r="AA491" s="94"/>
    </row>
    <row r="492" spans="1:27" x14ac:dyDescent="0.2">
      <c r="A492" s="87"/>
      <c r="B492" s="87"/>
      <c r="C492" s="88"/>
      <c r="D492" s="138"/>
      <c r="E492" s="87"/>
      <c r="F492" s="118"/>
      <c r="G492" s="119"/>
      <c r="H492" s="87"/>
      <c r="I492" s="90"/>
      <c r="J492" s="87"/>
      <c r="K492" s="87"/>
      <c r="L492" s="90"/>
      <c r="M492" s="120"/>
      <c r="N492" s="87"/>
      <c r="O492" s="89"/>
      <c r="P492" s="130"/>
      <c r="Q492" s="87"/>
      <c r="R492" s="89"/>
      <c r="S492" s="121"/>
      <c r="T492" s="87"/>
      <c r="U492" s="89"/>
      <c r="V492" s="87"/>
      <c r="W492" s="87"/>
      <c r="X492" s="89"/>
      <c r="Y492" s="87"/>
      <c r="Z492" s="87"/>
      <c r="AA492" s="88"/>
    </row>
    <row r="493" spans="1:27" x14ac:dyDescent="0.2">
      <c r="A493" s="44"/>
      <c r="B493" s="44"/>
      <c r="C493" s="91"/>
      <c r="D493" s="139"/>
      <c r="E493" s="44"/>
      <c r="F493" s="122"/>
      <c r="G493" s="123"/>
      <c r="H493" s="44"/>
      <c r="I493" s="93"/>
      <c r="J493" s="44"/>
      <c r="K493" s="44"/>
      <c r="L493" s="93"/>
      <c r="M493" s="124"/>
      <c r="N493" s="44"/>
      <c r="O493" s="92"/>
      <c r="P493" s="110"/>
      <c r="Q493" s="44"/>
      <c r="R493" s="92"/>
      <c r="S493" s="125"/>
      <c r="T493" s="44"/>
      <c r="U493" s="92"/>
      <c r="V493" s="44"/>
      <c r="W493" s="44"/>
      <c r="X493" s="92"/>
      <c r="Y493" s="44"/>
      <c r="Z493" s="44"/>
      <c r="AA493" s="91"/>
    </row>
    <row r="494" spans="1:27" x14ac:dyDescent="0.2">
      <c r="A494" s="41"/>
      <c r="B494" s="41"/>
      <c r="C494" s="94"/>
      <c r="D494" s="140"/>
      <c r="E494" s="41"/>
      <c r="F494" s="126"/>
      <c r="G494" s="127"/>
      <c r="H494" s="41"/>
      <c r="I494" s="95"/>
      <c r="J494" s="41"/>
      <c r="K494" s="41"/>
      <c r="L494" s="95"/>
      <c r="M494" s="128"/>
      <c r="N494" s="41"/>
      <c r="O494" s="42"/>
      <c r="P494" s="52"/>
      <c r="Q494" s="41"/>
      <c r="R494" s="42"/>
      <c r="S494" s="129"/>
      <c r="T494" s="41"/>
      <c r="U494" s="42"/>
      <c r="V494" s="41"/>
      <c r="W494" s="41"/>
      <c r="X494" s="42"/>
      <c r="Y494" s="41"/>
      <c r="Z494" s="41"/>
      <c r="AA494" s="94"/>
    </row>
    <row r="495" spans="1:27" x14ac:dyDescent="0.2">
      <c r="A495" s="44"/>
      <c r="B495" s="44"/>
      <c r="C495" s="91"/>
      <c r="D495" s="139"/>
      <c r="E495" s="44"/>
      <c r="F495" s="122"/>
      <c r="G495" s="123"/>
      <c r="H495" s="44"/>
      <c r="I495" s="93"/>
      <c r="J495" s="44"/>
      <c r="K495" s="44"/>
      <c r="L495" s="93"/>
      <c r="M495" s="124"/>
      <c r="N495" s="44"/>
      <c r="O495" s="92"/>
      <c r="P495" s="110"/>
      <c r="Q495" s="44"/>
      <c r="R495" s="92"/>
      <c r="S495" s="125"/>
      <c r="T495" s="44"/>
      <c r="U495" s="92"/>
      <c r="V495" s="44"/>
      <c r="W495" s="44"/>
      <c r="X495" s="92"/>
      <c r="Y495" s="44"/>
      <c r="Z495" s="44"/>
      <c r="AA495" s="91"/>
    </row>
    <row r="496" spans="1:27" x14ac:dyDescent="0.2">
      <c r="A496" s="87"/>
      <c r="B496" s="87"/>
      <c r="C496" s="88"/>
      <c r="D496" s="138"/>
      <c r="E496" s="87"/>
      <c r="F496" s="118"/>
      <c r="G496" s="119"/>
      <c r="H496" s="87"/>
      <c r="I496" s="90"/>
      <c r="J496" s="87"/>
      <c r="K496" s="87"/>
      <c r="L496" s="90"/>
      <c r="M496" s="120"/>
      <c r="N496" s="87"/>
      <c r="O496" s="89"/>
      <c r="P496" s="87"/>
      <c r="Q496" s="87"/>
      <c r="R496" s="89"/>
      <c r="S496" s="121"/>
      <c r="T496" s="87"/>
      <c r="U496" s="89"/>
      <c r="V496" s="87"/>
      <c r="W496" s="87"/>
      <c r="X496" s="89"/>
      <c r="Y496" s="87"/>
      <c r="Z496" s="87"/>
      <c r="AA496" s="88"/>
    </row>
    <row r="497" spans="1:27" x14ac:dyDescent="0.2">
      <c r="A497" s="44"/>
      <c r="B497" s="44"/>
      <c r="C497" s="91"/>
      <c r="D497" s="139"/>
      <c r="E497" s="44"/>
      <c r="F497" s="122"/>
      <c r="G497" s="123"/>
      <c r="H497" s="44"/>
      <c r="I497" s="93"/>
      <c r="J497" s="44"/>
      <c r="K497" s="44"/>
      <c r="L497" s="93"/>
      <c r="M497" s="124"/>
      <c r="N497" s="44"/>
      <c r="O497" s="92"/>
      <c r="P497" s="110"/>
      <c r="Q497" s="44"/>
      <c r="R497" s="92"/>
      <c r="S497" s="125"/>
      <c r="T497" s="44"/>
      <c r="U497" s="92"/>
      <c r="V497" s="44"/>
      <c r="W497" s="44"/>
      <c r="X497" s="92"/>
      <c r="Y497" s="44"/>
      <c r="Z497" s="44"/>
      <c r="AA497" s="91"/>
    </row>
    <row r="498" spans="1:27" x14ac:dyDescent="0.2">
      <c r="A498" s="41"/>
      <c r="B498" s="41"/>
      <c r="C498" s="94"/>
      <c r="D498" s="140"/>
      <c r="E498" s="41"/>
      <c r="F498" s="126"/>
      <c r="G498" s="127"/>
      <c r="H498" s="41"/>
      <c r="I498" s="95"/>
      <c r="J498" s="41"/>
      <c r="K498" s="41"/>
      <c r="L498" s="95"/>
      <c r="M498" s="128"/>
      <c r="N498" s="41"/>
      <c r="O498" s="42"/>
      <c r="P498" s="52"/>
      <c r="Q498" s="41"/>
      <c r="R498" s="42"/>
      <c r="S498" s="129"/>
      <c r="T498" s="41"/>
      <c r="U498" s="42"/>
      <c r="V498" s="41"/>
      <c r="W498" s="41"/>
      <c r="X498" s="42"/>
      <c r="Y498" s="41"/>
      <c r="Z498" s="41"/>
      <c r="AA498" s="94"/>
    </row>
    <row r="499" spans="1:27" x14ac:dyDescent="0.2">
      <c r="A499" s="44"/>
      <c r="B499" s="44"/>
      <c r="C499" s="91"/>
      <c r="D499" s="139"/>
      <c r="E499" s="44"/>
      <c r="F499" s="122"/>
      <c r="G499" s="123"/>
      <c r="H499" s="44"/>
      <c r="I499" s="93"/>
      <c r="J499" s="44"/>
      <c r="K499" s="44"/>
      <c r="L499" s="93"/>
      <c r="M499" s="124"/>
      <c r="N499" s="44"/>
      <c r="O499" s="92"/>
      <c r="P499" s="110"/>
      <c r="Q499" s="44"/>
      <c r="R499" s="92"/>
      <c r="S499" s="125"/>
      <c r="T499" s="44"/>
      <c r="U499" s="92"/>
      <c r="V499" s="44"/>
      <c r="W499" s="44"/>
      <c r="X499" s="92"/>
      <c r="Y499" s="44"/>
      <c r="Z499" s="44"/>
      <c r="AA499" s="91"/>
    </row>
    <row r="500" spans="1:27" x14ac:dyDescent="0.2">
      <c r="A500" s="41"/>
      <c r="B500" s="41"/>
      <c r="C500" s="94"/>
      <c r="D500" s="140"/>
      <c r="E500" s="41"/>
      <c r="F500" s="126"/>
      <c r="G500" s="127"/>
      <c r="H500" s="41"/>
      <c r="I500" s="95"/>
      <c r="J500" s="41"/>
      <c r="K500" s="41"/>
      <c r="L500" s="95"/>
      <c r="M500" s="128"/>
      <c r="N500" s="41"/>
      <c r="O500" s="42"/>
      <c r="P500" s="52"/>
      <c r="Q500" s="41"/>
      <c r="R500" s="42"/>
      <c r="S500" s="129"/>
      <c r="T500" s="41"/>
      <c r="U500" s="42"/>
      <c r="V500" s="41"/>
      <c r="W500" s="41"/>
      <c r="X500" s="42"/>
      <c r="Y500" s="41"/>
      <c r="Z500" s="41"/>
      <c r="AA500" s="94"/>
    </row>
    <row r="501" spans="1:27" x14ac:dyDescent="0.2">
      <c r="A501" s="44"/>
      <c r="B501" s="44"/>
      <c r="C501" s="91"/>
      <c r="D501" s="139"/>
      <c r="E501" s="44"/>
      <c r="F501" s="122"/>
      <c r="G501" s="123"/>
      <c r="H501" s="44"/>
      <c r="I501" s="93"/>
      <c r="J501" s="44"/>
      <c r="K501" s="44"/>
      <c r="L501" s="93"/>
      <c r="M501" s="124"/>
      <c r="N501" s="44"/>
      <c r="O501" s="92"/>
      <c r="P501" s="110"/>
      <c r="Q501" s="44"/>
      <c r="R501" s="92"/>
      <c r="S501" s="125"/>
      <c r="T501" s="44"/>
      <c r="U501" s="92"/>
      <c r="V501" s="44"/>
      <c r="W501" s="44"/>
      <c r="X501" s="92"/>
      <c r="Y501" s="44"/>
      <c r="Z501" s="44"/>
      <c r="AA501" s="91"/>
    </row>
    <row r="502" spans="1:27" x14ac:dyDescent="0.2">
      <c r="A502" s="41"/>
      <c r="B502" s="41"/>
      <c r="C502" s="94"/>
      <c r="D502" s="140"/>
      <c r="E502" s="41"/>
      <c r="F502" s="126"/>
      <c r="G502" s="127"/>
      <c r="H502" s="41"/>
      <c r="I502" s="95"/>
      <c r="J502" s="41"/>
      <c r="K502" s="41"/>
      <c r="L502" s="95"/>
      <c r="M502" s="128"/>
      <c r="N502" s="41"/>
      <c r="O502" s="42"/>
      <c r="P502" s="52"/>
      <c r="Q502" s="41"/>
      <c r="R502" s="42"/>
      <c r="S502" s="129"/>
      <c r="T502" s="41"/>
      <c r="U502" s="42"/>
      <c r="V502" s="41"/>
      <c r="W502" s="41"/>
      <c r="X502" s="42"/>
      <c r="Y502" s="41"/>
      <c r="Z502" s="41"/>
      <c r="AA502" s="94"/>
    </row>
    <row r="503" spans="1:27" x14ac:dyDescent="0.2">
      <c r="A503" s="44"/>
      <c r="B503" s="44"/>
      <c r="C503" s="91"/>
      <c r="D503" s="139"/>
      <c r="E503" s="44"/>
      <c r="F503" s="122"/>
      <c r="G503" s="123"/>
      <c r="H503" s="44"/>
      <c r="I503" s="93"/>
      <c r="J503" s="44"/>
      <c r="K503" s="44"/>
      <c r="L503" s="93"/>
      <c r="M503" s="124"/>
      <c r="N503" s="44"/>
      <c r="O503" s="92"/>
      <c r="P503" s="110"/>
      <c r="Q503" s="44"/>
      <c r="R503" s="92"/>
      <c r="S503" s="125"/>
      <c r="T503" s="44"/>
      <c r="U503" s="92"/>
      <c r="V503" s="44"/>
      <c r="W503" s="44"/>
      <c r="X503" s="92"/>
      <c r="Y503" s="44"/>
      <c r="Z503" s="44"/>
      <c r="AA503" s="91"/>
    </row>
    <row r="504" spans="1:27" x14ac:dyDescent="0.2">
      <c r="A504" s="41"/>
      <c r="B504" s="41"/>
      <c r="C504" s="94"/>
      <c r="D504" s="140"/>
      <c r="E504" s="41"/>
      <c r="F504" s="126"/>
      <c r="G504" s="127"/>
      <c r="H504" s="41"/>
      <c r="I504" s="95"/>
      <c r="J504" s="41"/>
      <c r="K504" s="41"/>
      <c r="L504" s="95"/>
      <c r="M504" s="128"/>
      <c r="N504" s="41"/>
      <c r="O504" s="42"/>
      <c r="P504" s="52"/>
      <c r="Q504" s="41"/>
      <c r="R504" s="42"/>
      <c r="S504" s="129"/>
      <c r="T504" s="41"/>
      <c r="U504" s="42"/>
      <c r="V504" s="41"/>
      <c r="W504" s="41"/>
      <c r="X504" s="42"/>
      <c r="Y504" s="41"/>
      <c r="Z504" s="41"/>
      <c r="AA504" s="94"/>
    </row>
    <row r="505" spans="1:27" x14ac:dyDescent="0.2">
      <c r="A505" s="44"/>
      <c r="B505" s="44"/>
      <c r="C505" s="91"/>
      <c r="D505" s="139"/>
      <c r="E505" s="44"/>
      <c r="F505" s="122"/>
      <c r="G505" s="123"/>
      <c r="H505" s="44"/>
      <c r="I505" s="93"/>
      <c r="J505" s="44"/>
      <c r="K505" s="44"/>
      <c r="L505" s="93"/>
      <c r="M505" s="124"/>
      <c r="N505" s="44"/>
      <c r="O505" s="92"/>
      <c r="P505" s="110"/>
      <c r="Q505" s="44"/>
      <c r="R505" s="92"/>
      <c r="S505" s="125"/>
      <c r="T505" s="44"/>
      <c r="U505" s="92"/>
      <c r="V505" s="44"/>
      <c r="W505" s="44"/>
      <c r="X505" s="92"/>
      <c r="Y505" s="44"/>
      <c r="Z505" s="44"/>
      <c r="AA505" s="91"/>
    </row>
    <row r="506" spans="1:27" x14ac:dyDescent="0.2">
      <c r="A506" s="41"/>
      <c r="B506" s="41"/>
      <c r="C506" s="94"/>
      <c r="D506" s="140"/>
      <c r="E506" s="41"/>
      <c r="F506" s="126"/>
      <c r="G506" s="127"/>
      <c r="H506" s="41"/>
      <c r="I506" s="95"/>
      <c r="J506" s="41"/>
      <c r="K506" s="41"/>
      <c r="L506" s="95"/>
      <c r="M506" s="128"/>
      <c r="N506" s="41"/>
      <c r="O506" s="42"/>
      <c r="P506" s="52"/>
      <c r="Q506" s="41"/>
      <c r="R506" s="42"/>
      <c r="S506" s="129"/>
      <c r="T506" s="41"/>
      <c r="U506" s="42"/>
      <c r="V506" s="41"/>
      <c r="W506" s="41"/>
      <c r="X506" s="42"/>
      <c r="Y506" s="41"/>
      <c r="Z506" s="41"/>
      <c r="AA506" s="94"/>
    </row>
    <row r="507" spans="1:27" x14ac:dyDescent="0.2">
      <c r="A507" s="44"/>
      <c r="B507" s="44"/>
      <c r="C507" s="91"/>
      <c r="D507" s="139"/>
      <c r="E507" s="44"/>
      <c r="F507" s="122"/>
      <c r="G507" s="123"/>
      <c r="H507" s="44"/>
      <c r="I507" s="93"/>
      <c r="J507" s="44"/>
      <c r="K507" s="44"/>
      <c r="L507" s="93"/>
      <c r="M507" s="124"/>
      <c r="N507" s="44"/>
      <c r="O507" s="92"/>
      <c r="P507" s="110"/>
      <c r="Q507" s="44"/>
      <c r="R507" s="92"/>
      <c r="S507" s="125"/>
      <c r="T507" s="44"/>
      <c r="U507" s="92"/>
      <c r="V507" s="44"/>
      <c r="W507" s="44"/>
      <c r="X507" s="92"/>
      <c r="Y507" s="44"/>
      <c r="Z507" s="44"/>
      <c r="AA507" s="91"/>
    </row>
    <row r="508" spans="1:27" x14ac:dyDescent="0.2">
      <c r="A508" s="41"/>
      <c r="B508" s="41"/>
      <c r="C508" s="94"/>
      <c r="D508" s="140"/>
      <c r="E508" s="41"/>
      <c r="F508" s="126"/>
      <c r="G508" s="127"/>
      <c r="H508" s="41"/>
      <c r="I508" s="95"/>
      <c r="J508" s="41"/>
      <c r="K508" s="41"/>
      <c r="L508" s="95"/>
      <c r="M508" s="128"/>
      <c r="N508" s="41"/>
      <c r="O508" s="42"/>
      <c r="P508" s="52"/>
      <c r="Q508" s="41"/>
      <c r="R508" s="42"/>
      <c r="S508" s="129"/>
      <c r="T508" s="41"/>
      <c r="U508" s="42"/>
      <c r="V508" s="41"/>
      <c r="W508" s="41"/>
      <c r="X508" s="42"/>
      <c r="Y508" s="41"/>
      <c r="Z508" s="41"/>
      <c r="AA508" s="94"/>
    </row>
    <row r="509" spans="1:27" x14ac:dyDescent="0.2">
      <c r="A509" s="44"/>
      <c r="B509" s="44"/>
      <c r="C509" s="91"/>
      <c r="D509" s="139"/>
      <c r="E509" s="44"/>
      <c r="F509" s="122"/>
      <c r="G509" s="123"/>
      <c r="H509" s="44"/>
      <c r="I509" s="93"/>
      <c r="J509" s="44"/>
      <c r="K509" s="44"/>
      <c r="L509" s="93"/>
      <c r="M509" s="124"/>
      <c r="N509" s="44"/>
      <c r="O509" s="92"/>
      <c r="P509" s="110"/>
      <c r="Q509" s="44"/>
      <c r="R509" s="92"/>
      <c r="S509" s="125"/>
      <c r="T509" s="44"/>
      <c r="U509" s="92"/>
      <c r="V509" s="44"/>
      <c r="W509" s="44"/>
      <c r="X509" s="92"/>
      <c r="Y509" s="44"/>
      <c r="Z509" s="44"/>
      <c r="AA509" s="91"/>
    </row>
    <row r="510" spans="1:27" x14ac:dyDescent="0.2">
      <c r="A510" s="41"/>
      <c r="B510" s="41"/>
      <c r="C510" s="94"/>
      <c r="D510" s="140"/>
      <c r="E510" s="41"/>
      <c r="F510" s="126"/>
      <c r="G510" s="127"/>
      <c r="H510" s="41"/>
      <c r="I510" s="95"/>
      <c r="J510" s="41"/>
      <c r="K510" s="41"/>
      <c r="L510" s="95"/>
      <c r="M510" s="128"/>
      <c r="N510" s="41"/>
      <c r="O510" s="42"/>
      <c r="P510" s="52"/>
      <c r="Q510" s="41"/>
      <c r="R510" s="42"/>
      <c r="S510" s="129"/>
      <c r="T510" s="41"/>
      <c r="U510" s="42"/>
      <c r="V510" s="41"/>
      <c r="W510" s="41"/>
      <c r="X510" s="42"/>
      <c r="Y510" s="41"/>
      <c r="Z510" s="41"/>
      <c r="AA510" s="94"/>
    </row>
    <row r="511" spans="1:27" x14ac:dyDescent="0.2">
      <c r="A511" s="44"/>
      <c r="B511" s="44"/>
      <c r="C511" s="91"/>
      <c r="D511" s="139"/>
      <c r="E511" s="44"/>
      <c r="F511" s="122"/>
      <c r="G511" s="123"/>
      <c r="H511" s="44"/>
      <c r="I511" s="93"/>
      <c r="J511" s="44"/>
      <c r="K511" s="44"/>
      <c r="L511" s="93"/>
      <c r="M511" s="124"/>
      <c r="N511" s="44"/>
      <c r="O511" s="92"/>
      <c r="P511" s="110"/>
      <c r="Q511" s="44"/>
      <c r="R511" s="92"/>
      <c r="S511" s="125"/>
      <c r="T511" s="44"/>
      <c r="U511" s="92"/>
      <c r="V511" s="44"/>
      <c r="W511" s="44"/>
      <c r="X511" s="92"/>
      <c r="Y511" s="44"/>
      <c r="Z511" s="44"/>
      <c r="AA511" s="91"/>
    </row>
    <row r="512" spans="1:27" x14ac:dyDescent="0.2">
      <c r="A512" s="41"/>
      <c r="B512" s="41"/>
      <c r="C512" s="94"/>
      <c r="D512" s="140"/>
      <c r="E512" s="41"/>
      <c r="F512" s="126"/>
      <c r="G512" s="127"/>
      <c r="H512" s="41"/>
      <c r="I512" s="95"/>
      <c r="J512" s="41"/>
      <c r="K512" s="41"/>
      <c r="L512" s="95"/>
      <c r="M512" s="128"/>
      <c r="N512" s="41"/>
      <c r="O512" s="42"/>
      <c r="P512" s="52"/>
      <c r="Q512" s="41"/>
      <c r="R512" s="42"/>
      <c r="S512" s="129"/>
      <c r="T512" s="41"/>
      <c r="U512" s="42"/>
      <c r="V512" s="41"/>
      <c r="W512" s="41"/>
      <c r="X512" s="42"/>
      <c r="Y512" s="41"/>
      <c r="Z512" s="41"/>
      <c r="AA512" s="94"/>
    </row>
    <row r="513" spans="1:27" x14ac:dyDescent="0.2">
      <c r="A513" s="44"/>
      <c r="B513" s="44"/>
      <c r="C513" s="91"/>
      <c r="D513" s="139"/>
      <c r="E513" s="44"/>
      <c r="F513" s="122"/>
      <c r="G513" s="123"/>
      <c r="H513" s="44"/>
      <c r="I513" s="93"/>
      <c r="J513" s="44"/>
      <c r="K513" s="44"/>
      <c r="L513" s="93"/>
      <c r="M513" s="124"/>
      <c r="N513" s="44"/>
      <c r="O513" s="92"/>
      <c r="P513" s="110"/>
      <c r="Q513" s="44"/>
      <c r="R513" s="92"/>
      <c r="S513" s="125"/>
      <c r="T513" s="44"/>
      <c r="U513" s="92"/>
      <c r="V513" s="44"/>
      <c r="W513" s="44"/>
      <c r="X513" s="92"/>
      <c r="Y513" s="44"/>
      <c r="Z513" s="44"/>
      <c r="AA513" s="91"/>
    </row>
    <row r="514" spans="1:27" x14ac:dyDescent="0.2">
      <c r="A514" s="41"/>
      <c r="B514" s="41"/>
      <c r="C514" s="94"/>
      <c r="D514" s="140"/>
      <c r="E514" s="41"/>
      <c r="F514" s="127"/>
      <c r="G514" s="127"/>
      <c r="H514" s="41"/>
      <c r="I514" s="95"/>
      <c r="J514" s="41"/>
      <c r="K514" s="41"/>
      <c r="L514" s="95"/>
      <c r="M514" s="128"/>
      <c r="N514" s="41"/>
      <c r="O514" s="42"/>
      <c r="P514" s="52"/>
      <c r="Q514" s="41"/>
      <c r="R514" s="42"/>
      <c r="S514" s="129"/>
      <c r="T514" s="41"/>
      <c r="U514" s="42"/>
      <c r="V514" s="41"/>
      <c r="W514" s="41"/>
      <c r="X514" s="42"/>
      <c r="Y514" s="41"/>
      <c r="Z514" s="41"/>
      <c r="AA514" s="94"/>
    </row>
    <row r="515" spans="1:27" x14ac:dyDescent="0.2">
      <c r="A515" s="44"/>
      <c r="B515" s="44"/>
      <c r="C515" s="91"/>
      <c r="D515" s="139"/>
      <c r="E515" s="44"/>
      <c r="F515" s="122"/>
      <c r="G515" s="123"/>
      <c r="H515" s="44"/>
      <c r="I515" s="93"/>
      <c r="J515" s="44"/>
      <c r="K515" s="44"/>
      <c r="L515" s="93"/>
      <c r="M515" s="124"/>
      <c r="N515" s="44"/>
      <c r="O515" s="92"/>
      <c r="P515" s="110"/>
      <c r="Q515" s="44"/>
      <c r="R515" s="92"/>
      <c r="S515" s="125"/>
      <c r="T515" s="44"/>
      <c r="U515" s="92"/>
      <c r="V515" s="44"/>
      <c r="W515" s="44"/>
      <c r="X515" s="92"/>
      <c r="Y515" s="44"/>
      <c r="Z515" s="44"/>
      <c r="AA515" s="91"/>
    </row>
    <row r="516" spans="1:27" x14ac:dyDescent="0.2">
      <c r="A516" s="41"/>
      <c r="B516" s="41"/>
      <c r="C516" s="94"/>
      <c r="D516" s="140"/>
      <c r="E516" s="41"/>
      <c r="F516" s="126"/>
      <c r="G516" s="127"/>
      <c r="H516" s="41"/>
      <c r="I516" s="95"/>
      <c r="J516" s="41"/>
      <c r="K516" s="41"/>
      <c r="L516" s="95"/>
      <c r="M516" s="128"/>
      <c r="N516" s="41"/>
      <c r="O516" s="42"/>
      <c r="P516" s="52"/>
      <c r="Q516" s="41"/>
      <c r="R516" s="42"/>
      <c r="S516" s="129"/>
      <c r="T516" s="41"/>
      <c r="U516" s="42"/>
      <c r="V516" s="41"/>
      <c r="W516" s="41"/>
      <c r="X516" s="42"/>
      <c r="Y516" s="41"/>
      <c r="Z516" s="41"/>
      <c r="AA516" s="94"/>
    </row>
    <row r="517" spans="1:27" x14ac:dyDescent="0.2">
      <c r="A517" s="44"/>
      <c r="B517" s="44"/>
      <c r="C517" s="91"/>
      <c r="D517" s="139"/>
      <c r="E517" s="44"/>
      <c r="F517" s="122"/>
      <c r="G517" s="123"/>
      <c r="H517" s="44"/>
      <c r="I517" s="93"/>
      <c r="J517" s="44"/>
      <c r="K517" s="44"/>
      <c r="L517" s="93"/>
      <c r="M517" s="124"/>
      <c r="N517" s="44"/>
      <c r="O517" s="92"/>
      <c r="P517" s="110"/>
      <c r="Q517" s="44"/>
      <c r="R517" s="92"/>
      <c r="S517" s="125"/>
      <c r="T517" s="44"/>
      <c r="U517" s="92"/>
      <c r="V517" s="44"/>
      <c r="W517" s="44"/>
      <c r="X517" s="92"/>
      <c r="Y517" s="44"/>
      <c r="Z517" s="44"/>
      <c r="AA517" s="91"/>
    </row>
    <row r="518" spans="1:27" x14ac:dyDescent="0.2">
      <c r="A518" s="41"/>
      <c r="B518" s="41"/>
      <c r="C518" s="94"/>
      <c r="D518" s="140"/>
      <c r="E518" s="41"/>
      <c r="F518" s="126"/>
      <c r="G518" s="127"/>
      <c r="H518" s="41"/>
      <c r="I518" s="95"/>
      <c r="J518" s="41"/>
      <c r="K518" s="41"/>
      <c r="L518" s="95"/>
      <c r="M518" s="128"/>
      <c r="N518" s="41"/>
      <c r="O518" s="42"/>
      <c r="P518" s="52"/>
      <c r="Q518" s="41"/>
      <c r="R518" s="42"/>
      <c r="S518" s="129"/>
      <c r="T518" s="41"/>
      <c r="U518" s="42"/>
      <c r="V518" s="41"/>
      <c r="W518" s="41"/>
      <c r="X518" s="42"/>
      <c r="Y518" s="41"/>
      <c r="Z518" s="41"/>
      <c r="AA518" s="94"/>
    </row>
    <row r="519" spans="1:27" x14ac:dyDescent="0.2">
      <c r="A519" s="44"/>
      <c r="B519" s="44"/>
      <c r="C519" s="91"/>
      <c r="D519" s="139"/>
      <c r="E519" s="44"/>
      <c r="F519" s="122"/>
      <c r="G519" s="123"/>
      <c r="H519" s="44"/>
      <c r="I519" s="93"/>
      <c r="J519" s="44"/>
      <c r="K519" s="44"/>
      <c r="L519" s="93"/>
      <c r="M519" s="124"/>
      <c r="N519" s="44"/>
      <c r="O519" s="92"/>
      <c r="P519" s="110"/>
      <c r="Q519" s="44"/>
      <c r="R519" s="92"/>
      <c r="S519" s="125"/>
      <c r="T519" s="44"/>
      <c r="U519" s="92"/>
      <c r="V519" s="44"/>
      <c r="W519" s="44"/>
      <c r="X519" s="92"/>
      <c r="Y519" s="44"/>
      <c r="Z519" s="44"/>
      <c r="AA519" s="91"/>
    </row>
    <row r="520" spans="1:27" x14ac:dyDescent="0.2">
      <c r="A520" s="41"/>
      <c r="B520" s="41"/>
      <c r="C520" s="94"/>
      <c r="D520" s="140"/>
      <c r="E520" s="41"/>
      <c r="F520" s="126"/>
      <c r="G520" s="127"/>
      <c r="H520" s="41"/>
      <c r="I520" s="95"/>
      <c r="J520" s="41"/>
      <c r="K520" s="41"/>
      <c r="L520" s="95"/>
      <c r="M520" s="128"/>
      <c r="N520" s="41"/>
      <c r="O520" s="42"/>
      <c r="P520" s="52"/>
      <c r="Q520" s="41"/>
      <c r="R520" s="42"/>
      <c r="S520" s="129"/>
      <c r="T520" s="41"/>
      <c r="U520" s="42"/>
      <c r="V520" s="41"/>
      <c r="W520" s="41"/>
      <c r="X520" s="42"/>
      <c r="Y520" s="41"/>
      <c r="Z520" s="41"/>
      <c r="AA520" s="94"/>
    </row>
    <row r="521" spans="1:27" x14ac:dyDescent="0.2">
      <c r="A521" s="44"/>
      <c r="B521" s="44"/>
      <c r="C521" s="91"/>
      <c r="D521" s="139"/>
      <c r="E521" s="44"/>
      <c r="F521" s="122"/>
      <c r="G521" s="123"/>
      <c r="H521" s="44"/>
      <c r="I521" s="93"/>
      <c r="J521" s="44"/>
      <c r="K521" s="44"/>
      <c r="L521" s="93"/>
      <c r="M521" s="124"/>
      <c r="N521" s="44"/>
      <c r="O521" s="92"/>
      <c r="P521" s="110"/>
      <c r="Q521" s="44"/>
      <c r="R521" s="92"/>
      <c r="S521" s="125"/>
      <c r="T521" s="44"/>
      <c r="U521" s="92"/>
      <c r="V521" s="44"/>
      <c r="W521" s="44"/>
      <c r="X521" s="92"/>
      <c r="Y521" s="44"/>
      <c r="Z521" s="44"/>
      <c r="AA521" s="91"/>
    </row>
    <row r="522" spans="1:27" x14ac:dyDescent="0.2">
      <c r="A522" s="96"/>
      <c r="B522" s="44"/>
      <c r="C522" s="91"/>
      <c r="D522" s="139"/>
      <c r="E522" s="44"/>
      <c r="F522" s="122"/>
      <c r="G522" s="123"/>
      <c r="H522" s="44"/>
      <c r="I522" s="93"/>
      <c r="J522" s="44"/>
      <c r="K522" s="44"/>
      <c r="L522" s="93"/>
      <c r="M522" s="124"/>
      <c r="N522" s="44"/>
      <c r="O522" s="92"/>
      <c r="P522" s="110"/>
      <c r="Q522" s="44"/>
      <c r="R522" s="92"/>
      <c r="S522" s="125"/>
      <c r="T522" s="44"/>
      <c r="U522" s="92"/>
      <c r="V522" s="44"/>
      <c r="W522" s="44"/>
      <c r="X522" s="92"/>
      <c r="Y522" s="96"/>
      <c r="Z522" s="44"/>
      <c r="AA522" s="91"/>
    </row>
    <row r="523" spans="1:27" x14ac:dyDescent="0.2">
      <c r="A523" s="97"/>
      <c r="B523" s="41"/>
      <c r="C523" s="94"/>
      <c r="D523" s="140"/>
      <c r="E523" s="41"/>
      <c r="F523" s="126"/>
      <c r="G523" s="127"/>
      <c r="H523" s="41"/>
      <c r="I523" s="95"/>
      <c r="J523" s="41"/>
      <c r="K523" s="41"/>
      <c r="L523" s="95"/>
      <c r="M523" s="128"/>
      <c r="N523" s="41"/>
      <c r="O523" s="42"/>
      <c r="P523" s="52"/>
      <c r="Q523" s="41"/>
      <c r="R523" s="42"/>
      <c r="S523" s="129"/>
      <c r="T523" s="41"/>
      <c r="U523" s="42"/>
      <c r="V523" s="41"/>
      <c r="W523" s="41"/>
      <c r="X523" s="42"/>
      <c r="Y523" s="97"/>
      <c r="Z523" s="41"/>
      <c r="AA523" s="94"/>
    </row>
    <row r="524" spans="1:27" x14ac:dyDescent="0.2">
      <c r="A524" s="96"/>
      <c r="B524" s="44"/>
      <c r="C524" s="91"/>
      <c r="D524" s="139"/>
      <c r="E524" s="44"/>
      <c r="F524" s="122"/>
      <c r="G524" s="123"/>
      <c r="H524" s="44"/>
      <c r="I524" s="93"/>
      <c r="J524" s="44"/>
      <c r="K524" s="44"/>
      <c r="L524" s="93"/>
      <c r="M524" s="124"/>
      <c r="N524" s="44"/>
      <c r="O524" s="92"/>
      <c r="P524" s="110"/>
      <c r="Q524" s="44"/>
      <c r="R524" s="92"/>
      <c r="S524" s="125"/>
      <c r="T524" s="44"/>
      <c r="U524" s="92"/>
      <c r="V524" s="44"/>
      <c r="W524" s="44"/>
      <c r="X524" s="92"/>
      <c r="Y524" s="96"/>
      <c r="Z524" s="44"/>
      <c r="AA524" s="91"/>
    </row>
    <row r="525" spans="1:27" x14ac:dyDescent="0.2">
      <c r="A525" s="97"/>
      <c r="B525" s="41"/>
      <c r="C525" s="94"/>
      <c r="D525" s="140"/>
      <c r="E525" s="41"/>
      <c r="F525" s="126"/>
      <c r="G525" s="127"/>
      <c r="H525" s="41"/>
      <c r="I525" s="95"/>
      <c r="J525" s="41"/>
      <c r="K525" s="41"/>
      <c r="L525" s="95"/>
      <c r="M525" s="128"/>
      <c r="N525" s="41"/>
      <c r="O525" s="42"/>
      <c r="P525" s="52"/>
      <c r="Q525" s="41"/>
      <c r="R525" s="42"/>
      <c r="S525" s="129"/>
      <c r="T525" s="41"/>
      <c r="U525" s="42"/>
      <c r="V525" s="41"/>
      <c r="W525" s="41"/>
      <c r="X525" s="42"/>
      <c r="Y525" s="97"/>
      <c r="Z525" s="41"/>
      <c r="AA525" s="94"/>
    </row>
    <row r="526" spans="1:27" x14ac:dyDescent="0.2">
      <c r="A526" s="97"/>
      <c r="B526" s="41"/>
      <c r="C526" s="94"/>
      <c r="D526" s="140"/>
      <c r="E526" s="41"/>
      <c r="F526" s="126"/>
      <c r="G526" s="127"/>
      <c r="H526" s="41"/>
      <c r="I526" s="95"/>
      <c r="J526" s="41"/>
      <c r="K526" s="41"/>
      <c r="L526" s="95"/>
      <c r="M526" s="128"/>
      <c r="N526" s="41"/>
      <c r="O526" s="42"/>
      <c r="P526" s="52"/>
      <c r="Q526" s="41"/>
      <c r="R526" s="42"/>
      <c r="S526" s="129"/>
      <c r="T526" s="41"/>
      <c r="U526" s="42"/>
      <c r="V526" s="41"/>
      <c r="W526" s="41"/>
      <c r="X526" s="42"/>
      <c r="Y526" s="97"/>
      <c r="Z526" s="41"/>
      <c r="AA526" s="94"/>
    </row>
    <row r="527" spans="1:27" x14ac:dyDescent="0.2">
      <c r="A527" s="97"/>
      <c r="B527" s="41"/>
      <c r="C527" s="94"/>
      <c r="D527" s="140"/>
      <c r="E527" s="41"/>
      <c r="F527" s="126"/>
      <c r="G527" s="127"/>
      <c r="H527" s="41"/>
      <c r="I527" s="95"/>
      <c r="J527" s="41"/>
      <c r="K527" s="41"/>
      <c r="L527" s="95"/>
      <c r="M527" s="128"/>
      <c r="N527" s="41"/>
      <c r="O527" s="42"/>
      <c r="P527" s="52"/>
      <c r="Q527" s="41"/>
      <c r="R527" s="42"/>
      <c r="S527" s="129"/>
      <c r="T527" s="41"/>
      <c r="U527" s="42"/>
      <c r="V527" s="41"/>
      <c r="W527" s="41"/>
      <c r="X527" s="42"/>
      <c r="Y527" s="97"/>
      <c r="Z527" s="41"/>
      <c r="AA527" s="94"/>
    </row>
    <row r="528" spans="1:27" x14ac:dyDescent="0.2">
      <c r="A528" s="97"/>
      <c r="B528" s="41"/>
      <c r="C528" s="94"/>
      <c r="D528" s="140"/>
      <c r="E528" s="41"/>
      <c r="F528" s="126"/>
      <c r="G528" s="127"/>
      <c r="H528" s="41"/>
      <c r="I528" s="95"/>
      <c r="J528" s="41"/>
      <c r="K528" s="41"/>
      <c r="L528" s="95"/>
      <c r="M528" s="128"/>
      <c r="N528" s="41"/>
      <c r="O528" s="42"/>
      <c r="P528" s="52"/>
      <c r="Q528" s="41"/>
      <c r="R528" s="42"/>
      <c r="S528" s="129"/>
      <c r="T528" s="41"/>
      <c r="U528" s="42"/>
      <c r="V528" s="41"/>
      <c r="W528" s="41"/>
      <c r="X528" s="42"/>
      <c r="Y528" s="97"/>
      <c r="Z528" s="41"/>
      <c r="AA528" s="94"/>
    </row>
    <row r="529" spans="1:27" x14ac:dyDescent="0.2">
      <c r="A529" s="96"/>
      <c r="B529" s="44"/>
      <c r="C529" s="91"/>
      <c r="D529" s="139"/>
      <c r="E529" s="44"/>
      <c r="F529" s="122"/>
      <c r="G529" s="123"/>
      <c r="H529" s="44"/>
      <c r="I529" s="93"/>
      <c r="J529" s="44"/>
      <c r="K529" s="44"/>
      <c r="L529" s="93"/>
      <c r="M529" s="124"/>
      <c r="N529" s="44"/>
      <c r="O529" s="92"/>
      <c r="P529" s="110"/>
      <c r="Q529" s="44"/>
      <c r="R529" s="92"/>
      <c r="S529" s="125"/>
      <c r="T529" s="44"/>
      <c r="U529" s="92"/>
      <c r="V529" s="44"/>
      <c r="W529" s="44"/>
      <c r="X529" s="92"/>
      <c r="Y529" s="96"/>
      <c r="Z529" s="44"/>
      <c r="AA529" s="91"/>
    </row>
    <row r="530" spans="1:27" x14ac:dyDescent="0.2">
      <c r="A530" s="96"/>
      <c r="B530" s="44"/>
      <c r="C530" s="91"/>
      <c r="D530" s="139"/>
      <c r="E530" s="44"/>
      <c r="F530" s="122"/>
      <c r="G530" s="123"/>
      <c r="H530" s="44"/>
      <c r="I530" s="93"/>
      <c r="J530" s="44"/>
      <c r="K530" s="44"/>
      <c r="L530" s="93"/>
      <c r="M530" s="124"/>
      <c r="N530" s="44"/>
      <c r="O530" s="92"/>
      <c r="P530" s="110"/>
      <c r="Q530" s="44"/>
      <c r="R530" s="92"/>
      <c r="S530" s="125"/>
      <c r="T530" s="44"/>
      <c r="U530" s="92"/>
      <c r="V530" s="44"/>
      <c r="W530" s="44"/>
      <c r="X530" s="92"/>
      <c r="Y530" s="96"/>
      <c r="Z530" s="44"/>
      <c r="AA530" s="91"/>
    </row>
    <row r="531" spans="1:27" x14ac:dyDescent="0.2">
      <c r="A531" s="96"/>
      <c r="B531" s="44"/>
      <c r="C531" s="91"/>
      <c r="D531" s="139"/>
      <c r="E531" s="44"/>
      <c r="F531" s="122"/>
      <c r="G531" s="123"/>
      <c r="H531" s="44"/>
      <c r="I531" s="93"/>
      <c r="J531" s="44"/>
      <c r="K531" s="44"/>
      <c r="L531" s="93"/>
      <c r="M531" s="124"/>
      <c r="N531" s="44"/>
      <c r="O531" s="92"/>
      <c r="P531" s="110"/>
      <c r="Q531" s="44"/>
      <c r="R531" s="92"/>
      <c r="S531" s="125"/>
      <c r="T531" s="44"/>
      <c r="U531" s="92"/>
      <c r="V531" s="44"/>
      <c r="W531" s="44"/>
      <c r="X531" s="92"/>
      <c r="Y531" s="96"/>
      <c r="Z531" s="44"/>
      <c r="AA531" s="91"/>
    </row>
    <row r="532" spans="1:27" x14ac:dyDescent="0.2">
      <c r="A532" s="96"/>
      <c r="B532" s="44"/>
      <c r="C532" s="91"/>
      <c r="D532" s="139"/>
      <c r="E532" s="44"/>
      <c r="F532" s="122"/>
      <c r="G532" s="123"/>
      <c r="H532" s="44"/>
      <c r="I532" s="93"/>
      <c r="J532" s="44"/>
      <c r="K532" s="44"/>
      <c r="L532" s="93"/>
      <c r="M532" s="124"/>
      <c r="N532" s="44"/>
      <c r="O532" s="92"/>
      <c r="P532" s="110"/>
      <c r="Q532" s="44"/>
      <c r="R532" s="92"/>
      <c r="S532" s="125"/>
      <c r="T532" s="44"/>
      <c r="U532" s="92"/>
      <c r="V532" s="44"/>
      <c r="W532" s="44"/>
      <c r="X532" s="92"/>
      <c r="Y532" s="96"/>
      <c r="Z532" s="44"/>
      <c r="AA532" s="91"/>
    </row>
    <row r="533" spans="1:27" x14ac:dyDescent="0.2">
      <c r="A533" s="96"/>
      <c r="B533" s="44"/>
      <c r="C533" s="91"/>
      <c r="D533" s="139"/>
      <c r="E533" s="44"/>
      <c r="F533" s="122"/>
      <c r="G533" s="123"/>
      <c r="H533" s="44"/>
      <c r="I533" s="93"/>
      <c r="J533" s="44"/>
      <c r="K533" s="44"/>
      <c r="L533" s="93"/>
      <c r="M533" s="124"/>
      <c r="N533" s="44"/>
      <c r="O533" s="92"/>
      <c r="P533" s="110"/>
      <c r="Q533" s="44"/>
      <c r="R533" s="92"/>
      <c r="S533" s="125"/>
      <c r="T533" s="44"/>
      <c r="U533" s="92"/>
      <c r="V533" s="44"/>
      <c r="W533" s="44"/>
      <c r="X533" s="92"/>
      <c r="Y533" s="96"/>
      <c r="Z533" s="44"/>
      <c r="AA533" s="91"/>
    </row>
    <row r="534" spans="1:27" x14ac:dyDescent="0.2">
      <c r="A534" s="97"/>
      <c r="B534" s="41"/>
      <c r="C534" s="94"/>
      <c r="D534" s="140"/>
      <c r="E534" s="41"/>
      <c r="F534" s="126"/>
      <c r="G534" s="127"/>
      <c r="H534" s="41"/>
      <c r="I534" s="95"/>
      <c r="J534" s="41"/>
      <c r="K534" s="41"/>
      <c r="L534" s="95"/>
      <c r="M534" s="128"/>
      <c r="N534" s="41"/>
      <c r="O534" s="42"/>
      <c r="P534" s="52"/>
      <c r="Q534" s="41"/>
      <c r="R534" s="42"/>
      <c r="S534" s="129"/>
      <c r="T534" s="41"/>
      <c r="U534" s="42"/>
      <c r="V534" s="41"/>
      <c r="W534" s="41"/>
      <c r="X534" s="42"/>
      <c r="Y534" s="97"/>
      <c r="Z534" s="41"/>
      <c r="AA534" s="94"/>
    </row>
    <row r="535" spans="1:27" x14ac:dyDescent="0.2">
      <c r="A535" s="96"/>
      <c r="B535" s="44"/>
      <c r="C535" s="91"/>
      <c r="D535" s="139"/>
      <c r="E535" s="44"/>
      <c r="F535" s="122"/>
      <c r="G535" s="123"/>
      <c r="H535" s="44"/>
      <c r="I535" s="93"/>
      <c r="J535" s="44"/>
      <c r="K535" s="44"/>
      <c r="L535" s="93"/>
      <c r="M535" s="124"/>
      <c r="N535" s="44"/>
      <c r="O535" s="92"/>
      <c r="P535" s="110"/>
      <c r="Q535" s="44"/>
      <c r="R535" s="92"/>
      <c r="S535" s="125"/>
      <c r="T535" s="44"/>
      <c r="U535" s="92"/>
      <c r="V535" s="44"/>
      <c r="W535" s="44"/>
      <c r="X535" s="92"/>
      <c r="Y535" s="96"/>
      <c r="Z535" s="44"/>
      <c r="AA535" s="91"/>
    </row>
    <row r="536" spans="1:27" x14ac:dyDescent="0.2">
      <c r="A536" s="97"/>
      <c r="B536" s="41"/>
      <c r="C536" s="94"/>
      <c r="D536" s="140"/>
      <c r="E536" s="41"/>
      <c r="F536" s="126"/>
      <c r="G536" s="127"/>
      <c r="H536" s="41"/>
      <c r="I536" s="95"/>
      <c r="J536" s="41"/>
      <c r="K536" s="41"/>
      <c r="L536" s="95"/>
      <c r="M536" s="128"/>
      <c r="N536" s="41"/>
      <c r="O536" s="42"/>
      <c r="P536" s="52"/>
      <c r="Q536" s="41"/>
      <c r="R536" s="42"/>
      <c r="S536" s="129"/>
      <c r="T536" s="41"/>
      <c r="U536" s="42"/>
      <c r="V536" s="41"/>
      <c r="W536" s="41"/>
      <c r="X536" s="42"/>
      <c r="Y536" s="97"/>
      <c r="Z536" s="41"/>
      <c r="AA536" s="94"/>
    </row>
    <row r="537" spans="1:27" x14ac:dyDescent="0.2">
      <c r="A537" s="96"/>
      <c r="B537" s="44"/>
      <c r="C537" s="91"/>
      <c r="D537" s="139"/>
      <c r="E537" s="44"/>
      <c r="F537" s="122"/>
      <c r="G537" s="123"/>
      <c r="H537" s="44"/>
      <c r="I537" s="93"/>
      <c r="J537" s="44"/>
      <c r="K537" s="44"/>
      <c r="L537" s="93"/>
      <c r="M537" s="124"/>
      <c r="N537" s="44"/>
      <c r="O537" s="92"/>
      <c r="P537" s="110"/>
      <c r="Q537" s="44"/>
      <c r="R537" s="92"/>
      <c r="S537" s="125"/>
      <c r="T537" s="44"/>
      <c r="U537" s="92"/>
      <c r="V537" s="44"/>
      <c r="W537" s="44"/>
      <c r="X537" s="92"/>
      <c r="Y537" s="96"/>
      <c r="Z537" s="44"/>
      <c r="AA537" s="91"/>
    </row>
    <row r="538" spans="1:27" x14ac:dyDescent="0.2">
      <c r="A538" s="96"/>
      <c r="B538" s="44"/>
      <c r="C538" s="91"/>
      <c r="D538" s="139"/>
      <c r="E538" s="44"/>
      <c r="F538" s="122"/>
      <c r="G538" s="123"/>
      <c r="H538" s="44"/>
      <c r="I538" s="93"/>
      <c r="J538" s="44"/>
      <c r="K538" s="44"/>
      <c r="L538" s="93"/>
      <c r="M538" s="124"/>
      <c r="N538" s="44"/>
      <c r="O538" s="92"/>
      <c r="P538" s="110"/>
      <c r="Q538" s="44"/>
      <c r="R538" s="92"/>
      <c r="S538" s="125"/>
      <c r="T538" s="44"/>
      <c r="U538" s="92"/>
      <c r="V538" s="44"/>
      <c r="W538" s="44"/>
      <c r="X538" s="92"/>
      <c r="Y538" s="96"/>
      <c r="Z538" s="44"/>
      <c r="AA538" s="91"/>
    </row>
    <row r="539" spans="1:27" x14ac:dyDescent="0.2">
      <c r="A539" s="97"/>
      <c r="B539" s="41"/>
      <c r="C539" s="94"/>
      <c r="D539" s="140"/>
      <c r="E539" s="41"/>
      <c r="F539" s="126"/>
      <c r="G539" s="127"/>
      <c r="H539" s="41"/>
      <c r="I539" s="95"/>
      <c r="J539" s="41"/>
      <c r="K539" s="41"/>
      <c r="L539" s="95"/>
      <c r="M539" s="128"/>
      <c r="N539" s="41"/>
      <c r="O539" s="42"/>
      <c r="P539" s="52"/>
      <c r="Q539" s="41"/>
      <c r="R539" s="42"/>
      <c r="S539" s="129"/>
      <c r="T539" s="41"/>
      <c r="U539" s="42"/>
      <c r="V539" s="41"/>
      <c r="W539" s="41"/>
      <c r="X539" s="42"/>
      <c r="Y539" s="97"/>
      <c r="Z539" s="41"/>
      <c r="AA539" s="94"/>
    </row>
    <row r="540" spans="1:27" x14ac:dyDescent="0.2">
      <c r="A540" s="96"/>
      <c r="B540" s="44"/>
      <c r="C540" s="91"/>
      <c r="D540" s="139"/>
      <c r="E540" s="44"/>
      <c r="F540" s="122"/>
      <c r="G540" s="123"/>
      <c r="H540" s="44"/>
      <c r="I540" s="93"/>
      <c r="J540" s="44"/>
      <c r="K540" s="44"/>
      <c r="L540" s="93"/>
      <c r="M540" s="124"/>
      <c r="N540" s="44"/>
      <c r="O540" s="92"/>
      <c r="P540" s="110"/>
      <c r="Q540" s="44"/>
      <c r="R540" s="92"/>
      <c r="S540" s="125"/>
      <c r="T540" s="44"/>
      <c r="U540" s="92"/>
      <c r="V540" s="44"/>
      <c r="W540" s="44"/>
      <c r="X540" s="92"/>
      <c r="Y540" s="96"/>
      <c r="Z540" s="44"/>
      <c r="AA540" s="91"/>
    </row>
    <row r="541" spans="1:27" x14ac:dyDescent="0.2">
      <c r="A541" s="96"/>
      <c r="B541" s="44"/>
      <c r="C541" s="91"/>
      <c r="D541" s="139"/>
      <c r="E541" s="44"/>
      <c r="F541" s="122"/>
      <c r="G541" s="123"/>
      <c r="H541" s="44"/>
      <c r="I541" s="93"/>
      <c r="J541" s="44"/>
      <c r="K541" s="44"/>
      <c r="L541" s="93"/>
      <c r="M541" s="124"/>
      <c r="N541" s="44"/>
      <c r="O541" s="92"/>
      <c r="P541" s="110"/>
      <c r="Q541" s="44"/>
      <c r="R541" s="92"/>
      <c r="S541" s="125"/>
      <c r="T541" s="44"/>
      <c r="U541" s="92"/>
      <c r="V541" s="44"/>
      <c r="W541" s="44"/>
      <c r="X541" s="92"/>
      <c r="Y541" s="96"/>
      <c r="Z541" s="44"/>
      <c r="AA541" s="91"/>
    </row>
    <row r="542" spans="1:27" x14ac:dyDescent="0.2">
      <c r="A542" s="97"/>
      <c r="B542" s="41"/>
      <c r="C542" s="94"/>
      <c r="D542" s="140"/>
      <c r="E542" s="41"/>
      <c r="F542" s="126"/>
      <c r="G542" s="127"/>
      <c r="H542" s="41"/>
      <c r="I542" s="95"/>
      <c r="J542" s="41"/>
      <c r="K542" s="41"/>
      <c r="L542" s="95"/>
      <c r="M542" s="128"/>
      <c r="N542" s="41"/>
      <c r="O542" s="42"/>
      <c r="P542" s="52"/>
      <c r="Q542" s="41"/>
      <c r="R542" s="42"/>
      <c r="S542" s="129"/>
      <c r="T542" s="41"/>
      <c r="U542" s="42"/>
      <c r="V542" s="41"/>
      <c r="W542" s="41"/>
      <c r="X542" s="42"/>
      <c r="Y542" s="97"/>
      <c r="Z542" s="41"/>
      <c r="AA542" s="94"/>
    </row>
    <row r="543" spans="1:27" x14ac:dyDescent="0.2">
      <c r="A543" s="97"/>
      <c r="B543" s="41"/>
      <c r="C543" s="94"/>
      <c r="D543" s="140"/>
      <c r="E543" s="41"/>
      <c r="F543" s="126"/>
      <c r="G543" s="127"/>
      <c r="H543" s="41"/>
      <c r="I543" s="95"/>
      <c r="J543" s="41"/>
      <c r="K543" s="41"/>
      <c r="L543" s="95"/>
      <c r="M543" s="128"/>
      <c r="N543" s="41"/>
      <c r="O543" s="42"/>
      <c r="P543" s="52"/>
      <c r="Q543" s="41"/>
      <c r="R543" s="42"/>
      <c r="S543" s="129"/>
      <c r="T543" s="41"/>
      <c r="U543" s="42"/>
      <c r="V543" s="41"/>
      <c r="W543" s="41"/>
      <c r="X543" s="42"/>
      <c r="Y543" s="97"/>
      <c r="Z543" s="41"/>
      <c r="AA543" s="94"/>
    </row>
    <row r="544" spans="1:27" x14ac:dyDescent="0.2">
      <c r="A544" s="96"/>
      <c r="B544" s="44"/>
      <c r="C544" s="91"/>
      <c r="D544" s="139"/>
      <c r="E544" s="44"/>
      <c r="F544" s="122"/>
      <c r="G544" s="123"/>
      <c r="H544" s="44"/>
      <c r="I544" s="93"/>
      <c r="J544" s="44"/>
      <c r="K544" s="44"/>
      <c r="L544" s="93"/>
      <c r="M544" s="124"/>
      <c r="N544" s="44"/>
      <c r="O544" s="92"/>
      <c r="P544" s="110"/>
      <c r="Q544" s="44"/>
      <c r="R544" s="92"/>
      <c r="S544" s="125"/>
      <c r="T544" s="44"/>
      <c r="U544" s="92"/>
      <c r="V544" s="44"/>
      <c r="W544" s="44"/>
      <c r="X544" s="92"/>
      <c r="Y544" s="96"/>
      <c r="Z544" s="44"/>
      <c r="AA544" s="91"/>
    </row>
    <row r="545" spans="1:27" x14ac:dyDescent="0.2">
      <c r="A545" s="96"/>
      <c r="B545" s="44"/>
      <c r="C545" s="91"/>
      <c r="D545" s="139"/>
      <c r="E545" s="44"/>
      <c r="F545" s="122"/>
      <c r="G545" s="123"/>
      <c r="H545" s="44"/>
      <c r="I545" s="93"/>
      <c r="J545" s="44"/>
      <c r="K545" s="44"/>
      <c r="L545" s="93"/>
      <c r="M545" s="124"/>
      <c r="N545" s="44"/>
      <c r="O545" s="92"/>
      <c r="P545" s="110"/>
      <c r="Q545" s="44"/>
      <c r="R545" s="92"/>
      <c r="S545" s="125"/>
      <c r="T545" s="44"/>
      <c r="U545" s="92"/>
      <c r="V545" s="44"/>
      <c r="W545" s="44"/>
      <c r="X545" s="92"/>
      <c r="Y545" s="96"/>
      <c r="Z545" s="44"/>
      <c r="AA545" s="91"/>
    </row>
    <row r="546" spans="1:27" x14ac:dyDescent="0.2">
      <c r="A546" s="97"/>
      <c r="B546" s="41"/>
      <c r="C546" s="94"/>
      <c r="D546" s="140"/>
      <c r="E546" s="41"/>
      <c r="F546" s="126"/>
      <c r="G546" s="127"/>
      <c r="H546" s="41"/>
      <c r="I546" s="95"/>
      <c r="J546" s="41"/>
      <c r="K546" s="41"/>
      <c r="L546" s="95"/>
      <c r="M546" s="128"/>
      <c r="N546" s="41"/>
      <c r="O546" s="42"/>
      <c r="P546" s="52"/>
      <c r="Q546" s="41"/>
      <c r="R546" s="42"/>
      <c r="S546" s="129"/>
      <c r="T546" s="41"/>
      <c r="U546" s="42"/>
      <c r="V546" s="41"/>
      <c r="W546" s="41"/>
      <c r="X546" s="42"/>
      <c r="Y546" s="97"/>
      <c r="Z546" s="41"/>
      <c r="AA546" s="94"/>
    </row>
    <row r="547" spans="1:27" x14ac:dyDescent="0.2">
      <c r="A547" s="87"/>
      <c r="B547" s="87"/>
      <c r="C547" s="88"/>
      <c r="D547" s="138"/>
      <c r="E547" s="87"/>
      <c r="F547" s="118"/>
      <c r="G547" s="119"/>
      <c r="H547" s="87"/>
      <c r="I547" s="90"/>
      <c r="J547" s="87"/>
      <c r="K547" s="87"/>
      <c r="L547" s="90"/>
      <c r="M547" s="120"/>
      <c r="N547" s="87"/>
      <c r="O547" s="89"/>
      <c r="P547" s="130"/>
      <c r="Q547" s="87"/>
      <c r="R547" s="89"/>
      <c r="S547" s="121"/>
      <c r="T547" s="87"/>
      <c r="U547" s="89"/>
      <c r="V547" s="87"/>
      <c r="W547" s="87"/>
      <c r="X547" s="89"/>
      <c r="Y547" s="87"/>
      <c r="Z547" s="87"/>
      <c r="AA547" s="88"/>
    </row>
    <row r="548" spans="1:27" x14ac:dyDescent="0.2">
      <c r="A548" s="44"/>
      <c r="B548" s="44"/>
      <c r="C548" s="91"/>
      <c r="D548" s="139"/>
      <c r="E548" s="44"/>
      <c r="F548" s="122"/>
      <c r="G548" s="123"/>
      <c r="H548" s="44"/>
      <c r="I548" s="93"/>
      <c r="J548" s="44"/>
      <c r="K548" s="44"/>
      <c r="L548" s="93"/>
      <c r="M548" s="124"/>
      <c r="N548" s="44"/>
      <c r="O548" s="92"/>
      <c r="P548" s="110"/>
      <c r="Q548" s="44"/>
      <c r="R548" s="92"/>
      <c r="S548" s="125"/>
      <c r="T548" s="44"/>
      <c r="U548" s="92"/>
      <c r="V548" s="44"/>
      <c r="W548" s="44"/>
      <c r="X548" s="92"/>
      <c r="Y548" s="44"/>
      <c r="Z548" s="44"/>
      <c r="AA548" s="91"/>
    </row>
    <row r="549" spans="1:27" x14ac:dyDescent="0.2">
      <c r="A549" s="41"/>
      <c r="B549" s="41"/>
      <c r="C549" s="94"/>
      <c r="D549" s="140"/>
      <c r="E549" s="41"/>
      <c r="F549" s="126"/>
      <c r="G549" s="127"/>
      <c r="H549" s="41"/>
      <c r="I549" s="95"/>
      <c r="J549" s="41"/>
      <c r="K549" s="41"/>
      <c r="L549" s="95"/>
      <c r="M549" s="128"/>
      <c r="N549" s="41"/>
      <c r="O549" s="42"/>
      <c r="P549" s="52"/>
      <c r="Q549" s="41"/>
      <c r="R549" s="42"/>
      <c r="S549" s="129"/>
      <c r="T549" s="41"/>
      <c r="U549" s="42"/>
      <c r="V549" s="41"/>
      <c r="W549" s="41"/>
      <c r="X549" s="42"/>
      <c r="Y549" s="41"/>
      <c r="Z549" s="41"/>
      <c r="AA549" s="94"/>
    </row>
    <row r="550" spans="1:27" x14ac:dyDescent="0.2">
      <c r="A550" s="44"/>
      <c r="B550" s="44"/>
      <c r="C550" s="91"/>
      <c r="D550" s="139"/>
      <c r="E550" s="44"/>
      <c r="F550" s="122"/>
      <c r="G550" s="123"/>
      <c r="H550" s="44"/>
      <c r="I550" s="93"/>
      <c r="J550" s="44"/>
      <c r="K550" s="44"/>
      <c r="L550" s="93"/>
      <c r="M550" s="124"/>
      <c r="N550" s="44"/>
      <c r="O550" s="92"/>
      <c r="P550" s="110"/>
      <c r="Q550" s="44"/>
      <c r="R550" s="92"/>
      <c r="S550" s="125"/>
      <c r="T550" s="44"/>
      <c r="U550" s="92"/>
      <c r="V550" s="44"/>
      <c r="W550" s="44"/>
      <c r="X550" s="92"/>
      <c r="Y550" s="44"/>
      <c r="Z550" s="44"/>
      <c r="AA550" s="91"/>
    </row>
    <row r="551" spans="1:27" x14ac:dyDescent="0.2">
      <c r="A551" s="87"/>
      <c r="B551" s="87"/>
      <c r="C551" s="88"/>
      <c r="D551" s="138"/>
      <c r="E551" s="87"/>
      <c r="F551" s="118"/>
      <c r="G551" s="119"/>
      <c r="H551" s="87"/>
      <c r="I551" s="90"/>
      <c r="J551" s="87"/>
      <c r="K551" s="87"/>
      <c r="L551" s="90"/>
      <c r="M551" s="120"/>
      <c r="N551" s="87"/>
      <c r="O551" s="89"/>
      <c r="P551" s="87"/>
      <c r="Q551" s="87"/>
      <c r="R551" s="89"/>
      <c r="S551" s="121"/>
      <c r="T551" s="87"/>
      <c r="U551" s="89"/>
      <c r="V551" s="87"/>
      <c r="W551" s="87"/>
      <c r="X551" s="89"/>
      <c r="Y551" s="87"/>
      <c r="Z551" s="87"/>
      <c r="AA551" s="88"/>
    </row>
    <row r="552" spans="1:27" x14ac:dyDescent="0.2">
      <c r="A552" s="44"/>
      <c r="B552" s="44"/>
      <c r="C552" s="91"/>
      <c r="D552" s="139"/>
      <c r="E552" s="44"/>
      <c r="F552" s="122"/>
      <c r="G552" s="123"/>
      <c r="H552" s="44"/>
      <c r="I552" s="93"/>
      <c r="J552" s="44"/>
      <c r="K552" s="44"/>
      <c r="L552" s="93"/>
      <c r="M552" s="124"/>
      <c r="N552" s="44"/>
      <c r="O552" s="92"/>
      <c r="P552" s="110"/>
      <c r="Q552" s="44"/>
      <c r="R552" s="92"/>
      <c r="S552" s="125"/>
      <c r="T552" s="44"/>
      <c r="U552" s="92"/>
      <c r="V552" s="44"/>
      <c r="W552" s="44"/>
      <c r="X552" s="92"/>
      <c r="Y552" s="44"/>
      <c r="Z552" s="44"/>
      <c r="AA552" s="91"/>
    </row>
    <row r="553" spans="1:27" x14ac:dyDescent="0.2">
      <c r="A553" s="41"/>
      <c r="B553" s="41"/>
      <c r="C553" s="94"/>
      <c r="D553" s="140"/>
      <c r="E553" s="41"/>
      <c r="F553" s="126"/>
      <c r="G553" s="127"/>
      <c r="H553" s="41"/>
      <c r="I553" s="95"/>
      <c r="J553" s="41"/>
      <c r="K553" s="41"/>
      <c r="L553" s="95"/>
      <c r="M553" s="128"/>
      <c r="N553" s="41"/>
      <c r="O553" s="42"/>
      <c r="P553" s="52"/>
      <c r="Q553" s="41"/>
      <c r="R553" s="42"/>
      <c r="S553" s="129"/>
      <c r="T553" s="41"/>
      <c r="U553" s="42"/>
      <c r="V553" s="41"/>
      <c r="W553" s="41"/>
      <c r="X553" s="42"/>
      <c r="Y553" s="41"/>
      <c r="Z553" s="41"/>
      <c r="AA553" s="94"/>
    </row>
    <row r="554" spans="1:27" x14ac:dyDescent="0.2">
      <c r="A554" s="44"/>
      <c r="B554" s="44"/>
      <c r="C554" s="91"/>
      <c r="D554" s="139"/>
      <c r="E554" s="44"/>
      <c r="F554" s="122"/>
      <c r="G554" s="123"/>
      <c r="H554" s="44"/>
      <c r="I554" s="93"/>
      <c r="J554" s="44"/>
      <c r="K554" s="44"/>
      <c r="L554" s="93"/>
      <c r="M554" s="124"/>
      <c r="N554" s="44"/>
      <c r="O554" s="92"/>
      <c r="P554" s="110"/>
      <c r="Q554" s="44"/>
      <c r="R554" s="92"/>
      <c r="S554" s="125"/>
      <c r="T554" s="44"/>
      <c r="U554" s="92"/>
      <c r="V554" s="44"/>
      <c r="W554" s="44"/>
      <c r="X554" s="92"/>
      <c r="Y554" s="44"/>
      <c r="Z554" s="44"/>
      <c r="AA554" s="91"/>
    </row>
    <row r="555" spans="1:27" x14ac:dyDescent="0.2">
      <c r="A555" s="41"/>
      <c r="B555" s="41"/>
      <c r="C555" s="94"/>
      <c r="D555" s="140"/>
      <c r="E555" s="41"/>
      <c r="F555" s="126"/>
      <c r="G555" s="127"/>
      <c r="H555" s="41"/>
      <c r="I555" s="95"/>
      <c r="J555" s="41"/>
      <c r="K555" s="41"/>
      <c r="L555" s="95"/>
      <c r="M555" s="128"/>
      <c r="N555" s="41"/>
      <c r="O555" s="42"/>
      <c r="P555" s="52"/>
      <c r="Q555" s="41"/>
      <c r="R555" s="42"/>
      <c r="S555" s="129"/>
      <c r="T555" s="41"/>
      <c r="U555" s="42"/>
      <c r="V555" s="41"/>
      <c r="W555" s="41"/>
      <c r="X555" s="42"/>
      <c r="Y555" s="41"/>
      <c r="Z555" s="41"/>
      <c r="AA555" s="94"/>
    </row>
    <row r="556" spans="1:27" x14ac:dyDescent="0.2">
      <c r="A556" s="44"/>
      <c r="B556" s="44"/>
      <c r="C556" s="91"/>
      <c r="D556" s="139"/>
      <c r="E556" s="44"/>
      <c r="F556" s="122"/>
      <c r="G556" s="123"/>
      <c r="H556" s="44"/>
      <c r="I556" s="93"/>
      <c r="J556" s="44"/>
      <c r="K556" s="44"/>
      <c r="L556" s="93"/>
      <c r="M556" s="124"/>
      <c r="N556" s="44"/>
      <c r="O556" s="92"/>
      <c r="P556" s="110"/>
      <c r="Q556" s="44"/>
      <c r="R556" s="92"/>
      <c r="S556" s="125"/>
      <c r="T556" s="44"/>
      <c r="U556" s="92"/>
      <c r="V556" s="44"/>
      <c r="W556" s="44"/>
      <c r="X556" s="92"/>
      <c r="Y556" s="44"/>
      <c r="Z556" s="44"/>
      <c r="AA556" s="91"/>
    </row>
    <row r="557" spans="1:27" x14ac:dyDescent="0.2">
      <c r="A557" s="41"/>
      <c r="B557" s="41"/>
      <c r="C557" s="94"/>
      <c r="D557" s="140"/>
      <c r="E557" s="41"/>
      <c r="F557" s="126"/>
      <c r="G557" s="127"/>
      <c r="H557" s="41"/>
      <c r="I557" s="95"/>
      <c r="J557" s="41"/>
      <c r="K557" s="41"/>
      <c r="L557" s="95"/>
      <c r="M557" s="128"/>
      <c r="N557" s="41"/>
      <c r="O557" s="42"/>
      <c r="P557" s="52"/>
      <c r="Q557" s="41"/>
      <c r="R557" s="42"/>
      <c r="S557" s="129"/>
      <c r="T557" s="41"/>
      <c r="U557" s="42"/>
      <c r="V557" s="41"/>
      <c r="W557" s="41"/>
      <c r="X557" s="42"/>
      <c r="Y557" s="41"/>
      <c r="Z557" s="41"/>
      <c r="AA557" s="94"/>
    </row>
    <row r="558" spans="1:27" x14ac:dyDescent="0.2">
      <c r="A558" s="44"/>
      <c r="B558" s="44"/>
      <c r="C558" s="91"/>
      <c r="D558" s="139"/>
      <c r="E558" s="44"/>
      <c r="F558" s="122"/>
      <c r="G558" s="123"/>
      <c r="H558" s="44"/>
      <c r="I558" s="93"/>
      <c r="J558" s="44"/>
      <c r="K558" s="44"/>
      <c r="L558" s="93"/>
      <c r="M558" s="124"/>
      <c r="N558" s="44"/>
      <c r="O558" s="92"/>
      <c r="P558" s="110"/>
      <c r="Q558" s="44"/>
      <c r="R558" s="92"/>
      <c r="S558" s="125"/>
      <c r="T558" s="44"/>
      <c r="U558" s="92"/>
      <c r="V558" s="44"/>
      <c r="W558" s="44"/>
      <c r="X558" s="92"/>
      <c r="Y558" s="44"/>
      <c r="Z558" s="44"/>
      <c r="AA558" s="91"/>
    </row>
    <row r="559" spans="1:27" x14ac:dyDescent="0.2">
      <c r="A559" s="41"/>
      <c r="B559" s="41"/>
      <c r="C559" s="94"/>
      <c r="D559" s="140"/>
      <c r="E559" s="41"/>
      <c r="F559" s="126"/>
      <c r="G559" s="127"/>
      <c r="H559" s="41"/>
      <c r="I559" s="95"/>
      <c r="J559" s="41"/>
      <c r="K559" s="41"/>
      <c r="L559" s="95"/>
      <c r="M559" s="128"/>
      <c r="N559" s="41"/>
      <c r="O559" s="42"/>
      <c r="P559" s="52"/>
      <c r="Q559" s="41"/>
      <c r="R559" s="42"/>
      <c r="S559" s="129"/>
      <c r="T559" s="41"/>
      <c r="U559" s="42"/>
      <c r="V559" s="41"/>
      <c r="W559" s="41"/>
      <c r="X559" s="42"/>
      <c r="Y559" s="41"/>
      <c r="Z559" s="41"/>
      <c r="AA559" s="94"/>
    </row>
    <row r="560" spans="1:27" x14ac:dyDescent="0.2">
      <c r="A560" s="44"/>
      <c r="B560" s="44"/>
      <c r="C560" s="91"/>
      <c r="D560" s="139"/>
      <c r="E560" s="44"/>
      <c r="F560" s="122"/>
      <c r="G560" s="123"/>
      <c r="H560" s="44"/>
      <c r="I560" s="93"/>
      <c r="J560" s="44"/>
      <c r="K560" s="44"/>
      <c r="L560" s="93"/>
      <c r="M560" s="124"/>
      <c r="N560" s="44"/>
      <c r="O560" s="92"/>
      <c r="P560" s="110"/>
      <c r="Q560" s="44"/>
      <c r="R560" s="92"/>
      <c r="S560" s="125"/>
      <c r="T560" s="44"/>
      <c r="U560" s="92"/>
      <c r="V560" s="44"/>
      <c r="W560" s="44"/>
      <c r="X560" s="92"/>
      <c r="Y560" s="44"/>
      <c r="Z560" s="44"/>
      <c r="AA560" s="91"/>
    </row>
    <row r="561" spans="1:27" x14ac:dyDescent="0.2">
      <c r="A561" s="41"/>
      <c r="B561" s="41"/>
      <c r="C561" s="94"/>
      <c r="D561" s="140"/>
      <c r="E561" s="41"/>
      <c r="F561" s="126"/>
      <c r="G561" s="127"/>
      <c r="H561" s="41"/>
      <c r="I561" s="95"/>
      <c r="J561" s="41"/>
      <c r="K561" s="41"/>
      <c r="L561" s="95"/>
      <c r="M561" s="128"/>
      <c r="N561" s="41"/>
      <c r="O561" s="42"/>
      <c r="P561" s="52"/>
      <c r="Q561" s="41"/>
      <c r="R561" s="42"/>
      <c r="S561" s="129"/>
      <c r="T561" s="41"/>
      <c r="U561" s="42"/>
      <c r="V561" s="41"/>
      <c r="W561" s="41"/>
      <c r="X561" s="42"/>
      <c r="Y561" s="41"/>
      <c r="Z561" s="41"/>
      <c r="AA561" s="94"/>
    </row>
    <row r="562" spans="1:27" x14ac:dyDescent="0.2">
      <c r="A562" s="44"/>
      <c r="B562" s="44"/>
      <c r="C562" s="91"/>
      <c r="D562" s="139"/>
      <c r="E562" s="44"/>
      <c r="F562" s="122"/>
      <c r="G562" s="123"/>
      <c r="H562" s="44"/>
      <c r="I562" s="93"/>
      <c r="J562" s="44"/>
      <c r="K562" s="44"/>
      <c r="L562" s="93"/>
      <c r="M562" s="124"/>
      <c r="N562" s="44"/>
      <c r="O562" s="92"/>
      <c r="P562" s="110"/>
      <c r="Q562" s="44"/>
      <c r="R562" s="92"/>
      <c r="S562" s="125"/>
      <c r="T562" s="44"/>
      <c r="U562" s="92"/>
      <c r="V562" s="44"/>
      <c r="W562" s="44"/>
      <c r="X562" s="92"/>
      <c r="Y562" s="44"/>
      <c r="Z562" s="44"/>
      <c r="AA562" s="91"/>
    </row>
    <row r="563" spans="1:27" x14ac:dyDescent="0.2">
      <c r="A563" s="41"/>
      <c r="B563" s="41"/>
      <c r="C563" s="94"/>
      <c r="D563" s="140"/>
      <c r="E563" s="41"/>
      <c r="F563" s="126"/>
      <c r="G563" s="127"/>
      <c r="H563" s="41"/>
      <c r="I563" s="95"/>
      <c r="J563" s="41"/>
      <c r="K563" s="41"/>
      <c r="L563" s="95"/>
      <c r="M563" s="128"/>
      <c r="N563" s="41"/>
      <c r="O563" s="42"/>
      <c r="P563" s="52"/>
      <c r="Q563" s="41"/>
      <c r="R563" s="42"/>
      <c r="S563" s="129"/>
      <c r="T563" s="41"/>
      <c r="U563" s="42"/>
      <c r="V563" s="41"/>
      <c r="W563" s="41"/>
      <c r="X563" s="42"/>
      <c r="Y563" s="41"/>
      <c r="Z563" s="41"/>
      <c r="AA563" s="94"/>
    </row>
    <row r="564" spans="1:27" x14ac:dyDescent="0.2">
      <c r="A564" s="44"/>
      <c r="B564" s="44"/>
      <c r="C564" s="91"/>
      <c r="D564" s="139"/>
      <c r="E564" s="44"/>
      <c r="F564" s="122"/>
      <c r="G564" s="123"/>
      <c r="H564" s="44"/>
      <c r="I564" s="93"/>
      <c r="J564" s="44"/>
      <c r="K564" s="44"/>
      <c r="L564" s="93"/>
      <c r="M564" s="124"/>
      <c r="N564" s="44"/>
      <c r="O564" s="92"/>
      <c r="P564" s="110"/>
      <c r="Q564" s="44"/>
      <c r="R564" s="92"/>
      <c r="S564" s="125"/>
      <c r="T564" s="44"/>
      <c r="U564" s="92"/>
      <c r="V564" s="44"/>
      <c r="W564" s="44"/>
      <c r="X564" s="92"/>
      <c r="Y564" s="44"/>
      <c r="Z564" s="44"/>
      <c r="AA564" s="91"/>
    </row>
    <row r="565" spans="1:27" x14ac:dyDescent="0.2">
      <c r="A565" s="41"/>
      <c r="B565" s="41"/>
      <c r="C565" s="94"/>
      <c r="D565" s="140"/>
      <c r="E565" s="41"/>
      <c r="F565" s="126"/>
      <c r="G565" s="127"/>
      <c r="H565" s="41"/>
      <c r="I565" s="95"/>
      <c r="J565" s="41"/>
      <c r="K565" s="41"/>
      <c r="L565" s="95"/>
      <c r="M565" s="128"/>
      <c r="N565" s="41"/>
      <c r="O565" s="42"/>
      <c r="P565" s="52"/>
      <c r="Q565" s="41"/>
      <c r="R565" s="42"/>
      <c r="S565" s="129"/>
      <c r="T565" s="41"/>
      <c r="U565" s="42"/>
      <c r="V565" s="41"/>
      <c r="W565" s="41"/>
      <c r="X565" s="42"/>
      <c r="Y565" s="41"/>
      <c r="Z565" s="41"/>
      <c r="AA565" s="94"/>
    </row>
    <row r="566" spans="1:27" x14ac:dyDescent="0.2">
      <c r="A566" s="44"/>
      <c r="B566" s="44"/>
      <c r="C566" s="91"/>
      <c r="D566" s="139"/>
      <c r="E566" s="44"/>
      <c r="F566" s="122"/>
      <c r="G566" s="123"/>
      <c r="H566" s="44"/>
      <c r="I566" s="93"/>
      <c r="J566" s="44"/>
      <c r="K566" s="44"/>
      <c r="L566" s="93"/>
      <c r="M566" s="124"/>
      <c r="N566" s="44"/>
      <c r="O566" s="92"/>
      <c r="P566" s="110"/>
      <c r="Q566" s="44"/>
      <c r="R566" s="92"/>
      <c r="S566" s="125"/>
      <c r="T566" s="44"/>
      <c r="U566" s="92"/>
      <c r="V566" s="44"/>
      <c r="W566" s="44"/>
      <c r="X566" s="92"/>
      <c r="Y566" s="44"/>
      <c r="Z566" s="44"/>
      <c r="AA566" s="91"/>
    </row>
    <row r="567" spans="1:27" x14ac:dyDescent="0.2">
      <c r="A567" s="41"/>
      <c r="B567" s="41"/>
      <c r="C567" s="94"/>
      <c r="D567" s="140"/>
      <c r="E567" s="41"/>
      <c r="F567" s="126"/>
      <c r="G567" s="127"/>
      <c r="H567" s="41"/>
      <c r="I567" s="95"/>
      <c r="J567" s="41"/>
      <c r="K567" s="41"/>
      <c r="L567" s="95"/>
      <c r="M567" s="128"/>
      <c r="N567" s="41"/>
      <c r="O567" s="42"/>
      <c r="P567" s="52"/>
      <c r="Q567" s="41"/>
      <c r="R567" s="42"/>
      <c r="S567" s="129"/>
      <c r="T567" s="41"/>
      <c r="U567" s="42"/>
      <c r="V567" s="41"/>
      <c r="W567" s="41"/>
      <c r="X567" s="42"/>
      <c r="Y567" s="41"/>
      <c r="Z567" s="41"/>
      <c r="AA567" s="94"/>
    </row>
    <row r="568" spans="1:27" x14ac:dyDescent="0.2">
      <c r="A568" s="44"/>
      <c r="B568" s="44"/>
      <c r="C568" s="91"/>
      <c r="D568" s="139"/>
      <c r="E568" s="44"/>
      <c r="F568" s="122"/>
      <c r="G568" s="123"/>
      <c r="H568" s="44"/>
      <c r="I568" s="93"/>
      <c r="J568" s="44"/>
      <c r="K568" s="44"/>
      <c r="L568" s="93"/>
      <c r="M568" s="124"/>
      <c r="N568" s="44"/>
      <c r="O568" s="92"/>
      <c r="P568" s="110"/>
      <c r="Q568" s="44"/>
      <c r="R568" s="92"/>
      <c r="S568" s="125"/>
      <c r="T568" s="44"/>
      <c r="U568" s="92"/>
      <c r="V568" s="44"/>
      <c r="W568" s="44"/>
      <c r="X568" s="92"/>
      <c r="Y568" s="44"/>
      <c r="Z568" s="44"/>
      <c r="AA568" s="91"/>
    </row>
    <row r="569" spans="1:27" x14ac:dyDescent="0.2">
      <c r="A569" s="41"/>
      <c r="B569" s="41"/>
      <c r="C569" s="94"/>
      <c r="D569" s="140"/>
      <c r="E569" s="41"/>
      <c r="F569" s="127"/>
      <c r="G569" s="127"/>
      <c r="H569" s="41"/>
      <c r="I569" s="95"/>
      <c r="J569" s="41"/>
      <c r="K569" s="41"/>
      <c r="L569" s="95"/>
      <c r="M569" s="128"/>
      <c r="N569" s="41"/>
      <c r="O569" s="42"/>
      <c r="P569" s="52"/>
      <c r="Q569" s="41"/>
      <c r="R569" s="42"/>
      <c r="S569" s="129"/>
      <c r="T569" s="41"/>
      <c r="U569" s="42"/>
      <c r="V569" s="41"/>
      <c r="W569" s="41"/>
      <c r="X569" s="42"/>
      <c r="Y569" s="41"/>
      <c r="Z569" s="41"/>
      <c r="AA569" s="94"/>
    </row>
    <row r="570" spans="1:27" x14ac:dyDescent="0.2">
      <c r="A570" s="44"/>
      <c r="B570" s="44"/>
      <c r="C570" s="91"/>
      <c r="D570" s="139"/>
      <c r="E570" s="44"/>
      <c r="F570" s="122"/>
      <c r="G570" s="123"/>
      <c r="H570" s="44"/>
      <c r="I570" s="93"/>
      <c r="J570" s="44"/>
      <c r="K570" s="44"/>
      <c r="L570" s="93"/>
      <c r="M570" s="124"/>
      <c r="N570" s="44"/>
      <c r="O570" s="92"/>
      <c r="P570" s="110"/>
      <c r="Q570" s="44"/>
      <c r="R570" s="92"/>
      <c r="S570" s="125"/>
      <c r="T570" s="44"/>
      <c r="U570" s="92"/>
      <c r="V570" s="44"/>
      <c r="W570" s="44"/>
      <c r="X570" s="92"/>
      <c r="Y570" s="44"/>
      <c r="Z570" s="44"/>
      <c r="AA570" s="91"/>
    </row>
    <row r="571" spans="1:27" x14ac:dyDescent="0.2">
      <c r="A571" s="41"/>
      <c r="B571" s="41"/>
      <c r="C571" s="94"/>
      <c r="D571" s="140"/>
      <c r="E571" s="41"/>
      <c r="F571" s="126"/>
      <c r="G571" s="127"/>
      <c r="H571" s="41"/>
      <c r="I571" s="95"/>
      <c r="J571" s="41"/>
      <c r="K571" s="41"/>
      <c r="L571" s="95"/>
      <c r="M571" s="128"/>
      <c r="N571" s="41"/>
      <c r="O571" s="42"/>
      <c r="P571" s="52"/>
      <c r="Q571" s="41"/>
      <c r="R571" s="42"/>
      <c r="S571" s="129"/>
      <c r="T571" s="41"/>
      <c r="U571" s="42"/>
      <c r="V571" s="41"/>
      <c r="W571" s="41"/>
      <c r="X571" s="42"/>
      <c r="Y571" s="41"/>
      <c r="Z571" s="41"/>
      <c r="AA571" s="94"/>
    </row>
    <row r="572" spans="1:27" x14ac:dyDescent="0.2">
      <c r="A572" s="44"/>
      <c r="B572" s="44"/>
      <c r="C572" s="91"/>
      <c r="D572" s="139"/>
      <c r="E572" s="44"/>
      <c r="F572" s="122"/>
      <c r="G572" s="123"/>
      <c r="H572" s="44"/>
      <c r="I572" s="93"/>
      <c r="J572" s="44"/>
      <c r="K572" s="44"/>
      <c r="L572" s="93"/>
      <c r="M572" s="124"/>
      <c r="N572" s="44"/>
      <c r="O572" s="92"/>
      <c r="P572" s="110"/>
      <c r="Q572" s="44"/>
      <c r="R572" s="92"/>
      <c r="S572" s="125"/>
      <c r="T572" s="44"/>
      <c r="U572" s="92"/>
      <c r="V572" s="44"/>
      <c r="W572" s="44"/>
      <c r="X572" s="92"/>
      <c r="Y572" s="44"/>
      <c r="Z572" s="44"/>
      <c r="AA572" s="91"/>
    </row>
    <row r="573" spans="1:27" x14ac:dyDescent="0.2">
      <c r="A573" s="41"/>
      <c r="B573" s="41"/>
      <c r="C573" s="94"/>
      <c r="D573" s="140"/>
      <c r="E573" s="41"/>
      <c r="F573" s="126"/>
      <c r="G573" s="127"/>
      <c r="H573" s="41"/>
      <c r="I573" s="95"/>
      <c r="J573" s="41"/>
      <c r="K573" s="41"/>
      <c r="L573" s="95"/>
      <c r="M573" s="128"/>
      <c r="N573" s="41"/>
      <c r="O573" s="42"/>
      <c r="P573" s="52"/>
      <c r="Q573" s="41"/>
      <c r="R573" s="42"/>
      <c r="S573" s="129"/>
      <c r="T573" s="41"/>
      <c r="U573" s="42"/>
      <c r="V573" s="41"/>
      <c r="W573" s="41"/>
      <c r="X573" s="42"/>
      <c r="Y573" s="41"/>
      <c r="Z573" s="41"/>
      <c r="AA573" s="94"/>
    </row>
    <row r="574" spans="1:27" x14ac:dyDescent="0.2">
      <c r="A574" s="44"/>
      <c r="B574" s="44"/>
      <c r="C574" s="91"/>
      <c r="D574" s="139"/>
      <c r="E574" s="44"/>
      <c r="F574" s="122"/>
      <c r="G574" s="123"/>
      <c r="H574" s="44"/>
      <c r="I574" s="93"/>
      <c r="J574" s="44"/>
      <c r="K574" s="44"/>
      <c r="L574" s="93"/>
      <c r="M574" s="124"/>
      <c r="N574" s="44"/>
      <c r="O574" s="92"/>
      <c r="P574" s="110"/>
      <c r="Q574" s="44"/>
      <c r="R574" s="92"/>
      <c r="S574" s="125"/>
      <c r="T574" s="44"/>
      <c r="U574" s="92"/>
      <c r="V574" s="44"/>
      <c r="W574" s="44"/>
      <c r="X574" s="92"/>
      <c r="Y574" s="44"/>
      <c r="Z574" s="44"/>
      <c r="AA574" s="91"/>
    </row>
    <row r="575" spans="1:27" x14ac:dyDescent="0.2">
      <c r="A575" s="41"/>
      <c r="B575" s="41"/>
      <c r="C575" s="94"/>
      <c r="D575" s="140"/>
      <c r="E575" s="41"/>
      <c r="F575" s="126"/>
      <c r="G575" s="127"/>
      <c r="H575" s="41"/>
      <c r="I575" s="95"/>
      <c r="J575" s="41"/>
      <c r="K575" s="41"/>
      <c r="L575" s="95"/>
      <c r="M575" s="128"/>
      <c r="N575" s="41"/>
      <c r="O575" s="42"/>
      <c r="P575" s="52"/>
      <c r="Q575" s="41"/>
      <c r="R575" s="42"/>
      <c r="S575" s="129"/>
      <c r="T575" s="41"/>
      <c r="U575" s="42"/>
      <c r="V575" s="41"/>
      <c r="W575" s="41"/>
      <c r="X575" s="42"/>
      <c r="Y575" s="41"/>
      <c r="Z575" s="41"/>
      <c r="AA575" s="94"/>
    </row>
    <row r="576" spans="1:27" x14ac:dyDescent="0.2">
      <c r="A576" s="44"/>
      <c r="B576" s="44"/>
      <c r="C576" s="91"/>
      <c r="D576" s="139"/>
      <c r="E576" s="44"/>
      <c r="F576" s="122"/>
      <c r="G576" s="123"/>
      <c r="H576" s="44"/>
      <c r="I576" s="93"/>
      <c r="J576" s="44"/>
      <c r="K576" s="44"/>
      <c r="L576" s="93"/>
      <c r="M576" s="124"/>
      <c r="N576" s="44"/>
      <c r="O576" s="92"/>
      <c r="P576" s="110"/>
      <c r="Q576" s="44"/>
      <c r="R576" s="92"/>
      <c r="S576" s="125"/>
      <c r="T576" s="44"/>
      <c r="U576" s="92"/>
      <c r="V576" s="44"/>
      <c r="W576" s="44"/>
      <c r="X576" s="92"/>
      <c r="Y576" s="44"/>
      <c r="Z576" s="44"/>
      <c r="AA576" s="91"/>
    </row>
    <row r="577" spans="1:27" x14ac:dyDescent="0.2">
      <c r="A577" s="96"/>
      <c r="B577" s="44"/>
      <c r="C577" s="91"/>
      <c r="D577" s="139"/>
      <c r="E577" s="44"/>
      <c r="F577" s="122"/>
      <c r="G577" s="123"/>
      <c r="H577" s="44"/>
      <c r="I577" s="93"/>
      <c r="J577" s="44"/>
      <c r="K577" s="44"/>
      <c r="L577" s="93"/>
      <c r="M577" s="124"/>
      <c r="N577" s="44"/>
      <c r="O577" s="92"/>
      <c r="P577" s="110"/>
      <c r="Q577" s="44"/>
      <c r="R577" s="92"/>
      <c r="S577" s="125"/>
      <c r="T577" s="44"/>
      <c r="U577" s="92"/>
      <c r="V577" s="44"/>
      <c r="W577" s="44"/>
      <c r="X577" s="92"/>
      <c r="Y577" s="96"/>
      <c r="Z577" s="44"/>
      <c r="AA577" s="91"/>
    </row>
    <row r="578" spans="1:27" x14ac:dyDescent="0.2">
      <c r="A578" s="97"/>
      <c r="B578" s="41"/>
      <c r="C578" s="94"/>
      <c r="D578" s="140"/>
      <c r="E578" s="41"/>
      <c r="F578" s="126"/>
      <c r="G578" s="127"/>
      <c r="H578" s="41"/>
      <c r="I578" s="95"/>
      <c r="J578" s="41"/>
      <c r="K578" s="41"/>
      <c r="L578" s="95"/>
      <c r="M578" s="128"/>
      <c r="N578" s="41"/>
      <c r="O578" s="42"/>
      <c r="P578" s="52"/>
      <c r="Q578" s="41"/>
      <c r="R578" s="42"/>
      <c r="S578" s="129"/>
      <c r="T578" s="41"/>
      <c r="U578" s="42"/>
      <c r="V578" s="41"/>
      <c r="W578" s="41"/>
      <c r="X578" s="42"/>
      <c r="Y578" s="97"/>
      <c r="Z578" s="41"/>
      <c r="AA578" s="94"/>
    </row>
    <row r="579" spans="1:27" x14ac:dyDescent="0.2">
      <c r="A579" s="96"/>
      <c r="B579" s="44"/>
      <c r="C579" s="91"/>
      <c r="D579" s="139"/>
      <c r="E579" s="44"/>
      <c r="F579" s="122"/>
      <c r="G579" s="123"/>
      <c r="H579" s="44"/>
      <c r="I579" s="93"/>
      <c r="J579" s="44"/>
      <c r="K579" s="44"/>
      <c r="L579" s="93"/>
      <c r="M579" s="124"/>
      <c r="N579" s="44"/>
      <c r="O579" s="92"/>
      <c r="P579" s="110"/>
      <c r="Q579" s="44"/>
      <c r="R579" s="92"/>
      <c r="S579" s="125"/>
      <c r="T579" s="44"/>
      <c r="U579" s="92"/>
      <c r="V579" s="44"/>
      <c r="W579" s="44"/>
      <c r="X579" s="92"/>
      <c r="Y579" s="96"/>
      <c r="Z579" s="44"/>
      <c r="AA579" s="91"/>
    </row>
    <row r="580" spans="1:27" x14ac:dyDescent="0.2">
      <c r="A580" s="97"/>
      <c r="B580" s="41"/>
      <c r="C580" s="94"/>
      <c r="D580" s="140"/>
      <c r="E580" s="41"/>
      <c r="F580" s="126"/>
      <c r="G580" s="127"/>
      <c r="H580" s="41"/>
      <c r="I580" s="95"/>
      <c r="J580" s="41"/>
      <c r="K580" s="41"/>
      <c r="L580" s="95"/>
      <c r="M580" s="128"/>
      <c r="N580" s="41"/>
      <c r="O580" s="42"/>
      <c r="P580" s="52"/>
      <c r="Q580" s="41"/>
      <c r="R580" s="42"/>
      <c r="S580" s="129"/>
      <c r="T580" s="41"/>
      <c r="U580" s="42"/>
      <c r="V580" s="41"/>
      <c r="W580" s="41"/>
      <c r="X580" s="42"/>
      <c r="Y580" s="97"/>
      <c r="Z580" s="41"/>
      <c r="AA580" s="94"/>
    </row>
    <row r="581" spans="1:27" x14ac:dyDescent="0.2">
      <c r="A581" s="97"/>
      <c r="B581" s="41"/>
      <c r="C581" s="94"/>
      <c r="D581" s="140"/>
      <c r="E581" s="41"/>
      <c r="F581" s="126"/>
      <c r="G581" s="127"/>
      <c r="H581" s="41"/>
      <c r="I581" s="95"/>
      <c r="J581" s="41"/>
      <c r="K581" s="41"/>
      <c r="L581" s="95"/>
      <c r="M581" s="128"/>
      <c r="N581" s="41"/>
      <c r="O581" s="42"/>
      <c r="P581" s="52"/>
      <c r="Q581" s="41"/>
      <c r="R581" s="42"/>
      <c r="S581" s="129"/>
      <c r="T581" s="41"/>
      <c r="U581" s="42"/>
      <c r="V581" s="41"/>
      <c r="W581" s="41"/>
      <c r="X581" s="42"/>
      <c r="Y581" s="97"/>
      <c r="Z581" s="41"/>
      <c r="AA581" s="94"/>
    </row>
    <row r="582" spans="1:27" x14ac:dyDescent="0.2">
      <c r="A582" s="97"/>
      <c r="B582" s="41"/>
      <c r="C582" s="94"/>
      <c r="D582" s="140"/>
      <c r="E582" s="41"/>
      <c r="F582" s="126"/>
      <c r="G582" s="127"/>
      <c r="H582" s="41"/>
      <c r="I582" s="95"/>
      <c r="J582" s="41"/>
      <c r="K582" s="41"/>
      <c r="L582" s="95"/>
      <c r="M582" s="128"/>
      <c r="N582" s="41"/>
      <c r="O582" s="42"/>
      <c r="P582" s="52"/>
      <c r="Q582" s="41"/>
      <c r="R582" s="42"/>
      <c r="S582" s="129"/>
      <c r="T582" s="41"/>
      <c r="U582" s="42"/>
      <c r="V582" s="41"/>
      <c r="W582" s="41"/>
      <c r="X582" s="42"/>
      <c r="Y582" s="97"/>
      <c r="Z582" s="41"/>
      <c r="AA582" s="94"/>
    </row>
    <row r="583" spans="1:27" x14ac:dyDescent="0.2">
      <c r="A583" s="97"/>
      <c r="B583" s="41"/>
      <c r="C583" s="94"/>
      <c r="D583" s="140"/>
      <c r="E583" s="41"/>
      <c r="F583" s="126"/>
      <c r="G583" s="127"/>
      <c r="H583" s="41"/>
      <c r="I583" s="95"/>
      <c r="J583" s="41"/>
      <c r="K583" s="41"/>
      <c r="L583" s="95"/>
      <c r="M583" s="128"/>
      <c r="N583" s="41"/>
      <c r="O583" s="42"/>
      <c r="P583" s="52"/>
      <c r="Q583" s="41"/>
      <c r="R583" s="42"/>
      <c r="S583" s="129"/>
      <c r="T583" s="41"/>
      <c r="U583" s="42"/>
      <c r="V583" s="41"/>
      <c r="W583" s="41"/>
      <c r="X583" s="42"/>
      <c r="Y583" s="97"/>
      <c r="Z583" s="41"/>
      <c r="AA583" s="94"/>
    </row>
    <row r="584" spans="1:27" x14ac:dyDescent="0.2">
      <c r="A584" s="96"/>
      <c r="B584" s="44"/>
      <c r="C584" s="91"/>
      <c r="D584" s="139"/>
      <c r="E584" s="44"/>
      <c r="F584" s="122"/>
      <c r="G584" s="123"/>
      <c r="H584" s="44"/>
      <c r="I584" s="93"/>
      <c r="J584" s="44"/>
      <c r="K584" s="44"/>
      <c r="L584" s="93"/>
      <c r="M584" s="124"/>
      <c r="N584" s="44"/>
      <c r="O584" s="92"/>
      <c r="P584" s="110"/>
      <c r="Q584" s="44"/>
      <c r="R584" s="92"/>
      <c r="S584" s="125"/>
      <c r="T584" s="44"/>
      <c r="U584" s="92"/>
      <c r="V584" s="44"/>
      <c r="W584" s="44"/>
      <c r="X584" s="92"/>
      <c r="Y584" s="96"/>
      <c r="Z584" s="44"/>
      <c r="AA584" s="91"/>
    </row>
    <row r="585" spans="1:27" x14ac:dyDescent="0.2">
      <c r="A585" s="96"/>
      <c r="B585" s="44"/>
      <c r="C585" s="91"/>
      <c r="D585" s="139"/>
      <c r="E585" s="44"/>
      <c r="F585" s="122"/>
      <c r="G585" s="123"/>
      <c r="H585" s="44"/>
      <c r="I585" s="93"/>
      <c r="J585" s="44"/>
      <c r="K585" s="44"/>
      <c r="L585" s="93"/>
      <c r="M585" s="124"/>
      <c r="N585" s="44"/>
      <c r="O585" s="92"/>
      <c r="P585" s="110"/>
      <c r="Q585" s="44"/>
      <c r="R585" s="92"/>
      <c r="S585" s="125"/>
      <c r="T585" s="44"/>
      <c r="U585" s="92"/>
      <c r="V585" s="44"/>
      <c r="W585" s="44"/>
      <c r="X585" s="92"/>
      <c r="Y585" s="96"/>
      <c r="Z585" s="44"/>
      <c r="AA585" s="91"/>
    </row>
    <row r="586" spans="1:27" x14ac:dyDescent="0.2">
      <c r="A586" s="96"/>
      <c r="B586" s="44"/>
      <c r="C586" s="91"/>
      <c r="D586" s="139"/>
      <c r="E586" s="44"/>
      <c r="F586" s="122"/>
      <c r="G586" s="123"/>
      <c r="H586" s="44"/>
      <c r="I586" s="93"/>
      <c r="J586" s="44"/>
      <c r="K586" s="44"/>
      <c r="L586" s="93"/>
      <c r="M586" s="124"/>
      <c r="N586" s="44"/>
      <c r="O586" s="92"/>
      <c r="P586" s="110"/>
      <c r="Q586" s="44"/>
      <c r="R586" s="92"/>
      <c r="S586" s="125"/>
      <c r="T586" s="44"/>
      <c r="U586" s="92"/>
      <c r="V586" s="44"/>
      <c r="W586" s="44"/>
      <c r="X586" s="92"/>
      <c r="Y586" s="96"/>
      <c r="Z586" s="44"/>
      <c r="AA586" s="91"/>
    </row>
    <row r="587" spans="1:27" x14ac:dyDescent="0.2">
      <c r="A587" s="96"/>
      <c r="B587" s="44"/>
      <c r="C587" s="91"/>
      <c r="D587" s="139"/>
      <c r="E587" s="44"/>
      <c r="F587" s="122"/>
      <c r="G587" s="123"/>
      <c r="H587" s="44"/>
      <c r="I587" s="93"/>
      <c r="J587" s="44"/>
      <c r="K587" s="44"/>
      <c r="L587" s="93"/>
      <c r="M587" s="124"/>
      <c r="N587" s="44"/>
      <c r="O587" s="92"/>
      <c r="P587" s="110"/>
      <c r="Q587" s="44"/>
      <c r="R587" s="92"/>
      <c r="S587" s="125"/>
      <c r="T587" s="44"/>
      <c r="U587" s="92"/>
      <c r="V587" s="44"/>
      <c r="W587" s="44"/>
      <c r="X587" s="92"/>
      <c r="Y587" s="96"/>
      <c r="Z587" s="44"/>
      <c r="AA587" s="91"/>
    </row>
    <row r="588" spans="1:27" x14ac:dyDescent="0.2">
      <c r="A588" s="96"/>
      <c r="B588" s="44"/>
      <c r="C588" s="91"/>
      <c r="D588" s="139"/>
      <c r="E588" s="44"/>
      <c r="F588" s="122"/>
      <c r="G588" s="123"/>
      <c r="H588" s="44"/>
      <c r="I588" s="93"/>
      <c r="J588" s="44"/>
      <c r="K588" s="44"/>
      <c r="L588" s="93"/>
      <c r="M588" s="124"/>
      <c r="N588" s="44"/>
      <c r="O588" s="92"/>
      <c r="P588" s="110"/>
      <c r="Q588" s="44"/>
      <c r="R588" s="92"/>
      <c r="S588" s="125"/>
      <c r="T588" s="44"/>
      <c r="U588" s="92"/>
      <c r="V588" s="44"/>
      <c r="W588" s="44"/>
      <c r="X588" s="92"/>
      <c r="Y588" s="96"/>
      <c r="Z588" s="44"/>
      <c r="AA588" s="91"/>
    </row>
    <row r="589" spans="1:27" x14ac:dyDescent="0.2">
      <c r="A589" s="97"/>
      <c r="B589" s="41"/>
      <c r="C589" s="94"/>
      <c r="D589" s="140"/>
      <c r="E589" s="41"/>
      <c r="F589" s="126"/>
      <c r="G589" s="127"/>
      <c r="H589" s="41"/>
      <c r="I589" s="95"/>
      <c r="J589" s="41"/>
      <c r="K589" s="41"/>
      <c r="L589" s="95"/>
      <c r="M589" s="128"/>
      <c r="N589" s="41"/>
      <c r="O589" s="42"/>
      <c r="P589" s="52"/>
      <c r="Q589" s="41"/>
      <c r="R589" s="42"/>
      <c r="S589" s="129"/>
      <c r="T589" s="41"/>
      <c r="U589" s="42"/>
      <c r="V589" s="41"/>
      <c r="W589" s="41"/>
      <c r="X589" s="42"/>
      <c r="Y589" s="97"/>
      <c r="Z589" s="41"/>
      <c r="AA589" s="94"/>
    </row>
    <row r="590" spans="1:27" x14ac:dyDescent="0.2">
      <c r="A590" s="96"/>
      <c r="B590" s="44"/>
      <c r="C590" s="91"/>
      <c r="D590" s="139"/>
      <c r="E590" s="44"/>
      <c r="F590" s="122"/>
      <c r="G590" s="123"/>
      <c r="H590" s="44"/>
      <c r="I590" s="93"/>
      <c r="J590" s="44"/>
      <c r="K590" s="44"/>
      <c r="L590" s="93"/>
      <c r="M590" s="124"/>
      <c r="N590" s="44"/>
      <c r="O590" s="92"/>
      <c r="P590" s="110"/>
      <c r="Q590" s="44"/>
      <c r="R590" s="92"/>
      <c r="S590" s="125"/>
      <c r="T590" s="44"/>
      <c r="U590" s="92"/>
      <c r="V590" s="44"/>
      <c r="W590" s="44"/>
      <c r="X590" s="92"/>
      <c r="Y590" s="96"/>
      <c r="Z590" s="44"/>
      <c r="AA590" s="91"/>
    </row>
    <row r="591" spans="1:27" x14ac:dyDescent="0.2">
      <c r="A591" s="97"/>
      <c r="B591" s="41"/>
      <c r="C591" s="94"/>
      <c r="D591" s="140"/>
      <c r="E591" s="41"/>
      <c r="F591" s="126"/>
      <c r="G591" s="127"/>
      <c r="H591" s="41"/>
      <c r="I591" s="95"/>
      <c r="J591" s="41"/>
      <c r="K591" s="41"/>
      <c r="L591" s="95"/>
      <c r="M591" s="128"/>
      <c r="N591" s="41"/>
      <c r="O591" s="42"/>
      <c r="P591" s="52"/>
      <c r="Q591" s="41"/>
      <c r="R591" s="42"/>
      <c r="S591" s="129"/>
      <c r="T591" s="41"/>
      <c r="U591" s="42"/>
      <c r="V591" s="41"/>
      <c r="W591" s="41"/>
      <c r="X591" s="42"/>
      <c r="Y591" s="97"/>
      <c r="Z591" s="41"/>
      <c r="AA591" s="94"/>
    </row>
    <row r="592" spans="1:27" x14ac:dyDescent="0.2">
      <c r="A592" s="96"/>
      <c r="B592" s="44"/>
      <c r="C592" s="91"/>
      <c r="D592" s="139"/>
      <c r="E592" s="44"/>
      <c r="F592" s="122"/>
      <c r="G592" s="123"/>
      <c r="H592" s="44"/>
      <c r="I592" s="93"/>
      <c r="J592" s="44"/>
      <c r="K592" s="44"/>
      <c r="L592" s="93"/>
      <c r="M592" s="124"/>
      <c r="N592" s="44"/>
      <c r="O592" s="92"/>
      <c r="P592" s="110"/>
      <c r="Q592" s="44"/>
      <c r="R592" s="92"/>
      <c r="S592" s="125"/>
      <c r="T592" s="44"/>
      <c r="U592" s="92"/>
      <c r="V592" s="44"/>
      <c r="W592" s="44"/>
      <c r="X592" s="92"/>
      <c r="Y592" s="96"/>
      <c r="Z592" s="44"/>
      <c r="AA592" s="91"/>
    </row>
    <row r="593" spans="1:27" x14ac:dyDescent="0.2">
      <c r="A593" s="96"/>
      <c r="B593" s="44"/>
      <c r="C593" s="91"/>
      <c r="D593" s="139"/>
      <c r="E593" s="44"/>
      <c r="F593" s="122"/>
      <c r="G593" s="123"/>
      <c r="H593" s="44"/>
      <c r="I593" s="93"/>
      <c r="J593" s="44"/>
      <c r="K593" s="44"/>
      <c r="L593" s="93"/>
      <c r="M593" s="124"/>
      <c r="N593" s="44"/>
      <c r="O593" s="92"/>
      <c r="P593" s="110"/>
      <c r="Q593" s="44"/>
      <c r="R593" s="92"/>
      <c r="S593" s="125"/>
      <c r="T593" s="44"/>
      <c r="U593" s="92"/>
      <c r="V593" s="44"/>
      <c r="W593" s="44"/>
      <c r="X593" s="92"/>
      <c r="Y593" s="96"/>
      <c r="Z593" s="44"/>
      <c r="AA593" s="91"/>
    </row>
    <row r="594" spans="1:27" x14ac:dyDescent="0.2">
      <c r="A594" s="97"/>
      <c r="B594" s="41"/>
      <c r="C594" s="94"/>
      <c r="D594" s="140"/>
      <c r="E594" s="41"/>
      <c r="F594" s="126"/>
      <c r="G594" s="127"/>
      <c r="H594" s="41"/>
      <c r="I594" s="95"/>
      <c r="J594" s="41"/>
      <c r="K594" s="41"/>
      <c r="L594" s="95"/>
      <c r="M594" s="128"/>
      <c r="N594" s="41"/>
      <c r="O594" s="42"/>
      <c r="P594" s="52"/>
      <c r="Q594" s="41"/>
      <c r="R594" s="42"/>
      <c r="S594" s="129"/>
      <c r="T594" s="41"/>
      <c r="U594" s="42"/>
      <c r="V594" s="41"/>
      <c r="W594" s="41"/>
      <c r="X594" s="42"/>
      <c r="Y594" s="97"/>
      <c r="Z594" s="41"/>
      <c r="AA594" s="94"/>
    </row>
    <row r="595" spans="1:27" x14ac:dyDescent="0.2">
      <c r="A595" s="96"/>
      <c r="B595" s="44"/>
      <c r="C595" s="91"/>
      <c r="D595" s="139"/>
      <c r="E595" s="44"/>
      <c r="F595" s="122"/>
      <c r="G595" s="123"/>
      <c r="H595" s="44"/>
      <c r="I595" s="93"/>
      <c r="J595" s="44"/>
      <c r="K595" s="44"/>
      <c r="L595" s="93"/>
      <c r="M595" s="124"/>
      <c r="N595" s="44"/>
      <c r="O595" s="92"/>
      <c r="P595" s="110"/>
      <c r="Q595" s="44"/>
      <c r="R595" s="92"/>
      <c r="S595" s="125"/>
      <c r="T595" s="44"/>
      <c r="U595" s="92"/>
      <c r="V595" s="44"/>
      <c r="W595" s="44"/>
      <c r="X595" s="92"/>
      <c r="Y595" s="96"/>
      <c r="Z595" s="44"/>
      <c r="AA595" s="91"/>
    </row>
    <row r="596" spans="1:27" x14ac:dyDescent="0.2">
      <c r="A596" s="96"/>
      <c r="B596" s="44"/>
      <c r="C596" s="91"/>
      <c r="D596" s="139"/>
      <c r="E596" s="44"/>
      <c r="F596" s="122"/>
      <c r="G596" s="123"/>
      <c r="H596" s="44"/>
      <c r="I596" s="93"/>
      <c r="J596" s="44"/>
      <c r="K596" s="44"/>
      <c r="L596" s="93"/>
      <c r="M596" s="124"/>
      <c r="N596" s="44"/>
      <c r="O596" s="92"/>
      <c r="P596" s="110"/>
      <c r="Q596" s="44"/>
      <c r="R596" s="92"/>
      <c r="S596" s="125"/>
      <c r="T596" s="44"/>
      <c r="U596" s="92"/>
      <c r="V596" s="44"/>
      <c r="W596" s="44"/>
      <c r="X596" s="92"/>
      <c r="Y596" s="96"/>
      <c r="Z596" s="44"/>
      <c r="AA596" s="91"/>
    </row>
    <row r="597" spans="1:27" x14ac:dyDescent="0.2">
      <c r="A597" s="97"/>
      <c r="B597" s="41"/>
      <c r="C597" s="94"/>
      <c r="D597" s="140"/>
      <c r="E597" s="41"/>
      <c r="F597" s="126"/>
      <c r="G597" s="127"/>
      <c r="H597" s="41"/>
      <c r="I597" s="95"/>
      <c r="J597" s="41"/>
      <c r="K597" s="41"/>
      <c r="L597" s="95"/>
      <c r="M597" s="128"/>
      <c r="N597" s="41"/>
      <c r="O597" s="42"/>
      <c r="P597" s="52"/>
      <c r="Q597" s="41"/>
      <c r="R597" s="42"/>
      <c r="S597" s="129"/>
      <c r="T597" s="41"/>
      <c r="U597" s="42"/>
      <c r="V597" s="41"/>
      <c r="W597" s="41"/>
      <c r="X597" s="42"/>
      <c r="Y597" s="97"/>
      <c r="Z597" s="41"/>
      <c r="AA597" s="94"/>
    </row>
    <row r="598" spans="1:27" x14ac:dyDescent="0.2">
      <c r="A598" s="97"/>
      <c r="B598" s="41"/>
      <c r="C598" s="94"/>
      <c r="D598" s="140"/>
      <c r="E598" s="41"/>
      <c r="F598" s="126"/>
      <c r="G598" s="127"/>
      <c r="H598" s="41"/>
      <c r="I598" s="95"/>
      <c r="J598" s="41"/>
      <c r="K598" s="41"/>
      <c r="L598" s="95"/>
      <c r="M598" s="128"/>
      <c r="N598" s="41"/>
      <c r="O598" s="42"/>
      <c r="P598" s="52"/>
      <c r="Q598" s="41"/>
      <c r="R598" s="42"/>
      <c r="S598" s="129"/>
      <c r="T598" s="41"/>
      <c r="U598" s="42"/>
      <c r="V598" s="41"/>
      <c r="W598" s="41"/>
      <c r="X598" s="42"/>
      <c r="Y598" s="97"/>
      <c r="Z598" s="41"/>
      <c r="AA598" s="94"/>
    </row>
    <row r="599" spans="1:27" x14ac:dyDescent="0.2">
      <c r="A599" s="96"/>
      <c r="B599" s="44"/>
      <c r="C599" s="91"/>
      <c r="D599" s="139"/>
      <c r="E599" s="44"/>
      <c r="F599" s="122"/>
      <c r="G599" s="123"/>
      <c r="H599" s="44"/>
      <c r="I599" s="93"/>
      <c r="J599" s="44"/>
      <c r="K599" s="44"/>
      <c r="L599" s="93"/>
      <c r="M599" s="124"/>
      <c r="N599" s="44"/>
      <c r="O599" s="92"/>
      <c r="P599" s="110"/>
      <c r="Q599" s="44"/>
      <c r="R599" s="92"/>
      <c r="S599" s="125"/>
      <c r="T599" s="44"/>
      <c r="U599" s="92"/>
      <c r="V599" s="44"/>
      <c r="W599" s="44"/>
      <c r="X599" s="92"/>
      <c r="Y599" s="96"/>
      <c r="Z599" s="44"/>
      <c r="AA599" s="91"/>
    </row>
    <row r="600" spans="1:27" x14ac:dyDescent="0.2">
      <c r="A600" s="96"/>
      <c r="B600" s="44"/>
      <c r="C600" s="91"/>
      <c r="D600" s="139"/>
      <c r="E600" s="44"/>
      <c r="F600" s="122"/>
      <c r="G600" s="123"/>
      <c r="H600" s="44"/>
      <c r="I600" s="93"/>
      <c r="J600" s="44"/>
      <c r="K600" s="44"/>
      <c r="L600" s="93"/>
      <c r="M600" s="124"/>
      <c r="N600" s="44"/>
      <c r="O600" s="92"/>
      <c r="P600" s="110"/>
      <c r="Q600" s="44"/>
      <c r="R600" s="92"/>
      <c r="S600" s="125"/>
      <c r="T600" s="44"/>
      <c r="U600" s="92"/>
      <c r="V600" s="44"/>
      <c r="W600" s="44"/>
      <c r="X600" s="92"/>
      <c r="Y600" s="96"/>
      <c r="Z600" s="44"/>
      <c r="AA600" s="91"/>
    </row>
    <row r="601" spans="1:27" x14ac:dyDescent="0.2">
      <c r="A601" s="97"/>
      <c r="B601" s="41"/>
      <c r="C601" s="94"/>
      <c r="D601" s="140"/>
      <c r="E601" s="41"/>
      <c r="F601" s="126"/>
      <c r="G601" s="127"/>
      <c r="H601" s="41"/>
      <c r="I601" s="95"/>
      <c r="J601" s="41"/>
      <c r="K601" s="41"/>
      <c r="L601" s="95"/>
      <c r="M601" s="128"/>
      <c r="N601" s="41"/>
      <c r="O601" s="42"/>
      <c r="P601" s="52"/>
      <c r="Q601" s="41"/>
      <c r="R601" s="42"/>
      <c r="S601" s="129"/>
      <c r="T601" s="41"/>
      <c r="U601" s="42"/>
      <c r="V601" s="41"/>
      <c r="W601" s="41"/>
      <c r="X601" s="42"/>
      <c r="Y601" s="97"/>
      <c r="Z601" s="41"/>
      <c r="AA601" s="94"/>
    </row>
    <row r="602" spans="1:27" x14ac:dyDescent="0.2">
      <c r="A602" s="87"/>
      <c r="B602" s="87"/>
      <c r="C602" s="88"/>
      <c r="D602" s="138"/>
      <c r="E602" s="87"/>
      <c r="F602" s="118"/>
      <c r="G602" s="119"/>
      <c r="H602" s="87"/>
      <c r="I602" s="90"/>
      <c r="J602" s="87"/>
      <c r="K602" s="87"/>
      <c r="L602" s="90"/>
      <c r="M602" s="120"/>
      <c r="N602" s="87"/>
      <c r="O602" s="89"/>
      <c r="P602" s="130"/>
      <c r="Q602" s="87"/>
      <c r="R602" s="89"/>
      <c r="S602" s="121"/>
      <c r="T602" s="87"/>
      <c r="U602" s="89"/>
      <c r="V602" s="87"/>
      <c r="W602" s="87"/>
      <c r="X602" s="89"/>
      <c r="Y602" s="87"/>
      <c r="Z602" s="87"/>
      <c r="AA602" s="88"/>
    </row>
    <row r="603" spans="1:27" x14ac:dyDescent="0.2">
      <c r="A603" s="44"/>
      <c r="B603" s="44"/>
      <c r="C603" s="91"/>
      <c r="D603" s="139"/>
      <c r="E603" s="44"/>
      <c r="F603" s="122"/>
      <c r="G603" s="123"/>
      <c r="H603" s="44"/>
      <c r="I603" s="93"/>
      <c r="J603" s="44"/>
      <c r="K603" s="44"/>
      <c r="L603" s="93"/>
      <c r="M603" s="124"/>
      <c r="N603" s="44"/>
      <c r="O603" s="92"/>
      <c r="P603" s="110"/>
      <c r="Q603" s="44"/>
      <c r="R603" s="92"/>
      <c r="S603" s="125"/>
      <c r="T603" s="44"/>
      <c r="U603" s="92"/>
      <c r="V603" s="44"/>
      <c r="W603" s="44"/>
      <c r="X603" s="92"/>
      <c r="Y603" s="44"/>
      <c r="Z603" s="44"/>
      <c r="AA603" s="91"/>
    </row>
    <row r="604" spans="1:27" x14ac:dyDescent="0.2">
      <c r="A604" s="41"/>
      <c r="B604" s="41"/>
      <c r="C604" s="94"/>
      <c r="D604" s="140"/>
      <c r="E604" s="41"/>
      <c r="F604" s="126"/>
      <c r="G604" s="127"/>
      <c r="H604" s="41"/>
      <c r="I604" s="95"/>
      <c r="J604" s="41"/>
      <c r="K604" s="41"/>
      <c r="L604" s="95"/>
      <c r="M604" s="128"/>
      <c r="N604" s="41"/>
      <c r="O604" s="42"/>
      <c r="P604" s="52"/>
      <c r="Q604" s="41"/>
      <c r="R604" s="42"/>
      <c r="S604" s="129"/>
      <c r="T604" s="41"/>
      <c r="U604" s="42"/>
      <c r="V604" s="41"/>
      <c r="W604" s="41"/>
      <c r="X604" s="42"/>
      <c r="Y604" s="41"/>
      <c r="Z604" s="41"/>
      <c r="AA604" s="94"/>
    </row>
    <row r="605" spans="1:27" x14ac:dyDescent="0.2">
      <c r="A605" s="44"/>
      <c r="B605" s="44"/>
      <c r="C605" s="91"/>
      <c r="D605" s="139"/>
      <c r="E605" s="44"/>
      <c r="F605" s="122"/>
      <c r="G605" s="123"/>
      <c r="H605" s="44"/>
      <c r="I605" s="93"/>
      <c r="J605" s="44"/>
      <c r="K605" s="44"/>
      <c r="L605" s="93"/>
      <c r="M605" s="124"/>
      <c r="N605" s="44"/>
      <c r="O605" s="92"/>
      <c r="P605" s="110"/>
      <c r="Q605" s="44"/>
      <c r="R605" s="92"/>
      <c r="S605" s="125"/>
      <c r="T605" s="44"/>
      <c r="U605" s="92"/>
      <c r="V605" s="44"/>
      <c r="W605" s="44"/>
      <c r="X605" s="92"/>
      <c r="Y605" s="44"/>
      <c r="Z605" s="44"/>
      <c r="AA605" s="91"/>
    </row>
    <row r="606" spans="1:27" x14ac:dyDescent="0.2">
      <c r="A606" s="87"/>
      <c r="B606" s="87"/>
      <c r="C606" s="88"/>
      <c r="D606" s="138"/>
      <c r="E606" s="87"/>
      <c r="F606" s="118"/>
      <c r="G606" s="119"/>
      <c r="H606" s="87"/>
      <c r="I606" s="90"/>
      <c r="J606" s="87"/>
      <c r="K606" s="87"/>
      <c r="L606" s="90"/>
      <c r="M606" s="120"/>
      <c r="N606" s="87"/>
      <c r="O606" s="89"/>
      <c r="P606" s="87"/>
      <c r="Q606" s="87"/>
      <c r="R606" s="89"/>
      <c r="S606" s="121"/>
      <c r="T606" s="87"/>
      <c r="U606" s="89"/>
      <c r="V606" s="87"/>
      <c r="W606" s="87"/>
      <c r="X606" s="89"/>
      <c r="Y606" s="87"/>
      <c r="Z606" s="87"/>
      <c r="AA606" s="88"/>
    </row>
    <row r="607" spans="1:27" x14ac:dyDescent="0.2">
      <c r="A607" s="44"/>
      <c r="B607" s="44"/>
      <c r="C607" s="91"/>
      <c r="D607" s="139"/>
      <c r="E607" s="44"/>
      <c r="F607" s="122"/>
      <c r="G607" s="123"/>
      <c r="H607" s="44"/>
      <c r="I607" s="93"/>
      <c r="J607" s="44"/>
      <c r="K607" s="44"/>
      <c r="L607" s="93"/>
      <c r="M607" s="124"/>
      <c r="N607" s="44"/>
      <c r="O607" s="92"/>
      <c r="P607" s="110"/>
      <c r="Q607" s="44"/>
      <c r="R607" s="92"/>
      <c r="S607" s="125"/>
      <c r="T607" s="44"/>
      <c r="U607" s="92"/>
      <c r="V607" s="44"/>
      <c r="W607" s="44"/>
      <c r="X607" s="92"/>
      <c r="Y607" s="44"/>
      <c r="Z607" s="44"/>
      <c r="AA607" s="91"/>
    </row>
    <row r="608" spans="1:27" x14ac:dyDescent="0.2">
      <c r="A608" s="41"/>
      <c r="B608" s="41"/>
      <c r="C608" s="94"/>
      <c r="D608" s="140"/>
      <c r="E608" s="41"/>
      <c r="F608" s="126"/>
      <c r="G608" s="127"/>
      <c r="H608" s="41"/>
      <c r="I608" s="95"/>
      <c r="J608" s="41"/>
      <c r="K608" s="41"/>
      <c r="L608" s="95"/>
      <c r="M608" s="128"/>
      <c r="N608" s="41"/>
      <c r="O608" s="42"/>
      <c r="P608" s="52"/>
      <c r="Q608" s="41"/>
      <c r="R608" s="42"/>
      <c r="S608" s="129"/>
      <c r="T608" s="41"/>
      <c r="U608" s="42"/>
      <c r="V608" s="41"/>
      <c r="W608" s="41"/>
      <c r="X608" s="42"/>
      <c r="Y608" s="41"/>
      <c r="Z608" s="41"/>
      <c r="AA608" s="94"/>
    </row>
    <row r="609" spans="1:27" x14ac:dyDescent="0.2">
      <c r="A609" s="44"/>
      <c r="B609" s="44"/>
      <c r="C609" s="91"/>
      <c r="D609" s="139"/>
      <c r="E609" s="44"/>
      <c r="F609" s="122"/>
      <c r="G609" s="123"/>
      <c r="H609" s="44"/>
      <c r="I609" s="93"/>
      <c r="J609" s="44"/>
      <c r="K609" s="44"/>
      <c r="L609" s="93"/>
      <c r="M609" s="124"/>
      <c r="N609" s="44"/>
      <c r="O609" s="92"/>
      <c r="P609" s="110"/>
      <c r="Q609" s="44"/>
      <c r="R609" s="92"/>
      <c r="S609" s="125"/>
      <c r="T609" s="44"/>
      <c r="U609" s="92"/>
      <c r="V609" s="44"/>
      <c r="W609" s="44"/>
      <c r="X609" s="92"/>
      <c r="Y609" s="44"/>
      <c r="Z609" s="44"/>
      <c r="AA609" s="91"/>
    </row>
    <row r="610" spans="1:27" x14ac:dyDescent="0.2">
      <c r="A610" s="41"/>
      <c r="B610" s="41"/>
      <c r="C610" s="94"/>
      <c r="D610" s="140"/>
      <c r="E610" s="41"/>
      <c r="F610" s="126"/>
      <c r="G610" s="127"/>
      <c r="H610" s="41"/>
      <c r="I610" s="95"/>
      <c r="J610" s="41"/>
      <c r="K610" s="41"/>
      <c r="L610" s="95"/>
      <c r="M610" s="128"/>
      <c r="N610" s="41"/>
      <c r="O610" s="42"/>
      <c r="P610" s="52"/>
      <c r="Q610" s="41"/>
      <c r="R610" s="42"/>
      <c r="S610" s="129"/>
      <c r="T610" s="41"/>
      <c r="U610" s="42"/>
      <c r="V610" s="41"/>
      <c r="W610" s="41"/>
      <c r="X610" s="42"/>
      <c r="Y610" s="41"/>
      <c r="Z610" s="41"/>
      <c r="AA610" s="94"/>
    </row>
    <row r="611" spans="1:27" x14ac:dyDescent="0.2">
      <c r="A611" s="44"/>
      <c r="B611" s="44"/>
      <c r="C611" s="91"/>
      <c r="D611" s="139"/>
      <c r="E611" s="44"/>
      <c r="F611" s="122"/>
      <c r="G611" s="123"/>
      <c r="H611" s="44"/>
      <c r="I611" s="93"/>
      <c r="J611" s="44"/>
      <c r="K611" s="44"/>
      <c r="L611" s="93"/>
      <c r="M611" s="124"/>
      <c r="N611" s="44"/>
      <c r="O611" s="92"/>
      <c r="P611" s="110"/>
      <c r="Q611" s="44"/>
      <c r="R611" s="92"/>
      <c r="S611" s="125"/>
      <c r="T611" s="44"/>
      <c r="U611" s="92"/>
      <c r="V611" s="44"/>
      <c r="W611" s="44"/>
      <c r="X611" s="92"/>
      <c r="Y611" s="44"/>
      <c r="Z611" s="44"/>
      <c r="AA611" s="91"/>
    </row>
    <row r="612" spans="1:27" x14ac:dyDescent="0.2">
      <c r="A612" s="41"/>
      <c r="B612" s="41"/>
      <c r="C612" s="94"/>
      <c r="D612" s="140"/>
      <c r="E612" s="41"/>
      <c r="F612" s="126"/>
      <c r="G612" s="127"/>
      <c r="H612" s="41"/>
      <c r="I612" s="95"/>
      <c r="J612" s="41"/>
      <c r="K612" s="41"/>
      <c r="L612" s="95"/>
      <c r="M612" s="128"/>
      <c r="N612" s="41"/>
      <c r="O612" s="42"/>
      <c r="P612" s="52"/>
      <c r="Q612" s="41"/>
      <c r="R612" s="42"/>
      <c r="S612" s="129"/>
      <c r="T612" s="41"/>
      <c r="U612" s="42"/>
      <c r="V612" s="41"/>
      <c r="W612" s="41"/>
      <c r="X612" s="42"/>
      <c r="Y612" s="41"/>
      <c r="Z612" s="41"/>
      <c r="AA612" s="94"/>
    </row>
    <row r="613" spans="1:27" x14ac:dyDescent="0.2">
      <c r="A613" s="44"/>
      <c r="B613" s="44"/>
      <c r="C613" s="91"/>
      <c r="D613" s="139"/>
      <c r="E613" s="44"/>
      <c r="F613" s="122"/>
      <c r="G613" s="123"/>
      <c r="H613" s="44"/>
      <c r="I613" s="93"/>
      <c r="J613" s="44"/>
      <c r="K613" s="44"/>
      <c r="L613" s="93"/>
      <c r="M613" s="124"/>
      <c r="N613" s="44"/>
      <c r="O613" s="92"/>
      <c r="P613" s="110"/>
      <c r="Q613" s="44"/>
      <c r="R613" s="92"/>
      <c r="S613" s="125"/>
      <c r="T613" s="44"/>
      <c r="U613" s="92"/>
      <c r="V613" s="44"/>
      <c r="W613" s="44"/>
      <c r="X613" s="92"/>
      <c r="Y613" s="44"/>
      <c r="Z613" s="44"/>
      <c r="AA613" s="91"/>
    </row>
    <row r="614" spans="1:27" x14ac:dyDescent="0.2">
      <c r="A614" s="41"/>
      <c r="B614" s="41"/>
      <c r="C614" s="94"/>
      <c r="D614" s="140"/>
      <c r="E614" s="41"/>
      <c r="F614" s="126"/>
      <c r="G614" s="127"/>
      <c r="H614" s="41"/>
      <c r="I614" s="95"/>
      <c r="J614" s="41"/>
      <c r="K614" s="41"/>
      <c r="L614" s="95"/>
      <c r="M614" s="128"/>
      <c r="N614" s="41"/>
      <c r="O614" s="42"/>
      <c r="P614" s="52"/>
      <c r="Q614" s="41"/>
      <c r="R614" s="42"/>
      <c r="S614" s="129"/>
      <c r="T614" s="41"/>
      <c r="U614" s="42"/>
      <c r="V614" s="41"/>
      <c r="W614" s="41"/>
      <c r="X614" s="42"/>
      <c r="Y614" s="41"/>
      <c r="Z614" s="41"/>
      <c r="AA614" s="94"/>
    </row>
    <row r="615" spans="1:27" x14ac:dyDescent="0.2">
      <c r="A615" s="44"/>
      <c r="B615" s="44"/>
      <c r="C615" s="91"/>
      <c r="D615" s="139"/>
      <c r="E615" s="44"/>
      <c r="F615" s="122"/>
      <c r="G615" s="123"/>
      <c r="H615" s="44"/>
      <c r="I615" s="93"/>
      <c r="J615" s="44"/>
      <c r="K615" s="44"/>
      <c r="L615" s="93"/>
      <c r="M615" s="124"/>
      <c r="N615" s="44"/>
      <c r="O615" s="92"/>
      <c r="P615" s="110"/>
      <c r="Q615" s="44"/>
      <c r="R615" s="92"/>
      <c r="S615" s="125"/>
      <c r="T615" s="44"/>
      <c r="U615" s="92"/>
      <c r="V615" s="44"/>
      <c r="W615" s="44"/>
      <c r="X615" s="92"/>
      <c r="Y615" s="44"/>
      <c r="Z615" s="44"/>
      <c r="AA615" s="91"/>
    </row>
    <row r="616" spans="1:27" x14ac:dyDescent="0.2">
      <c r="A616" s="41"/>
      <c r="B616" s="41"/>
      <c r="C616" s="94"/>
      <c r="D616" s="140"/>
      <c r="E616" s="41"/>
      <c r="F616" s="126"/>
      <c r="G616" s="127"/>
      <c r="H616" s="41"/>
      <c r="I616" s="95"/>
      <c r="J616" s="41"/>
      <c r="K616" s="41"/>
      <c r="L616" s="95"/>
      <c r="M616" s="128"/>
      <c r="N616" s="41"/>
      <c r="O616" s="42"/>
      <c r="P616" s="52"/>
      <c r="Q616" s="41"/>
      <c r="R616" s="42"/>
      <c r="S616" s="129"/>
      <c r="T616" s="41"/>
      <c r="U616" s="42"/>
      <c r="V616" s="41"/>
      <c r="W616" s="41"/>
      <c r="X616" s="42"/>
      <c r="Y616" s="41"/>
      <c r="Z616" s="41"/>
      <c r="AA616" s="94"/>
    </row>
    <row r="617" spans="1:27" x14ac:dyDescent="0.2">
      <c r="A617" s="44"/>
      <c r="B617" s="44"/>
      <c r="C617" s="91"/>
      <c r="D617" s="139"/>
      <c r="E617" s="44"/>
      <c r="F617" s="122"/>
      <c r="G617" s="123"/>
      <c r="H617" s="44"/>
      <c r="I617" s="93"/>
      <c r="J617" s="44"/>
      <c r="K617" s="44"/>
      <c r="L617" s="93"/>
      <c r="M617" s="124"/>
      <c r="N617" s="44"/>
      <c r="O617" s="92"/>
      <c r="P617" s="110"/>
      <c r="Q617" s="44"/>
      <c r="R617" s="92"/>
      <c r="S617" s="125"/>
      <c r="T617" s="44"/>
      <c r="U617" s="92"/>
      <c r="V617" s="44"/>
      <c r="W617" s="44"/>
      <c r="X617" s="92"/>
      <c r="Y617" s="44"/>
      <c r="Z617" s="44"/>
      <c r="AA617" s="91"/>
    </row>
    <row r="618" spans="1:27" x14ac:dyDescent="0.2">
      <c r="A618" s="41"/>
      <c r="B618" s="41"/>
      <c r="C618" s="94"/>
      <c r="D618" s="140"/>
      <c r="E618" s="41"/>
      <c r="F618" s="126"/>
      <c r="G618" s="127"/>
      <c r="H618" s="41"/>
      <c r="I618" s="95"/>
      <c r="J618" s="41"/>
      <c r="K618" s="41"/>
      <c r="L618" s="95"/>
      <c r="M618" s="128"/>
      <c r="N618" s="41"/>
      <c r="O618" s="42"/>
      <c r="P618" s="52"/>
      <c r="Q618" s="41"/>
      <c r="R618" s="42"/>
      <c r="S618" s="129"/>
      <c r="T618" s="41"/>
      <c r="U618" s="42"/>
      <c r="V618" s="41"/>
      <c r="W618" s="41"/>
      <c r="X618" s="42"/>
      <c r="Y618" s="41"/>
      <c r="Z618" s="41"/>
      <c r="AA618" s="94"/>
    </row>
    <row r="619" spans="1:27" x14ac:dyDescent="0.2">
      <c r="A619" s="44"/>
      <c r="B619" s="44"/>
      <c r="C619" s="91"/>
      <c r="D619" s="139"/>
      <c r="E619" s="44"/>
      <c r="F619" s="122"/>
      <c r="G619" s="123"/>
      <c r="H619" s="44"/>
      <c r="I619" s="93"/>
      <c r="J619" s="44"/>
      <c r="K619" s="44"/>
      <c r="L619" s="93"/>
      <c r="M619" s="124"/>
      <c r="N619" s="44"/>
      <c r="O619" s="92"/>
      <c r="P619" s="110"/>
      <c r="Q619" s="44"/>
      <c r="R619" s="92"/>
      <c r="S619" s="125"/>
      <c r="T619" s="44"/>
      <c r="U619" s="92"/>
      <c r="V619" s="44"/>
      <c r="W619" s="44"/>
      <c r="X619" s="92"/>
      <c r="Y619" s="44"/>
      <c r="Z619" s="44"/>
      <c r="AA619" s="91"/>
    </row>
    <row r="620" spans="1:27" x14ac:dyDescent="0.2">
      <c r="A620" s="41"/>
      <c r="B620" s="41"/>
      <c r="C620" s="94"/>
      <c r="D620" s="140"/>
      <c r="E620" s="41"/>
      <c r="F620" s="126"/>
      <c r="G620" s="127"/>
      <c r="H620" s="41"/>
      <c r="I620" s="95"/>
      <c r="J620" s="41"/>
      <c r="K620" s="41"/>
      <c r="L620" s="95"/>
      <c r="M620" s="128"/>
      <c r="N620" s="41"/>
      <c r="O620" s="42"/>
      <c r="P620" s="52"/>
      <c r="Q620" s="41"/>
      <c r="R620" s="42"/>
      <c r="S620" s="129"/>
      <c r="T620" s="41"/>
      <c r="U620" s="42"/>
      <c r="V620" s="41"/>
      <c r="W620" s="41"/>
      <c r="X620" s="42"/>
      <c r="Y620" s="41"/>
      <c r="Z620" s="41"/>
      <c r="AA620" s="94"/>
    </row>
    <row r="621" spans="1:27" x14ac:dyDescent="0.2">
      <c r="A621" s="44"/>
      <c r="B621" s="44"/>
      <c r="C621" s="91"/>
      <c r="D621" s="139"/>
      <c r="E621" s="44"/>
      <c r="F621" s="122"/>
      <c r="G621" s="123"/>
      <c r="H621" s="44"/>
      <c r="I621" s="93"/>
      <c r="J621" s="44"/>
      <c r="K621" s="44"/>
      <c r="L621" s="93"/>
      <c r="M621" s="124"/>
      <c r="N621" s="44"/>
      <c r="O621" s="92"/>
      <c r="P621" s="110"/>
      <c r="Q621" s="44"/>
      <c r="R621" s="92"/>
      <c r="S621" s="125"/>
      <c r="T621" s="44"/>
      <c r="U621" s="92"/>
      <c r="V621" s="44"/>
      <c r="W621" s="44"/>
      <c r="X621" s="92"/>
      <c r="Y621" s="44"/>
      <c r="Z621" s="44"/>
      <c r="AA621" s="91"/>
    </row>
    <row r="622" spans="1:27" x14ac:dyDescent="0.2">
      <c r="A622" s="41"/>
      <c r="B622" s="41"/>
      <c r="C622" s="94"/>
      <c r="D622" s="140"/>
      <c r="E622" s="41"/>
      <c r="F622" s="126"/>
      <c r="G622" s="127"/>
      <c r="H622" s="41"/>
      <c r="I622" s="95"/>
      <c r="J622" s="41"/>
      <c r="K622" s="41"/>
      <c r="L622" s="95"/>
      <c r="M622" s="128"/>
      <c r="N622" s="41"/>
      <c r="O622" s="42"/>
      <c r="P622" s="52"/>
      <c r="Q622" s="41"/>
      <c r="R622" s="42"/>
      <c r="S622" s="129"/>
      <c r="T622" s="41"/>
      <c r="U622" s="42"/>
      <c r="V622" s="41"/>
      <c r="W622" s="41"/>
      <c r="X622" s="42"/>
      <c r="Y622" s="41"/>
      <c r="Z622" s="41"/>
      <c r="AA622" s="94"/>
    </row>
    <row r="623" spans="1:27" x14ac:dyDescent="0.2">
      <c r="A623" s="44"/>
      <c r="B623" s="44"/>
      <c r="C623" s="91"/>
      <c r="D623" s="139"/>
      <c r="E623" s="44"/>
      <c r="F623" s="122"/>
      <c r="G623" s="123"/>
      <c r="H623" s="44"/>
      <c r="I623" s="93"/>
      <c r="J623" s="44"/>
      <c r="K623" s="44"/>
      <c r="L623" s="93"/>
      <c r="M623" s="124"/>
      <c r="N623" s="44"/>
      <c r="O623" s="92"/>
      <c r="P623" s="110"/>
      <c r="Q623" s="44"/>
      <c r="R623" s="92"/>
      <c r="S623" s="125"/>
      <c r="T623" s="44"/>
      <c r="U623" s="92"/>
      <c r="V623" s="44"/>
      <c r="W623" s="44"/>
      <c r="X623" s="92"/>
      <c r="Y623" s="44"/>
      <c r="Z623" s="44"/>
      <c r="AA623" s="91"/>
    </row>
    <row r="624" spans="1:27" x14ac:dyDescent="0.2">
      <c r="A624" s="41"/>
      <c r="B624" s="41"/>
      <c r="C624" s="94"/>
      <c r="D624" s="140"/>
      <c r="E624" s="41"/>
      <c r="F624" s="127"/>
      <c r="G624" s="127"/>
      <c r="H624" s="41"/>
      <c r="I624" s="95"/>
      <c r="J624" s="41"/>
      <c r="K624" s="41"/>
      <c r="L624" s="95"/>
      <c r="M624" s="128"/>
      <c r="N624" s="41"/>
      <c r="O624" s="42"/>
      <c r="P624" s="52"/>
      <c r="Q624" s="41"/>
      <c r="R624" s="42"/>
      <c r="S624" s="129"/>
      <c r="T624" s="41"/>
      <c r="U624" s="42"/>
      <c r="V624" s="41"/>
      <c r="W624" s="41"/>
      <c r="X624" s="42"/>
      <c r="Y624" s="41"/>
      <c r="Z624" s="41"/>
      <c r="AA624" s="94"/>
    </row>
    <row r="625" spans="1:27" x14ac:dyDescent="0.2">
      <c r="A625" s="44"/>
      <c r="B625" s="44"/>
      <c r="C625" s="91"/>
      <c r="D625" s="139"/>
      <c r="E625" s="44"/>
      <c r="F625" s="122"/>
      <c r="G625" s="123"/>
      <c r="H625" s="44"/>
      <c r="I625" s="93"/>
      <c r="J625" s="44"/>
      <c r="K625" s="44"/>
      <c r="L625" s="93"/>
      <c r="M625" s="124"/>
      <c r="N625" s="44"/>
      <c r="O625" s="92"/>
      <c r="P625" s="110"/>
      <c r="Q625" s="44"/>
      <c r="R625" s="92"/>
      <c r="S625" s="125"/>
      <c r="T625" s="44"/>
      <c r="U625" s="92"/>
      <c r="V625" s="44"/>
      <c r="W625" s="44"/>
      <c r="X625" s="92"/>
      <c r="Y625" s="44"/>
      <c r="Z625" s="44"/>
      <c r="AA625" s="91"/>
    </row>
    <row r="626" spans="1:27" x14ac:dyDescent="0.2">
      <c r="A626" s="41"/>
      <c r="B626" s="41"/>
      <c r="C626" s="94"/>
      <c r="D626" s="140"/>
      <c r="E626" s="41"/>
      <c r="F626" s="126"/>
      <c r="G626" s="127"/>
      <c r="H626" s="41"/>
      <c r="I626" s="95"/>
      <c r="J626" s="41"/>
      <c r="K626" s="41"/>
      <c r="L626" s="95"/>
      <c r="M626" s="128"/>
      <c r="N626" s="41"/>
      <c r="O626" s="42"/>
      <c r="P626" s="52"/>
      <c r="Q626" s="41"/>
      <c r="R626" s="42"/>
      <c r="S626" s="129"/>
      <c r="T626" s="41"/>
      <c r="U626" s="42"/>
      <c r="V626" s="41"/>
      <c r="W626" s="41"/>
      <c r="X626" s="42"/>
      <c r="Y626" s="41"/>
      <c r="Z626" s="41"/>
      <c r="AA626" s="94"/>
    </row>
    <row r="627" spans="1:27" x14ac:dyDescent="0.2">
      <c r="A627" s="44"/>
      <c r="B627" s="44"/>
      <c r="C627" s="91"/>
      <c r="D627" s="139"/>
      <c r="E627" s="44"/>
      <c r="F627" s="122"/>
      <c r="G627" s="123"/>
      <c r="H627" s="44"/>
      <c r="I627" s="93"/>
      <c r="J627" s="44"/>
      <c r="K627" s="44"/>
      <c r="L627" s="93"/>
      <c r="M627" s="124"/>
      <c r="N627" s="44"/>
      <c r="O627" s="92"/>
      <c r="P627" s="110"/>
      <c r="Q627" s="44"/>
      <c r="R627" s="92"/>
      <c r="S627" s="125"/>
      <c r="T627" s="44"/>
      <c r="U627" s="92"/>
      <c r="V627" s="44"/>
      <c r="W627" s="44"/>
      <c r="X627" s="92"/>
      <c r="Y627" s="44"/>
      <c r="Z627" s="44"/>
      <c r="AA627" s="91"/>
    </row>
    <row r="628" spans="1:27" x14ac:dyDescent="0.2">
      <c r="A628" s="41"/>
      <c r="B628" s="41"/>
      <c r="C628" s="94"/>
      <c r="D628" s="140"/>
      <c r="E628" s="41"/>
      <c r="F628" s="126"/>
      <c r="G628" s="127"/>
      <c r="H628" s="41"/>
      <c r="I628" s="95"/>
      <c r="J628" s="41"/>
      <c r="K628" s="41"/>
      <c r="L628" s="95"/>
      <c r="M628" s="128"/>
      <c r="N628" s="41"/>
      <c r="O628" s="42"/>
      <c r="P628" s="52"/>
      <c r="Q628" s="41"/>
      <c r="R628" s="42"/>
      <c r="S628" s="129"/>
      <c r="T628" s="41"/>
      <c r="U628" s="42"/>
      <c r="V628" s="41"/>
      <c r="W628" s="41"/>
      <c r="X628" s="42"/>
      <c r="Y628" s="41"/>
      <c r="Z628" s="41"/>
      <c r="AA628" s="94"/>
    </row>
    <row r="629" spans="1:27" x14ac:dyDescent="0.2">
      <c r="A629" s="44"/>
      <c r="B629" s="44"/>
      <c r="C629" s="91"/>
      <c r="D629" s="139"/>
      <c r="E629" s="44"/>
      <c r="F629" s="122"/>
      <c r="G629" s="123"/>
      <c r="H629" s="44"/>
      <c r="I629" s="93"/>
      <c r="J629" s="44"/>
      <c r="K629" s="44"/>
      <c r="L629" s="93"/>
      <c r="M629" s="124"/>
      <c r="N629" s="44"/>
      <c r="O629" s="92"/>
      <c r="P629" s="110"/>
      <c r="Q629" s="44"/>
      <c r="R629" s="92"/>
      <c r="S629" s="125"/>
      <c r="T629" s="44"/>
      <c r="U629" s="92"/>
      <c r="V629" s="44"/>
      <c r="W629" s="44"/>
      <c r="X629" s="92"/>
      <c r="Y629" s="44"/>
      <c r="Z629" s="44"/>
      <c r="AA629" s="91"/>
    </row>
    <row r="630" spans="1:27" x14ac:dyDescent="0.2">
      <c r="A630" s="41"/>
      <c r="B630" s="41"/>
      <c r="C630" s="94"/>
      <c r="D630" s="140"/>
      <c r="E630" s="41"/>
      <c r="F630" s="126"/>
      <c r="G630" s="127"/>
      <c r="H630" s="41"/>
      <c r="I630" s="95"/>
      <c r="J630" s="41"/>
      <c r="K630" s="41"/>
      <c r="L630" s="95"/>
      <c r="M630" s="128"/>
      <c r="N630" s="41"/>
      <c r="O630" s="42"/>
      <c r="P630" s="52"/>
      <c r="Q630" s="41"/>
      <c r="R630" s="42"/>
      <c r="S630" s="129"/>
      <c r="T630" s="41"/>
      <c r="U630" s="42"/>
      <c r="V630" s="41"/>
      <c r="W630" s="41"/>
      <c r="X630" s="42"/>
      <c r="Y630" s="41"/>
      <c r="Z630" s="41"/>
      <c r="AA630" s="94"/>
    </row>
    <row r="631" spans="1:27" x14ac:dyDescent="0.2">
      <c r="A631" s="44"/>
      <c r="B631" s="44"/>
      <c r="C631" s="91"/>
      <c r="D631" s="139"/>
      <c r="E631" s="44"/>
      <c r="F631" s="122"/>
      <c r="G631" s="123"/>
      <c r="H631" s="44"/>
      <c r="I631" s="93"/>
      <c r="J631" s="44"/>
      <c r="K631" s="44"/>
      <c r="L631" s="93"/>
      <c r="M631" s="124"/>
      <c r="N631" s="44"/>
      <c r="O631" s="92"/>
      <c r="P631" s="110"/>
      <c r="Q631" s="44"/>
      <c r="R631" s="92"/>
      <c r="S631" s="125"/>
      <c r="T631" s="44"/>
      <c r="U631" s="92"/>
      <c r="V631" s="44"/>
      <c r="W631" s="44"/>
      <c r="X631" s="92"/>
      <c r="Y631" s="44"/>
      <c r="Z631" s="44"/>
      <c r="AA631" s="91"/>
    </row>
    <row r="632" spans="1:27" x14ac:dyDescent="0.2">
      <c r="A632" s="96"/>
      <c r="B632" s="44"/>
      <c r="C632" s="91"/>
      <c r="D632" s="139"/>
      <c r="E632" s="44"/>
      <c r="F632" s="122"/>
      <c r="G632" s="123"/>
      <c r="H632" s="44"/>
      <c r="I632" s="93"/>
      <c r="J632" s="44"/>
      <c r="K632" s="44"/>
      <c r="L632" s="93"/>
      <c r="M632" s="124"/>
      <c r="N632" s="44"/>
      <c r="O632" s="92"/>
      <c r="P632" s="110"/>
      <c r="Q632" s="44"/>
      <c r="R632" s="92"/>
      <c r="S632" s="125"/>
      <c r="T632" s="44"/>
      <c r="U632" s="92"/>
      <c r="V632" s="44"/>
      <c r="W632" s="44"/>
      <c r="X632" s="92"/>
      <c r="Y632" s="96"/>
      <c r="Z632" s="44"/>
      <c r="AA632" s="91"/>
    </row>
    <row r="633" spans="1:27" x14ac:dyDescent="0.2">
      <c r="A633" s="97"/>
      <c r="B633" s="41"/>
      <c r="C633" s="94"/>
      <c r="D633" s="140"/>
      <c r="E633" s="41"/>
      <c r="F633" s="126"/>
      <c r="G633" s="127"/>
      <c r="H633" s="41"/>
      <c r="I633" s="95"/>
      <c r="J633" s="41"/>
      <c r="K633" s="41"/>
      <c r="L633" s="95"/>
      <c r="M633" s="128"/>
      <c r="N633" s="41"/>
      <c r="O633" s="42"/>
      <c r="P633" s="52"/>
      <c r="Q633" s="41"/>
      <c r="R633" s="42"/>
      <c r="S633" s="129"/>
      <c r="T633" s="41"/>
      <c r="U633" s="42"/>
      <c r="V633" s="41"/>
      <c r="W633" s="41"/>
      <c r="X633" s="42"/>
      <c r="Y633" s="97"/>
      <c r="Z633" s="41"/>
      <c r="AA633" s="94"/>
    </row>
    <row r="634" spans="1:27" x14ac:dyDescent="0.2">
      <c r="A634" s="96"/>
      <c r="B634" s="44"/>
      <c r="C634" s="91"/>
      <c r="D634" s="139"/>
      <c r="E634" s="44"/>
      <c r="F634" s="122"/>
      <c r="G634" s="123"/>
      <c r="H634" s="44"/>
      <c r="I634" s="93"/>
      <c r="J634" s="44"/>
      <c r="K634" s="44"/>
      <c r="L634" s="93"/>
      <c r="M634" s="124"/>
      <c r="N634" s="44"/>
      <c r="O634" s="92"/>
      <c r="P634" s="110"/>
      <c r="Q634" s="44"/>
      <c r="R634" s="92"/>
      <c r="S634" s="125"/>
      <c r="T634" s="44"/>
      <c r="U634" s="92"/>
      <c r="V634" s="44"/>
      <c r="W634" s="44"/>
      <c r="X634" s="92"/>
      <c r="Y634" s="96"/>
      <c r="Z634" s="44"/>
      <c r="AA634" s="91"/>
    </row>
    <row r="635" spans="1:27" x14ac:dyDescent="0.2">
      <c r="A635" s="97"/>
      <c r="B635" s="41"/>
      <c r="C635" s="94"/>
      <c r="D635" s="140"/>
      <c r="E635" s="41"/>
      <c r="F635" s="126"/>
      <c r="G635" s="127"/>
      <c r="H635" s="41"/>
      <c r="I635" s="95"/>
      <c r="J635" s="41"/>
      <c r="K635" s="41"/>
      <c r="L635" s="95"/>
      <c r="M635" s="128"/>
      <c r="N635" s="41"/>
      <c r="O635" s="42"/>
      <c r="P635" s="52"/>
      <c r="Q635" s="41"/>
      <c r="R635" s="42"/>
      <c r="S635" s="129"/>
      <c r="T635" s="41"/>
      <c r="U635" s="42"/>
      <c r="V635" s="41"/>
      <c r="W635" s="41"/>
      <c r="X635" s="42"/>
      <c r="Y635" s="97"/>
      <c r="Z635" s="41"/>
      <c r="AA635" s="94"/>
    </row>
    <row r="636" spans="1:27" x14ac:dyDescent="0.2">
      <c r="A636" s="97"/>
      <c r="B636" s="41"/>
      <c r="C636" s="94"/>
      <c r="D636" s="140"/>
      <c r="E636" s="41"/>
      <c r="F636" s="126"/>
      <c r="G636" s="127"/>
      <c r="H636" s="41"/>
      <c r="I636" s="95"/>
      <c r="J636" s="41"/>
      <c r="K636" s="41"/>
      <c r="L636" s="95"/>
      <c r="M636" s="128"/>
      <c r="N636" s="41"/>
      <c r="O636" s="42"/>
      <c r="P636" s="52"/>
      <c r="Q636" s="41"/>
      <c r="R636" s="42"/>
      <c r="S636" s="129"/>
      <c r="T636" s="41"/>
      <c r="U636" s="42"/>
      <c r="V636" s="41"/>
      <c r="W636" s="41"/>
      <c r="X636" s="42"/>
      <c r="Y636" s="97"/>
      <c r="Z636" s="41"/>
      <c r="AA636" s="94"/>
    </row>
    <row r="637" spans="1:27" x14ac:dyDescent="0.2">
      <c r="A637" s="97"/>
      <c r="B637" s="41"/>
      <c r="C637" s="94"/>
      <c r="D637" s="140"/>
      <c r="E637" s="41"/>
      <c r="F637" s="126"/>
      <c r="G637" s="127"/>
      <c r="H637" s="41"/>
      <c r="I637" s="95"/>
      <c r="J637" s="41"/>
      <c r="K637" s="41"/>
      <c r="L637" s="95"/>
      <c r="M637" s="128"/>
      <c r="N637" s="41"/>
      <c r="O637" s="42"/>
      <c r="P637" s="52"/>
      <c r="Q637" s="41"/>
      <c r="R637" s="42"/>
      <c r="S637" s="129"/>
      <c r="T637" s="41"/>
      <c r="U637" s="42"/>
      <c r="V637" s="41"/>
      <c r="W637" s="41"/>
      <c r="X637" s="42"/>
      <c r="Y637" s="97"/>
      <c r="Z637" s="41"/>
      <c r="AA637" s="94"/>
    </row>
    <row r="638" spans="1:27" x14ac:dyDescent="0.2">
      <c r="A638" s="97"/>
      <c r="B638" s="41"/>
      <c r="C638" s="94"/>
      <c r="D638" s="140"/>
      <c r="E638" s="41"/>
      <c r="F638" s="126"/>
      <c r="G638" s="127"/>
      <c r="H638" s="41"/>
      <c r="I638" s="95"/>
      <c r="J638" s="41"/>
      <c r="K638" s="41"/>
      <c r="L638" s="95"/>
      <c r="M638" s="128"/>
      <c r="N638" s="41"/>
      <c r="O638" s="42"/>
      <c r="P638" s="52"/>
      <c r="Q638" s="41"/>
      <c r="R638" s="42"/>
      <c r="S638" s="129"/>
      <c r="T638" s="41"/>
      <c r="U638" s="42"/>
      <c r="V638" s="41"/>
      <c r="W638" s="41"/>
      <c r="X638" s="42"/>
      <c r="Y638" s="97"/>
      <c r="Z638" s="41"/>
      <c r="AA638" s="94"/>
    </row>
    <row r="639" spans="1:27" x14ac:dyDescent="0.2">
      <c r="A639" s="96"/>
      <c r="B639" s="44"/>
      <c r="C639" s="91"/>
      <c r="D639" s="139"/>
      <c r="E639" s="44"/>
      <c r="F639" s="122"/>
      <c r="G639" s="123"/>
      <c r="H639" s="44"/>
      <c r="I639" s="93"/>
      <c r="J639" s="44"/>
      <c r="K639" s="44"/>
      <c r="L639" s="93"/>
      <c r="M639" s="124"/>
      <c r="N639" s="44"/>
      <c r="O639" s="92"/>
      <c r="P639" s="110"/>
      <c r="Q639" s="44"/>
      <c r="R639" s="92"/>
      <c r="S639" s="125"/>
      <c r="T639" s="44"/>
      <c r="U639" s="92"/>
      <c r="V639" s="44"/>
      <c r="W639" s="44"/>
      <c r="X639" s="92"/>
      <c r="Y639" s="96"/>
      <c r="Z639" s="44"/>
      <c r="AA639" s="91"/>
    </row>
    <row r="640" spans="1:27" x14ac:dyDescent="0.2">
      <c r="A640" s="96"/>
      <c r="B640" s="44"/>
      <c r="C640" s="91"/>
      <c r="D640" s="139"/>
      <c r="E640" s="44"/>
      <c r="F640" s="122"/>
      <c r="G640" s="123"/>
      <c r="H640" s="44"/>
      <c r="I640" s="93"/>
      <c r="J640" s="44"/>
      <c r="K640" s="44"/>
      <c r="L640" s="93"/>
      <c r="M640" s="124"/>
      <c r="N640" s="44"/>
      <c r="O640" s="92"/>
      <c r="P640" s="110"/>
      <c r="Q640" s="44"/>
      <c r="R640" s="92"/>
      <c r="S640" s="125"/>
      <c r="T640" s="44"/>
      <c r="U640" s="92"/>
      <c r="V640" s="44"/>
      <c r="W640" s="44"/>
      <c r="X640" s="92"/>
      <c r="Y640" s="96"/>
      <c r="Z640" s="44"/>
      <c r="AA640" s="91"/>
    </row>
    <row r="641" spans="1:27" x14ac:dyDescent="0.2">
      <c r="A641" s="96"/>
      <c r="B641" s="44"/>
      <c r="C641" s="91"/>
      <c r="D641" s="139"/>
      <c r="E641" s="44"/>
      <c r="F641" s="122"/>
      <c r="G641" s="123"/>
      <c r="H641" s="44"/>
      <c r="I641" s="93"/>
      <c r="J641" s="44"/>
      <c r="K641" s="44"/>
      <c r="L641" s="93"/>
      <c r="M641" s="124"/>
      <c r="N641" s="44"/>
      <c r="O641" s="92"/>
      <c r="P641" s="110"/>
      <c r="Q641" s="44"/>
      <c r="R641" s="92"/>
      <c r="S641" s="125"/>
      <c r="T641" s="44"/>
      <c r="U641" s="92"/>
      <c r="V641" s="44"/>
      <c r="W641" s="44"/>
      <c r="X641" s="92"/>
      <c r="Y641" s="96"/>
      <c r="Z641" s="44"/>
      <c r="AA641" s="91"/>
    </row>
    <row r="642" spans="1:27" x14ac:dyDescent="0.2">
      <c r="A642" s="96"/>
      <c r="B642" s="44"/>
      <c r="C642" s="91"/>
      <c r="D642" s="139"/>
      <c r="E642" s="44"/>
      <c r="F642" s="122"/>
      <c r="G642" s="123"/>
      <c r="H642" s="44"/>
      <c r="I642" s="93"/>
      <c r="J642" s="44"/>
      <c r="K642" s="44"/>
      <c r="L642" s="93"/>
      <c r="M642" s="124"/>
      <c r="N642" s="44"/>
      <c r="O642" s="92"/>
      <c r="P642" s="110"/>
      <c r="Q642" s="44"/>
      <c r="R642" s="92"/>
      <c r="S642" s="125"/>
      <c r="T642" s="44"/>
      <c r="U642" s="92"/>
      <c r="V642" s="44"/>
      <c r="W642" s="44"/>
      <c r="X642" s="92"/>
      <c r="Y642" s="96"/>
      <c r="Z642" s="44"/>
      <c r="AA642" s="91"/>
    </row>
    <row r="643" spans="1:27" x14ac:dyDescent="0.2">
      <c r="A643" s="96"/>
      <c r="B643" s="44"/>
      <c r="C643" s="91"/>
      <c r="D643" s="139"/>
      <c r="E643" s="44"/>
      <c r="F643" s="122"/>
      <c r="G643" s="123"/>
      <c r="H643" s="44"/>
      <c r="I643" s="93"/>
      <c r="J643" s="44"/>
      <c r="K643" s="44"/>
      <c r="L643" s="93"/>
      <c r="M643" s="124"/>
      <c r="N643" s="44"/>
      <c r="O643" s="92"/>
      <c r="P643" s="110"/>
      <c r="Q643" s="44"/>
      <c r="R643" s="92"/>
      <c r="S643" s="125"/>
      <c r="T643" s="44"/>
      <c r="U643" s="92"/>
      <c r="V643" s="44"/>
      <c r="W643" s="44"/>
      <c r="X643" s="92"/>
      <c r="Y643" s="96"/>
      <c r="Z643" s="44"/>
      <c r="AA643" s="91"/>
    </row>
    <row r="644" spans="1:27" x14ac:dyDescent="0.2">
      <c r="A644" s="97"/>
      <c r="B644" s="41"/>
      <c r="C644" s="94"/>
      <c r="D644" s="140"/>
      <c r="E644" s="41"/>
      <c r="F644" s="126"/>
      <c r="G644" s="127"/>
      <c r="H644" s="41"/>
      <c r="I644" s="95"/>
      <c r="J644" s="41"/>
      <c r="K644" s="41"/>
      <c r="L644" s="95"/>
      <c r="M644" s="128"/>
      <c r="N644" s="41"/>
      <c r="O644" s="42"/>
      <c r="P644" s="52"/>
      <c r="Q644" s="41"/>
      <c r="R644" s="42"/>
      <c r="S644" s="129"/>
      <c r="T644" s="41"/>
      <c r="U644" s="42"/>
      <c r="V644" s="41"/>
      <c r="W644" s="41"/>
      <c r="X644" s="42"/>
      <c r="Y644" s="97"/>
      <c r="Z644" s="41"/>
      <c r="AA644" s="94"/>
    </row>
    <row r="645" spans="1:27" x14ac:dyDescent="0.2">
      <c r="A645" s="96"/>
      <c r="B645" s="44"/>
      <c r="C645" s="91"/>
      <c r="D645" s="139"/>
      <c r="E645" s="44"/>
      <c r="F645" s="122"/>
      <c r="G645" s="123"/>
      <c r="H645" s="44"/>
      <c r="I645" s="93"/>
      <c r="J645" s="44"/>
      <c r="K645" s="44"/>
      <c r="L645" s="93"/>
      <c r="M645" s="124"/>
      <c r="N645" s="44"/>
      <c r="O645" s="92"/>
      <c r="P645" s="110"/>
      <c r="Q645" s="44"/>
      <c r="R645" s="92"/>
      <c r="S645" s="125"/>
      <c r="T645" s="44"/>
      <c r="U645" s="92"/>
      <c r="V645" s="44"/>
      <c r="W645" s="44"/>
      <c r="X645" s="92"/>
      <c r="Y645" s="96"/>
      <c r="Z645" s="44"/>
      <c r="AA645" s="91"/>
    </row>
    <row r="646" spans="1:27" x14ac:dyDescent="0.2">
      <c r="A646" s="97"/>
      <c r="B646" s="41"/>
      <c r="C646" s="94"/>
      <c r="D646" s="140"/>
      <c r="E646" s="41"/>
      <c r="F646" s="126"/>
      <c r="G646" s="127"/>
      <c r="H646" s="41"/>
      <c r="I646" s="95"/>
      <c r="J646" s="41"/>
      <c r="K646" s="41"/>
      <c r="L646" s="95"/>
      <c r="M646" s="128"/>
      <c r="N646" s="41"/>
      <c r="O646" s="42"/>
      <c r="P646" s="52"/>
      <c r="Q646" s="41"/>
      <c r="R646" s="42"/>
      <c r="S646" s="129"/>
      <c r="T646" s="41"/>
      <c r="U646" s="42"/>
      <c r="V646" s="41"/>
      <c r="W646" s="41"/>
      <c r="X646" s="42"/>
      <c r="Y646" s="97"/>
      <c r="Z646" s="41"/>
      <c r="AA646" s="94"/>
    </row>
    <row r="647" spans="1:27" x14ac:dyDescent="0.2">
      <c r="A647" s="96"/>
      <c r="B647" s="44"/>
      <c r="C647" s="91"/>
      <c r="D647" s="139"/>
      <c r="E647" s="44"/>
      <c r="F647" s="122"/>
      <c r="G647" s="123"/>
      <c r="H647" s="44"/>
      <c r="I647" s="93"/>
      <c r="J647" s="44"/>
      <c r="K647" s="44"/>
      <c r="L647" s="93"/>
      <c r="M647" s="124"/>
      <c r="N647" s="44"/>
      <c r="O647" s="92"/>
      <c r="P647" s="110"/>
      <c r="Q647" s="44"/>
      <c r="R647" s="92"/>
      <c r="S647" s="125"/>
      <c r="T647" s="44"/>
      <c r="U647" s="92"/>
      <c r="V647" s="44"/>
      <c r="W647" s="44"/>
      <c r="X647" s="92"/>
      <c r="Y647" s="96"/>
      <c r="Z647" s="44"/>
      <c r="AA647" s="91"/>
    </row>
    <row r="648" spans="1:27" x14ac:dyDescent="0.2">
      <c r="A648" s="96"/>
      <c r="B648" s="44"/>
      <c r="C648" s="91"/>
      <c r="D648" s="139"/>
      <c r="E648" s="44"/>
      <c r="F648" s="122"/>
      <c r="G648" s="123"/>
      <c r="H648" s="44"/>
      <c r="I648" s="93"/>
      <c r="J648" s="44"/>
      <c r="K648" s="44"/>
      <c r="L648" s="93"/>
      <c r="M648" s="124"/>
      <c r="N648" s="44"/>
      <c r="O648" s="92"/>
      <c r="P648" s="110"/>
      <c r="Q648" s="44"/>
      <c r="R648" s="92"/>
      <c r="S648" s="125"/>
      <c r="T648" s="44"/>
      <c r="U648" s="92"/>
      <c r="V648" s="44"/>
      <c r="W648" s="44"/>
      <c r="X648" s="92"/>
      <c r="Y648" s="96"/>
      <c r="Z648" s="44"/>
      <c r="AA648" s="91"/>
    </row>
    <row r="649" spans="1:27" x14ac:dyDescent="0.2">
      <c r="A649" s="97"/>
      <c r="B649" s="41"/>
      <c r="C649" s="94"/>
      <c r="D649" s="140"/>
      <c r="E649" s="41"/>
      <c r="F649" s="126"/>
      <c r="G649" s="127"/>
      <c r="H649" s="41"/>
      <c r="I649" s="95"/>
      <c r="J649" s="41"/>
      <c r="K649" s="41"/>
      <c r="L649" s="95"/>
      <c r="M649" s="128"/>
      <c r="N649" s="41"/>
      <c r="O649" s="42"/>
      <c r="P649" s="52"/>
      <c r="Q649" s="41"/>
      <c r="R649" s="42"/>
      <c r="S649" s="129"/>
      <c r="T649" s="41"/>
      <c r="U649" s="42"/>
      <c r="V649" s="41"/>
      <c r="W649" s="41"/>
      <c r="X649" s="42"/>
      <c r="Y649" s="97"/>
      <c r="Z649" s="41"/>
      <c r="AA649" s="94"/>
    </row>
    <row r="650" spans="1:27" x14ac:dyDescent="0.2">
      <c r="A650" s="96"/>
      <c r="B650" s="44"/>
      <c r="C650" s="91"/>
      <c r="D650" s="139"/>
      <c r="E650" s="44"/>
      <c r="F650" s="122"/>
      <c r="G650" s="123"/>
      <c r="H650" s="44"/>
      <c r="I650" s="93"/>
      <c r="J650" s="44"/>
      <c r="K650" s="44"/>
      <c r="L650" s="93"/>
      <c r="M650" s="124"/>
      <c r="N650" s="44"/>
      <c r="O650" s="92"/>
      <c r="P650" s="110"/>
      <c r="Q650" s="44"/>
      <c r="R650" s="92"/>
      <c r="S650" s="125"/>
      <c r="T650" s="44"/>
      <c r="U650" s="92"/>
      <c r="V650" s="44"/>
      <c r="W650" s="44"/>
      <c r="X650" s="92"/>
      <c r="Y650" s="96"/>
      <c r="Z650" s="44"/>
      <c r="AA650" s="91"/>
    </row>
    <row r="651" spans="1:27" x14ac:dyDescent="0.2">
      <c r="A651" s="96"/>
      <c r="B651" s="44"/>
      <c r="C651" s="91"/>
      <c r="D651" s="139"/>
      <c r="E651" s="44"/>
      <c r="F651" s="122"/>
      <c r="G651" s="123"/>
      <c r="H651" s="44"/>
      <c r="I651" s="93"/>
      <c r="J651" s="44"/>
      <c r="K651" s="44"/>
      <c r="L651" s="93"/>
      <c r="M651" s="124"/>
      <c r="N651" s="44"/>
      <c r="O651" s="92"/>
      <c r="P651" s="110"/>
      <c r="Q651" s="44"/>
      <c r="R651" s="92"/>
      <c r="S651" s="125"/>
      <c r="T651" s="44"/>
      <c r="U651" s="92"/>
      <c r="V651" s="44"/>
      <c r="W651" s="44"/>
      <c r="X651" s="92"/>
      <c r="Y651" s="96"/>
      <c r="Z651" s="44"/>
      <c r="AA651" s="91"/>
    </row>
    <row r="652" spans="1:27" x14ac:dyDescent="0.2">
      <c r="A652" s="97"/>
      <c r="B652" s="41"/>
      <c r="C652" s="94"/>
      <c r="D652" s="140"/>
      <c r="E652" s="41"/>
      <c r="F652" s="126"/>
      <c r="G652" s="127"/>
      <c r="H652" s="41"/>
      <c r="I652" s="95"/>
      <c r="J652" s="41"/>
      <c r="K652" s="41"/>
      <c r="L652" s="95"/>
      <c r="M652" s="128"/>
      <c r="N652" s="41"/>
      <c r="O652" s="42"/>
      <c r="P652" s="52"/>
      <c r="Q652" s="41"/>
      <c r="R652" s="42"/>
      <c r="S652" s="129"/>
      <c r="T652" s="41"/>
      <c r="U652" s="42"/>
      <c r="V652" s="41"/>
      <c r="W652" s="41"/>
      <c r="X652" s="42"/>
      <c r="Y652" s="97"/>
      <c r="Z652" s="41"/>
      <c r="AA652" s="94"/>
    </row>
    <row r="653" spans="1:27" x14ac:dyDescent="0.2">
      <c r="A653" s="97"/>
      <c r="B653" s="41"/>
      <c r="C653" s="94"/>
      <c r="D653" s="140"/>
      <c r="E653" s="41"/>
      <c r="F653" s="126"/>
      <c r="G653" s="127"/>
      <c r="H653" s="41"/>
      <c r="I653" s="95"/>
      <c r="J653" s="41"/>
      <c r="K653" s="41"/>
      <c r="L653" s="95"/>
      <c r="M653" s="128"/>
      <c r="N653" s="41"/>
      <c r="O653" s="42"/>
      <c r="P653" s="52"/>
      <c r="Q653" s="41"/>
      <c r="R653" s="42"/>
      <c r="S653" s="129"/>
      <c r="T653" s="41"/>
      <c r="U653" s="42"/>
      <c r="V653" s="41"/>
      <c r="W653" s="41"/>
      <c r="X653" s="42"/>
      <c r="Y653" s="97"/>
      <c r="Z653" s="41"/>
      <c r="AA653" s="94"/>
    </row>
    <row r="654" spans="1:27" x14ac:dyDescent="0.2">
      <c r="A654" s="96"/>
      <c r="B654" s="44"/>
      <c r="C654" s="91"/>
      <c r="D654" s="139"/>
      <c r="E654" s="44"/>
      <c r="F654" s="122"/>
      <c r="G654" s="123"/>
      <c r="H654" s="44"/>
      <c r="I654" s="93"/>
      <c r="J654" s="44"/>
      <c r="K654" s="44"/>
      <c r="L654" s="93"/>
      <c r="M654" s="124"/>
      <c r="N654" s="44"/>
      <c r="O654" s="92"/>
      <c r="P654" s="110"/>
      <c r="Q654" s="44"/>
      <c r="R654" s="92"/>
      <c r="S654" s="125"/>
      <c r="T654" s="44"/>
      <c r="U654" s="92"/>
      <c r="V654" s="44"/>
      <c r="W654" s="44"/>
      <c r="X654" s="92"/>
      <c r="Y654" s="96"/>
      <c r="Z654" s="44"/>
      <c r="AA654" s="91"/>
    </row>
    <row r="655" spans="1:27" x14ac:dyDescent="0.2">
      <c r="A655" s="96"/>
      <c r="B655" s="44"/>
      <c r="C655" s="91"/>
      <c r="D655" s="139"/>
      <c r="E655" s="44"/>
      <c r="F655" s="122"/>
      <c r="G655" s="123"/>
      <c r="H655" s="44"/>
      <c r="I655" s="93"/>
      <c r="J655" s="44"/>
      <c r="K655" s="44"/>
      <c r="L655" s="93"/>
      <c r="M655" s="124"/>
      <c r="N655" s="44"/>
      <c r="O655" s="92"/>
      <c r="P655" s="110"/>
      <c r="Q655" s="44"/>
      <c r="R655" s="92"/>
      <c r="S655" s="125"/>
      <c r="T655" s="44"/>
      <c r="U655" s="92"/>
      <c r="V655" s="44"/>
      <c r="W655" s="44"/>
      <c r="X655" s="92"/>
      <c r="Y655" s="96"/>
      <c r="Z655" s="44"/>
      <c r="AA655" s="91"/>
    </row>
    <row r="656" spans="1:27" x14ac:dyDescent="0.2">
      <c r="A656" s="97"/>
      <c r="B656" s="41"/>
      <c r="C656" s="94"/>
      <c r="D656" s="140"/>
      <c r="E656" s="41"/>
      <c r="F656" s="126"/>
      <c r="G656" s="127"/>
      <c r="H656" s="41"/>
      <c r="I656" s="95"/>
      <c r="J656" s="41"/>
      <c r="K656" s="41"/>
      <c r="L656" s="95"/>
      <c r="M656" s="128"/>
      <c r="N656" s="41"/>
      <c r="O656" s="42"/>
      <c r="P656" s="52"/>
      <c r="Q656" s="41"/>
      <c r="R656" s="42"/>
      <c r="S656" s="129"/>
      <c r="T656" s="41"/>
      <c r="U656" s="42"/>
      <c r="V656" s="41"/>
      <c r="W656" s="41"/>
      <c r="X656" s="42"/>
      <c r="Y656" s="97"/>
      <c r="Z656" s="41"/>
      <c r="AA656" s="94"/>
    </row>
    <row r="657" spans="1:27" x14ac:dyDescent="0.2">
      <c r="A657" s="87"/>
      <c r="B657" s="87"/>
      <c r="C657" s="88"/>
      <c r="D657" s="138"/>
      <c r="E657" s="87"/>
      <c r="F657" s="118"/>
      <c r="G657" s="119"/>
      <c r="H657" s="87"/>
      <c r="I657" s="90"/>
      <c r="J657" s="87"/>
      <c r="K657" s="87"/>
      <c r="L657" s="90"/>
      <c r="M657" s="120"/>
      <c r="N657" s="87"/>
      <c r="O657" s="89"/>
      <c r="P657" s="130"/>
      <c r="Q657" s="87"/>
      <c r="R657" s="89"/>
      <c r="S657" s="121"/>
      <c r="T657" s="87"/>
      <c r="U657" s="89"/>
      <c r="V657" s="87"/>
      <c r="W657" s="87"/>
      <c r="X657" s="89"/>
      <c r="Y657" s="87"/>
      <c r="Z657" s="87"/>
      <c r="AA657" s="88"/>
    </row>
    <row r="658" spans="1:27" x14ac:dyDescent="0.2">
      <c r="A658" s="44"/>
      <c r="B658" s="44"/>
      <c r="C658" s="91"/>
      <c r="D658" s="139"/>
      <c r="E658" s="44"/>
      <c r="F658" s="122"/>
      <c r="G658" s="123"/>
      <c r="H658" s="44"/>
      <c r="I658" s="93"/>
      <c r="J658" s="44"/>
      <c r="K658" s="44"/>
      <c r="L658" s="93"/>
      <c r="M658" s="124"/>
      <c r="N658" s="44"/>
      <c r="O658" s="92"/>
      <c r="P658" s="110"/>
      <c r="Q658" s="44"/>
      <c r="R658" s="92"/>
      <c r="S658" s="125"/>
      <c r="T658" s="44"/>
      <c r="U658" s="92"/>
      <c r="V658" s="44"/>
      <c r="W658" s="44"/>
      <c r="X658" s="92"/>
      <c r="Y658" s="44"/>
      <c r="Z658" s="44"/>
      <c r="AA658" s="91"/>
    </row>
    <row r="659" spans="1:27" x14ac:dyDescent="0.2">
      <c r="A659" s="41"/>
      <c r="B659" s="41"/>
      <c r="C659" s="94"/>
      <c r="D659" s="140"/>
      <c r="E659" s="41"/>
      <c r="F659" s="126"/>
      <c r="G659" s="127"/>
      <c r="H659" s="41"/>
      <c r="I659" s="95"/>
      <c r="J659" s="41"/>
      <c r="K659" s="41"/>
      <c r="L659" s="95"/>
      <c r="M659" s="128"/>
      <c r="N659" s="41"/>
      <c r="O659" s="42"/>
      <c r="P659" s="52"/>
      <c r="Q659" s="41"/>
      <c r="R659" s="42"/>
      <c r="S659" s="129"/>
      <c r="T659" s="41"/>
      <c r="U659" s="42"/>
      <c r="V659" s="41"/>
      <c r="W659" s="41"/>
      <c r="X659" s="42"/>
      <c r="Y659" s="41"/>
      <c r="Z659" s="41"/>
      <c r="AA659" s="94"/>
    </row>
    <row r="660" spans="1:27" x14ac:dyDescent="0.2">
      <c r="A660" s="44"/>
      <c r="B660" s="44"/>
      <c r="C660" s="91"/>
      <c r="D660" s="139"/>
      <c r="E660" s="44"/>
      <c r="F660" s="122"/>
      <c r="G660" s="123"/>
      <c r="H660" s="44"/>
      <c r="I660" s="93"/>
      <c r="J660" s="44"/>
      <c r="K660" s="44"/>
      <c r="L660" s="93"/>
      <c r="M660" s="124"/>
      <c r="N660" s="44"/>
      <c r="O660" s="92"/>
      <c r="P660" s="110"/>
      <c r="Q660" s="44"/>
      <c r="R660" s="92"/>
      <c r="S660" s="125"/>
      <c r="T660" s="44"/>
      <c r="U660" s="92"/>
      <c r="V660" s="44"/>
      <c r="W660" s="44"/>
      <c r="X660" s="92"/>
      <c r="Y660" s="44"/>
      <c r="Z660" s="44"/>
      <c r="AA660" s="91"/>
    </row>
    <row r="661" spans="1:27" x14ac:dyDescent="0.2">
      <c r="A661" s="87"/>
      <c r="B661" s="87"/>
      <c r="C661" s="88"/>
      <c r="D661" s="138"/>
      <c r="E661" s="87"/>
      <c r="F661" s="118"/>
      <c r="G661" s="119"/>
      <c r="H661" s="87"/>
      <c r="I661" s="90"/>
      <c r="J661" s="87"/>
      <c r="K661" s="87"/>
      <c r="L661" s="90"/>
      <c r="M661" s="120"/>
      <c r="N661" s="87"/>
      <c r="O661" s="89"/>
      <c r="P661" s="87"/>
      <c r="Q661" s="87"/>
      <c r="R661" s="89"/>
      <c r="S661" s="121"/>
      <c r="T661" s="87"/>
      <c r="U661" s="89"/>
      <c r="V661" s="87"/>
      <c r="W661" s="87"/>
      <c r="X661" s="89"/>
      <c r="Y661" s="87"/>
      <c r="Z661" s="87"/>
      <c r="AA661" s="88"/>
    </row>
    <row r="662" spans="1:27" x14ac:dyDescent="0.2">
      <c r="A662" s="44"/>
      <c r="B662" s="44"/>
      <c r="C662" s="91"/>
      <c r="D662" s="139"/>
      <c r="E662" s="44"/>
      <c r="F662" s="122"/>
      <c r="G662" s="123"/>
      <c r="H662" s="44"/>
      <c r="I662" s="93"/>
      <c r="J662" s="44"/>
      <c r="K662" s="44"/>
      <c r="L662" s="93"/>
      <c r="M662" s="124"/>
      <c r="N662" s="44"/>
      <c r="O662" s="92"/>
      <c r="P662" s="110"/>
      <c r="Q662" s="44"/>
      <c r="R662" s="92"/>
      <c r="S662" s="125"/>
      <c r="T662" s="44"/>
      <c r="U662" s="92"/>
      <c r="V662" s="44"/>
      <c r="W662" s="44"/>
      <c r="X662" s="92"/>
      <c r="Y662" s="44"/>
      <c r="Z662" s="44"/>
      <c r="AA662" s="91"/>
    </row>
    <row r="663" spans="1:27" x14ac:dyDescent="0.2">
      <c r="A663" s="41"/>
      <c r="B663" s="41"/>
      <c r="C663" s="94"/>
      <c r="D663" s="140"/>
      <c r="E663" s="41"/>
      <c r="F663" s="126"/>
      <c r="G663" s="127"/>
      <c r="H663" s="41"/>
      <c r="I663" s="95"/>
      <c r="J663" s="41"/>
      <c r="K663" s="41"/>
      <c r="L663" s="95"/>
      <c r="M663" s="128"/>
      <c r="N663" s="41"/>
      <c r="O663" s="42"/>
      <c r="P663" s="52"/>
      <c r="Q663" s="41"/>
      <c r="R663" s="42"/>
      <c r="S663" s="129"/>
      <c r="T663" s="41"/>
      <c r="U663" s="42"/>
      <c r="V663" s="41"/>
      <c r="W663" s="41"/>
      <c r="X663" s="42"/>
      <c r="Y663" s="41"/>
      <c r="Z663" s="41"/>
      <c r="AA663" s="94"/>
    </row>
    <row r="664" spans="1:27" x14ac:dyDescent="0.2">
      <c r="A664" s="44"/>
      <c r="B664" s="44"/>
      <c r="C664" s="91"/>
      <c r="D664" s="139"/>
      <c r="E664" s="44"/>
      <c r="F664" s="122"/>
      <c r="G664" s="123"/>
      <c r="H664" s="44"/>
      <c r="I664" s="93"/>
      <c r="J664" s="44"/>
      <c r="K664" s="44"/>
      <c r="L664" s="93"/>
      <c r="M664" s="124"/>
      <c r="N664" s="44"/>
      <c r="O664" s="92"/>
      <c r="P664" s="110"/>
      <c r="Q664" s="44"/>
      <c r="R664" s="92"/>
      <c r="S664" s="125"/>
      <c r="T664" s="44"/>
      <c r="U664" s="92"/>
      <c r="V664" s="44"/>
      <c r="W664" s="44"/>
      <c r="X664" s="92"/>
      <c r="Y664" s="44"/>
      <c r="Z664" s="44"/>
      <c r="AA664" s="91"/>
    </row>
    <row r="665" spans="1:27" x14ac:dyDescent="0.2">
      <c r="A665" s="41"/>
      <c r="B665" s="41"/>
      <c r="C665" s="94"/>
      <c r="D665" s="140"/>
      <c r="E665" s="41"/>
      <c r="F665" s="126"/>
      <c r="G665" s="127"/>
      <c r="H665" s="41"/>
      <c r="I665" s="95"/>
      <c r="J665" s="41"/>
      <c r="K665" s="41"/>
      <c r="L665" s="95"/>
      <c r="M665" s="128"/>
      <c r="N665" s="41"/>
      <c r="O665" s="42"/>
      <c r="P665" s="52"/>
      <c r="Q665" s="41"/>
      <c r="R665" s="42"/>
      <c r="S665" s="129"/>
      <c r="T665" s="41"/>
      <c r="U665" s="42"/>
      <c r="V665" s="41"/>
      <c r="W665" s="41"/>
      <c r="X665" s="42"/>
      <c r="Y665" s="41"/>
      <c r="Z665" s="41"/>
      <c r="AA665" s="94"/>
    </row>
    <row r="666" spans="1:27" x14ac:dyDescent="0.2">
      <c r="A666" s="44"/>
      <c r="B666" s="44"/>
      <c r="C666" s="91"/>
      <c r="D666" s="139"/>
      <c r="E666" s="44"/>
      <c r="F666" s="122"/>
      <c r="G666" s="123"/>
      <c r="H666" s="44"/>
      <c r="I666" s="93"/>
      <c r="J666" s="44"/>
      <c r="K666" s="44"/>
      <c r="L666" s="93"/>
      <c r="M666" s="124"/>
      <c r="N666" s="44"/>
      <c r="O666" s="92"/>
      <c r="P666" s="110"/>
      <c r="Q666" s="44"/>
      <c r="R666" s="92"/>
      <c r="S666" s="125"/>
      <c r="T666" s="44"/>
      <c r="U666" s="92"/>
      <c r="V666" s="44"/>
      <c r="W666" s="44"/>
      <c r="X666" s="92"/>
      <c r="Y666" s="44"/>
      <c r="Z666" s="44"/>
      <c r="AA666" s="91"/>
    </row>
    <row r="667" spans="1:27" x14ac:dyDescent="0.2">
      <c r="A667" s="41"/>
      <c r="B667" s="41"/>
      <c r="C667" s="94"/>
      <c r="D667" s="140"/>
      <c r="E667" s="41"/>
      <c r="F667" s="126"/>
      <c r="G667" s="127"/>
      <c r="H667" s="41"/>
      <c r="I667" s="95"/>
      <c r="J667" s="41"/>
      <c r="K667" s="41"/>
      <c r="L667" s="95"/>
      <c r="M667" s="128"/>
      <c r="N667" s="41"/>
      <c r="O667" s="42"/>
      <c r="P667" s="52"/>
      <c r="Q667" s="41"/>
      <c r="R667" s="42"/>
      <c r="S667" s="129"/>
      <c r="T667" s="41"/>
      <c r="U667" s="42"/>
      <c r="V667" s="41"/>
      <c r="W667" s="41"/>
      <c r="X667" s="42"/>
      <c r="Y667" s="41"/>
      <c r="Z667" s="41"/>
      <c r="AA667" s="94"/>
    </row>
    <row r="668" spans="1:27" x14ac:dyDescent="0.2">
      <c r="A668" s="44"/>
      <c r="B668" s="44"/>
      <c r="C668" s="91"/>
      <c r="D668" s="139"/>
      <c r="E668" s="44"/>
      <c r="F668" s="122"/>
      <c r="G668" s="123"/>
      <c r="H668" s="44"/>
      <c r="I668" s="93"/>
      <c r="J668" s="44"/>
      <c r="K668" s="44"/>
      <c r="L668" s="93"/>
      <c r="M668" s="124"/>
      <c r="N668" s="44"/>
      <c r="O668" s="92"/>
      <c r="P668" s="110"/>
      <c r="Q668" s="44"/>
      <c r="R668" s="92"/>
      <c r="S668" s="125"/>
      <c r="T668" s="44"/>
      <c r="U668" s="92"/>
      <c r="V668" s="44"/>
      <c r="W668" s="44"/>
      <c r="X668" s="92"/>
      <c r="Y668" s="44"/>
      <c r="Z668" s="44"/>
      <c r="AA668" s="91"/>
    </row>
    <row r="669" spans="1:27" x14ac:dyDescent="0.2">
      <c r="A669" s="41"/>
      <c r="B669" s="41"/>
      <c r="C669" s="94"/>
      <c r="D669" s="140"/>
      <c r="E669" s="41"/>
      <c r="F669" s="126"/>
      <c r="G669" s="127"/>
      <c r="H669" s="41"/>
      <c r="I669" s="95"/>
      <c r="J669" s="41"/>
      <c r="K669" s="41"/>
      <c r="L669" s="95"/>
      <c r="M669" s="128"/>
      <c r="N669" s="41"/>
      <c r="O669" s="42"/>
      <c r="P669" s="52"/>
      <c r="Q669" s="41"/>
      <c r="R669" s="42"/>
      <c r="S669" s="129"/>
      <c r="T669" s="41"/>
      <c r="U669" s="42"/>
      <c r="V669" s="41"/>
      <c r="W669" s="41"/>
      <c r="X669" s="42"/>
      <c r="Y669" s="41"/>
      <c r="Z669" s="41"/>
      <c r="AA669" s="94"/>
    </row>
    <row r="670" spans="1:27" x14ac:dyDescent="0.2">
      <c r="A670" s="44"/>
      <c r="B670" s="44"/>
      <c r="C670" s="91"/>
      <c r="D670" s="139"/>
      <c r="E670" s="44"/>
      <c r="F670" s="122"/>
      <c r="G670" s="123"/>
      <c r="H670" s="44"/>
      <c r="I670" s="93"/>
      <c r="J670" s="44"/>
      <c r="K670" s="44"/>
      <c r="L670" s="93"/>
      <c r="M670" s="124"/>
      <c r="N670" s="44"/>
      <c r="O670" s="92"/>
      <c r="P670" s="110"/>
      <c r="Q670" s="44"/>
      <c r="R670" s="92"/>
      <c r="S670" s="125"/>
      <c r="T670" s="44"/>
      <c r="U670" s="92"/>
      <c r="V670" s="44"/>
      <c r="W670" s="44"/>
      <c r="X670" s="92"/>
      <c r="Y670" s="44"/>
      <c r="Z670" s="44"/>
      <c r="AA670" s="91"/>
    </row>
    <row r="671" spans="1:27" x14ac:dyDescent="0.2">
      <c r="A671" s="41"/>
      <c r="B671" s="41"/>
      <c r="C671" s="94"/>
      <c r="D671" s="140"/>
      <c r="E671" s="41"/>
      <c r="F671" s="126"/>
      <c r="G671" s="127"/>
      <c r="H671" s="41"/>
      <c r="I671" s="95"/>
      <c r="J671" s="41"/>
      <c r="K671" s="41"/>
      <c r="L671" s="95"/>
      <c r="M671" s="128"/>
      <c r="N671" s="41"/>
      <c r="O671" s="42"/>
      <c r="P671" s="52"/>
      <c r="Q671" s="41"/>
      <c r="R671" s="42"/>
      <c r="S671" s="129"/>
      <c r="T671" s="41"/>
      <c r="U671" s="42"/>
      <c r="V671" s="41"/>
      <c r="W671" s="41"/>
      <c r="X671" s="42"/>
      <c r="Y671" s="41"/>
      <c r="Z671" s="41"/>
      <c r="AA671" s="94"/>
    </row>
    <row r="672" spans="1:27" x14ac:dyDescent="0.2">
      <c r="A672" s="44"/>
      <c r="B672" s="44"/>
      <c r="C672" s="91"/>
      <c r="D672" s="139"/>
      <c r="E672" s="44"/>
      <c r="F672" s="122"/>
      <c r="G672" s="123"/>
      <c r="H672" s="44"/>
      <c r="I672" s="93"/>
      <c r="J672" s="44"/>
      <c r="K672" s="44"/>
      <c r="L672" s="93"/>
      <c r="M672" s="124"/>
      <c r="N672" s="44"/>
      <c r="O672" s="92"/>
      <c r="P672" s="110"/>
      <c r="Q672" s="44"/>
      <c r="R672" s="92"/>
      <c r="S672" s="125"/>
      <c r="T672" s="44"/>
      <c r="U672" s="92"/>
      <c r="V672" s="44"/>
      <c r="W672" s="44"/>
      <c r="X672" s="92"/>
      <c r="Y672" s="44"/>
      <c r="Z672" s="44"/>
      <c r="AA672" s="91"/>
    </row>
    <row r="673" spans="1:27" x14ac:dyDescent="0.2">
      <c r="A673" s="41"/>
      <c r="B673" s="41"/>
      <c r="C673" s="94"/>
      <c r="D673" s="140"/>
      <c r="E673" s="41"/>
      <c r="F673" s="126"/>
      <c r="G673" s="127"/>
      <c r="H673" s="41"/>
      <c r="I673" s="95"/>
      <c r="J673" s="41"/>
      <c r="K673" s="41"/>
      <c r="L673" s="95"/>
      <c r="M673" s="128"/>
      <c r="N673" s="41"/>
      <c r="O673" s="42"/>
      <c r="P673" s="52"/>
      <c r="Q673" s="41"/>
      <c r="R673" s="42"/>
      <c r="S673" s="129"/>
      <c r="T673" s="41"/>
      <c r="U673" s="42"/>
      <c r="V673" s="41"/>
      <c r="W673" s="41"/>
      <c r="X673" s="42"/>
      <c r="Y673" s="41"/>
      <c r="Z673" s="41"/>
      <c r="AA673" s="94"/>
    </row>
    <row r="674" spans="1:27" x14ac:dyDescent="0.2">
      <c r="A674" s="44"/>
      <c r="B674" s="44"/>
      <c r="C674" s="91"/>
      <c r="D674" s="139"/>
      <c r="E674" s="44"/>
      <c r="F674" s="122"/>
      <c r="G674" s="123"/>
      <c r="H674" s="44"/>
      <c r="I674" s="93"/>
      <c r="J674" s="44"/>
      <c r="K674" s="44"/>
      <c r="L674" s="93"/>
      <c r="M674" s="124"/>
      <c r="N674" s="44"/>
      <c r="O674" s="92"/>
      <c r="P674" s="110"/>
      <c r="Q674" s="44"/>
      <c r="R674" s="92"/>
      <c r="S674" s="125"/>
      <c r="T674" s="44"/>
      <c r="U674" s="92"/>
      <c r="V674" s="44"/>
      <c r="W674" s="44"/>
      <c r="X674" s="92"/>
      <c r="Y674" s="44"/>
      <c r="Z674" s="44"/>
      <c r="AA674" s="91"/>
    </row>
    <row r="675" spans="1:27" x14ac:dyDescent="0.2">
      <c r="A675" s="41"/>
      <c r="B675" s="41"/>
      <c r="C675" s="94"/>
      <c r="D675" s="140"/>
      <c r="E675" s="41"/>
      <c r="F675" s="126"/>
      <c r="G675" s="127"/>
      <c r="H675" s="41"/>
      <c r="I675" s="95"/>
      <c r="J675" s="41"/>
      <c r="K675" s="41"/>
      <c r="L675" s="95"/>
      <c r="M675" s="128"/>
      <c r="N675" s="41"/>
      <c r="O675" s="42"/>
      <c r="P675" s="52"/>
      <c r="Q675" s="41"/>
      <c r="R675" s="42"/>
      <c r="S675" s="129"/>
      <c r="T675" s="41"/>
      <c r="U675" s="42"/>
      <c r="V675" s="41"/>
      <c r="W675" s="41"/>
      <c r="X675" s="42"/>
      <c r="Y675" s="41"/>
      <c r="Z675" s="41"/>
      <c r="AA675" s="94"/>
    </row>
    <row r="676" spans="1:27" x14ac:dyDescent="0.2">
      <c r="A676" s="44"/>
      <c r="B676" s="44"/>
      <c r="C676" s="91"/>
      <c r="D676" s="139"/>
      <c r="E676" s="44"/>
      <c r="F676" s="122"/>
      <c r="G676" s="123"/>
      <c r="H676" s="44"/>
      <c r="I676" s="93"/>
      <c r="J676" s="44"/>
      <c r="K676" s="44"/>
      <c r="L676" s="93"/>
      <c r="M676" s="124"/>
      <c r="N676" s="44"/>
      <c r="O676" s="92"/>
      <c r="P676" s="110"/>
      <c r="Q676" s="44"/>
      <c r="R676" s="92"/>
      <c r="S676" s="125"/>
      <c r="T676" s="44"/>
      <c r="U676" s="92"/>
      <c r="V676" s="44"/>
      <c r="W676" s="44"/>
      <c r="X676" s="92"/>
      <c r="Y676" s="44"/>
      <c r="Z676" s="44"/>
      <c r="AA676" s="91"/>
    </row>
    <row r="677" spans="1:27" x14ac:dyDescent="0.2">
      <c r="A677" s="41"/>
      <c r="B677" s="41"/>
      <c r="C677" s="94"/>
      <c r="D677" s="140"/>
      <c r="E677" s="41"/>
      <c r="F677" s="126"/>
      <c r="G677" s="127"/>
      <c r="H677" s="41"/>
      <c r="I677" s="95"/>
      <c r="J677" s="41"/>
      <c r="K677" s="41"/>
      <c r="L677" s="95"/>
      <c r="M677" s="128"/>
      <c r="N677" s="41"/>
      <c r="O677" s="42"/>
      <c r="P677" s="52"/>
      <c r="Q677" s="41"/>
      <c r="R677" s="42"/>
      <c r="S677" s="129"/>
      <c r="T677" s="41"/>
      <c r="U677" s="42"/>
      <c r="V677" s="41"/>
      <c r="W677" s="41"/>
      <c r="X677" s="42"/>
      <c r="Y677" s="41"/>
      <c r="Z677" s="41"/>
      <c r="AA677" s="94"/>
    </row>
    <row r="678" spans="1:27" x14ac:dyDescent="0.2">
      <c r="A678" s="44"/>
      <c r="B678" s="44"/>
      <c r="C678" s="91"/>
      <c r="D678" s="139"/>
      <c r="E678" s="44"/>
      <c r="F678" s="122"/>
      <c r="G678" s="123"/>
      <c r="H678" s="44"/>
      <c r="I678" s="93"/>
      <c r="J678" s="44"/>
      <c r="K678" s="44"/>
      <c r="L678" s="93"/>
      <c r="M678" s="124"/>
      <c r="N678" s="44"/>
      <c r="O678" s="92"/>
      <c r="P678" s="110"/>
      <c r="Q678" s="44"/>
      <c r="R678" s="92"/>
      <c r="S678" s="125"/>
      <c r="T678" s="44"/>
      <c r="U678" s="92"/>
      <c r="V678" s="44"/>
      <c r="W678" s="44"/>
      <c r="X678" s="92"/>
      <c r="Y678" s="44"/>
      <c r="Z678" s="44"/>
      <c r="AA678" s="91"/>
    </row>
    <row r="679" spans="1:27" x14ac:dyDescent="0.2">
      <c r="A679" s="41"/>
      <c r="B679" s="41"/>
      <c r="C679" s="94"/>
      <c r="D679" s="140"/>
      <c r="E679" s="41"/>
      <c r="F679" s="127"/>
      <c r="G679" s="127"/>
      <c r="H679" s="41"/>
      <c r="I679" s="95"/>
      <c r="J679" s="41"/>
      <c r="K679" s="41"/>
      <c r="L679" s="95"/>
      <c r="M679" s="128"/>
      <c r="N679" s="41"/>
      <c r="O679" s="42"/>
      <c r="P679" s="52"/>
      <c r="Q679" s="41"/>
      <c r="R679" s="42"/>
      <c r="S679" s="129"/>
      <c r="T679" s="41"/>
      <c r="U679" s="42"/>
      <c r="V679" s="41"/>
      <c r="W679" s="41"/>
      <c r="X679" s="42"/>
      <c r="Y679" s="41"/>
      <c r="Z679" s="41"/>
      <c r="AA679" s="94"/>
    </row>
    <row r="680" spans="1:27" x14ac:dyDescent="0.2">
      <c r="A680" s="44"/>
      <c r="B680" s="44"/>
      <c r="C680" s="91"/>
      <c r="D680" s="139"/>
      <c r="E680" s="44"/>
      <c r="F680" s="122"/>
      <c r="G680" s="123"/>
      <c r="H680" s="44"/>
      <c r="I680" s="93"/>
      <c r="J680" s="44"/>
      <c r="K680" s="44"/>
      <c r="L680" s="93"/>
      <c r="M680" s="124"/>
      <c r="N680" s="44"/>
      <c r="O680" s="92"/>
      <c r="P680" s="110"/>
      <c r="Q680" s="44"/>
      <c r="R680" s="92"/>
      <c r="S680" s="125"/>
      <c r="T680" s="44"/>
      <c r="U680" s="92"/>
      <c r="V680" s="44"/>
      <c r="W680" s="44"/>
      <c r="X680" s="92"/>
      <c r="Y680" s="44"/>
      <c r="Z680" s="44"/>
      <c r="AA680" s="91"/>
    </row>
    <row r="681" spans="1:27" x14ac:dyDescent="0.2">
      <c r="A681" s="41"/>
      <c r="B681" s="41"/>
      <c r="C681" s="94"/>
      <c r="D681" s="140"/>
      <c r="E681" s="41"/>
      <c r="F681" s="126"/>
      <c r="G681" s="127"/>
      <c r="H681" s="41"/>
      <c r="I681" s="95"/>
      <c r="J681" s="41"/>
      <c r="K681" s="41"/>
      <c r="L681" s="95"/>
      <c r="M681" s="128"/>
      <c r="N681" s="41"/>
      <c r="O681" s="42"/>
      <c r="P681" s="52"/>
      <c r="Q681" s="41"/>
      <c r="R681" s="42"/>
      <c r="S681" s="129"/>
      <c r="T681" s="41"/>
      <c r="U681" s="42"/>
      <c r="V681" s="41"/>
      <c r="W681" s="41"/>
      <c r="X681" s="42"/>
      <c r="Y681" s="41"/>
      <c r="Z681" s="41"/>
      <c r="AA681" s="94"/>
    </row>
    <row r="682" spans="1:27" x14ac:dyDescent="0.2">
      <c r="A682" s="44"/>
      <c r="B682" s="44"/>
      <c r="C682" s="91"/>
      <c r="D682" s="139"/>
      <c r="E682" s="44"/>
      <c r="F682" s="122"/>
      <c r="G682" s="123"/>
      <c r="H682" s="44"/>
      <c r="I682" s="93"/>
      <c r="J682" s="44"/>
      <c r="K682" s="44"/>
      <c r="L682" s="93"/>
      <c r="M682" s="124"/>
      <c r="N682" s="44"/>
      <c r="O682" s="92"/>
      <c r="P682" s="110"/>
      <c r="Q682" s="44"/>
      <c r="R682" s="92"/>
      <c r="S682" s="125"/>
      <c r="T682" s="44"/>
      <c r="U682" s="92"/>
      <c r="V682" s="44"/>
      <c r="W682" s="44"/>
      <c r="X682" s="92"/>
      <c r="Y682" s="44"/>
      <c r="Z682" s="44"/>
      <c r="AA682" s="91"/>
    </row>
    <row r="683" spans="1:27" x14ac:dyDescent="0.2">
      <c r="A683" s="41"/>
      <c r="B683" s="41"/>
      <c r="C683" s="94"/>
      <c r="D683" s="140"/>
      <c r="E683" s="41"/>
      <c r="F683" s="126"/>
      <c r="G683" s="127"/>
      <c r="H683" s="41"/>
      <c r="I683" s="95"/>
      <c r="J683" s="41"/>
      <c r="K683" s="41"/>
      <c r="L683" s="95"/>
      <c r="M683" s="128"/>
      <c r="N683" s="41"/>
      <c r="O683" s="42"/>
      <c r="P683" s="52"/>
      <c r="Q683" s="41"/>
      <c r="R683" s="42"/>
      <c r="S683" s="129"/>
      <c r="T683" s="41"/>
      <c r="U683" s="42"/>
      <c r="V683" s="41"/>
      <c r="W683" s="41"/>
      <c r="X683" s="42"/>
      <c r="Y683" s="41"/>
      <c r="Z683" s="41"/>
      <c r="AA683" s="94"/>
    </row>
    <row r="684" spans="1:27" x14ac:dyDescent="0.2">
      <c r="A684" s="44"/>
      <c r="B684" s="44"/>
      <c r="C684" s="91"/>
      <c r="D684" s="139"/>
      <c r="E684" s="44"/>
      <c r="F684" s="122"/>
      <c r="G684" s="123"/>
      <c r="H684" s="44"/>
      <c r="I684" s="93"/>
      <c r="J684" s="44"/>
      <c r="K684" s="44"/>
      <c r="L684" s="93"/>
      <c r="M684" s="124"/>
      <c r="N684" s="44"/>
      <c r="O684" s="92"/>
      <c r="P684" s="110"/>
      <c r="Q684" s="44"/>
      <c r="R684" s="92"/>
      <c r="S684" s="125"/>
      <c r="T684" s="44"/>
      <c r="U684" s="92"/>
      <c r="V684" s="44"/>
      <c r="W684" s="44"/>
      <c r="X684" s="92"/>
      <c r="Y684" s="44"/>
      <c r="Z684" s="44"/>
      <c r="AA684" s="91"/>
    </row>
    <row r="685" spans="1:27" x14ac:dyDescent="0.2">
      <c r="A685" s="41"/>
      <c r="B685" s="41"/>
      <c r="C685" s="94"/>
      <c r="D685" s="140"/>
      <c r="E685" s="41"/>
      <c r="F685" s="126"/>
      <c r="G685" s="127"/>
      <c r="H685" s="41"/>
      <c r="I685" s="95"/>
      <c r="J685" s="41"/>
      <c r="K685" s="41"/>
      <c r="L685" s="95"/>
      <c r="M685" s="128"/>
      <c r="N685" s="41"/>
      <c r="O685" s="42"/>
      <c r="P685" s="52"/>
      <c r="Q685" s="41"/>
      <c r="R685" s="42"/>
      <c r="S685" s="129"/>
      <c r="T685" s="41"/>
      <c r="U685" s="42"/>
      <c r="V685" s="41"/>
      <c r="W685" s="41"/>
      <c r="X685" s="42"/>
      <c r="Y685" s="41"/>
      <c r="Z685" s="41"/>
      <c r="AA685" s="94"/>
    </row>
    <row r="686" spans="1:27" x14ac:dyDescent="0.2">
      <c r="A686" s="44"/>
      <c r="B686" s="44"/>
      <c r="C686" s="91"/>
      <c r="D686" s="139"/>
      <c r="E686" s="44"/>
      <c r="F686" s="122"/>
      <c r="G686" s="123"/>
      <c r="H686" s="44"/>
      <c r="I686" s="93"/>
      <c r="J686" s="44"/>
      <c r="K686" s="44"/>
      <c r="L686" s="93"/>
      <c r="M686" s="124"/>
      <c r="N686" s="44"/>
      <c r="O686" s="92"/>
      <c r="P686" s="110"/>
      <c r="Q686" s="44"/>
      <c r="R686" s="92"/>
      <c r="S686" s="125"/>
      <c r="T686" s="44"/>
      <c r="U686" s="92"/>
      <c r="V686" s="44"/>
      <c r="W686" s="44"/>
      <c r="X686" s="92"/>
      <c r="Y686" s="44"/>
      <c r="Z686" s="44"/>
      <c r="AA686" s="91"/>
    </row>
    <row r="687" spans="1:27" x14ac:dyDescent="0.2">
      <c r="A687" s="96"/>
      <c r="B687" s="44"/>
      <c r="C687" s="91"/>
      <c r="D687" s="139"/>
      <c r="E687" s="44"/>
      <c r="F687" s="122"/>
      <c r="G687" s="123"/>
      <c r="H687" s="44"/>
      <c r="I687" s="93"/>
      <c r="J687" s="44"/>
      <c r="K687" s="44"/>
      <c r="L687" s="93"/>
      <c r="M687" s="124"/>
      <c r="N687" s="44"/>
      <c r="O687" s="92"/>
      <c r="P687" s="110"/>
      <c r="Q687" s="44"/>
      <c r="R687" s="92"/>
      <c r="S687" s="125"/>
      <c r="T687" s="44"/>
      <c r="U687" s="92"/>
      <c r="V687" s="44"/>
      <c r="W687" s="44"/>
      <c r="X687" s="92"/>
      <c r="Y687" s="96"/>
      <c r="Z687" s="44"/>
      <c r="AA687" s="91"/>
    </row>
    <row r="688" spans="1:27" x14ac:dyDescent="0.2">
      <c r="A688" s="97"/>
      <c r="B688" s="41"/>
      <c r="C688" s="94"/>
      <c r="D688" s="140"/>
      <c r="E688" s="41"/>
      <c r="F688" s="126"/>
      <c r="G688" s="127"/>
      <c r="H688" s="41"/>
      <c r="I688" s="95"/>
      <c r="J688" s="41"/>
      <c r="K688" s="41"/>
      <c r="L688" s="95"/>
      <c r="M688" s="128"/>
      <c r="N688" s="41"/>
      <c r="O688" s="42"/>
      <c r="P688" s="52"/>
      <c r="Q688" s="41"/>
      <c r="R688" s="42"/>
      <c r="S688" s="129"/>
      <c r="T688" s="41"/>
      <c r="U688" s="42"/>
      <c r="V688" s="41"/>
      <c r="W688" s="41"/>
      <c r="X688" s="42"/>
      <c r="Y688" s="97"/>
      <c r="Z688" s="41"/>
      <c r="AA688" s="94"/>
    </row>
    <row r="689" spans="1:27" x14ac:dyDescent="0.2">
      <c r="A689" s="96"/>
      <c r="B689" s="44"/>
      <c r="C689" s="91"/>
      <c r="D689" s="139"/>
      <c r="E689" s="44"/>
      <c r="F689" s="122"/>
      <c r="G689" s="123"/>
      <c r="H689" s="44"/>
      <c r="I689" s="93"/>
      <c r="J689" s="44"/>
      <c r="K689" s="44"/>
      <c r="L689" s="93"/>
      <c r="M689" s="124"/>
      <c r="N689" s="44"/>
      <c r="O689" s="92"/>
      <c r="P689" s="110"/>
      <c r="Q689" s="44"/>
      <c r="R689" s="92"/>
      <c r="S689" s="125"/>
      <c r="T689" s="44"/>
      <c r="U689" s="92"/>
      <c r="V689" s="44"/>
      <c r="W689" s="44"/>
      <c r="X689" s="92"/>
      <c r="Y689" s="96"/>
      <c r="Z689" s="44"/>
      <c r="AA689" s="91"/>
    </row>
    <row r="690" spans="1:27" x14ac:dyDescent="0.2">
      <c r="A690" s="97"/>
      <c r="B690" s="41"/>
      <c r="C690" s="94"/>
      <c r="D690" s="140"/>
      <c r="E690" s="41"/>
      <c r="F690" s="126"/>
      <c r="G690" s="127"/>
      <c r="H690" s="41"/>
      <c r="I690" s="95"/>
      <c r="J690" s="41"/>
      <c r="K690" s="41"/>
      <c r="L690" s="95"/>
      <c r="M690" s="128"/>
      <c r="N690" s="41"/>
      <c r="O690" s="42"/>
      <c r="P690" s="52"/>
      <c r="Q690" s="41"/>
      <c r="R690" s="42"/>
      <c r="S690" s="129"/>
      <c r="T690" s="41"/>
      <c r="U690" s="42"/>
      <c r="V690" s="41"/>
      <c r="W690" s="41"/>
      <c r="X690" s="42"/>
      <c r="Y690" s="97"/>
      <c r="Z690" s="41"/>
      <c r="AA690" s="94"/>
    </row>
    <row r="691" spans="1:27" x14ac:dyDescent="0.2">
      <c r="A691" s="97"/>
      <c r="B691" s="41"/>
      <c r="C691" s="94"/>
      <c r="D691" s="140"/>
      <c r="E691" s="41"/>
      <c r="F691" s="126"/>
      <c r="G691" s="127"/>
      <c r="H691" s="41"/>
      <c r="I691" s="95"/>
      <c r="J691" s="41"/>
      <c r="K691" s="41"/>
      <c r="L691" s="95"/>
      <c r="M691" s="128"/>
      <c r="N691" s="41"/>
      <c r="O691" s="42"/>
      <c r="P691" s="52"/>
      <c r="Q691" s="41"/>
      <c r="R691" s="42"/>
      <c r="S691" s="129"/>
      <c r="T691" s="41"/>
      <c r="U691" s="42"/>
      <c r="V691" s="41"/>
      <c r="W691" s="41"/>
      <c r="X691" s="42"/>
      <c r="Y691" s="97"/>
      <c r="Z691" s="41"/>
      <c r="AA691" s="94"/>
    </row>
    <row r="692" spans="1:27" x14ac:dyDescent="0.2">
      <c r="A692" s="97"/>
      <c r="B692" s="41"/>
      <c r="C692" s="94"/>
      <c r="D692" s="140"/>
      <c r="E692" s="41"/>
      <c r="F692" s="126"/>
      <c r="G692" s="127"/>
      <c r="H692" s="41"/>
      <c r="I692" s="95"/>
      <c r="J692" s="41"/>
      <c r="K692" s="41"/>
      <c r="L692" s="95"/>
      <c r="M692" s="128"/>
      <c r="N692" s="41"/>
      <c r="O692" s="42"/>
      <c r="P692" s="52"/>
      <c r="Q692" s="41"/>
      <c r="R692" s="42"/>
      <c r="S692" s="129"/>
      <c r="T692" s="41"/>
      <c r="U692" s="42"/>
      <c r="V692" s="41"/>
      <c r="W692" s="41"/>
      <c r="X692" s="42"/>
      <c r="Y692" s="97"/>
      <c r="Z692" s="41"/>
      <c r="AA692" s="94"/>
    </row>
    <row r="693" spans="1:27" x14ac:dyDescent="0.2">
      <c r="A693" s="97"/>
      <c r="B693" s="41"/>
      <c r="C693" s="94"/>
      <c r="D693" s="140"/>
      <c r="E693" s="41"/>
      <c r="F693" s="126"/>
      <c r="G693" s="127"/>
      <c r="H693" s="41"/>
      <c r="I693" s="95"/>
      <c r="J693" s="41"/>
      <c r="K693" s="41"/>
      <c r="L693" s="95"/>
      <c r="M693" s="128"/>
      <c r="N693" s="41"/>
      <c r="O693" s="42"/>
      <c r="P693" s="52"/>
      <c r="Q693" s="41"/>
      <c r="R693" s="42"/>
      <c r="S693" s="129"/>
      <c r="T693" s="41"/>
      <c r="U693" s="42"/>
      <c r="V693" s="41"/>
      <c r="W693" s="41"/>
      <c r="X693" s="42"/>
      <c r="Y693" s="97"/>
      <c r="Z693" s="41"/>
      <c r="AA693" s="94"/>
    </row>
    <row r="694" spans="1:27" x14ac:dyDescent="0.2">
      <c r="A694" s="96"/>
      <c r="B694" s="44"/>
      <c r="C694" s="91"/>
      <c r="D694" s="139"/>
      <c r="E694" s="44"/>
      <c r="F694" s="122"/>
      <c r="G694" s="123"/>
      <c r="H694" s="44"/>
      <c r="I694" s="93"/>
      <c r="J694" s="44"/>
      <c r="K694" s="44"/>
      <c r="L694" s="93"/>
      <c r="M694" s="124"/>
      <c r="N694" s="44"/>
      <c r="O694" s="92"/>
      <c r="P694" s="110"/>
      <c r="Q694" s="44"/>
      <c r="R694" s="92"/>
      <c r="S694" s="125"/>
      <c r="T694" s="44"/>
      <c r="U694" s="92"/>
      <c r="V694" s="44"/>
      <c r="W694" s="44"/>
      <c r="X694" s="92"/>
      <c r="Y694" s="96"/>
      <c r="Z694" s="44"/>
      <c r="AA694" s="91"/>
    </row>
    <row r="695" spans="1:27" x14ac:dyDescent="0.2">
      <c r="A695" s="96"/>
      <c r="B695" s="44"/>
      <c r="C695" s="91"/>
      <c r="D695" s="139"/>
      <c r="E695" s="44"/>
      <c r="F695" s="122"/>
      <c r="G695" s="123"/>
      <c r="H695" s="44"/>
      <c r="I695" s="93"/>
      <c r="J695" s="44"/>
      <c r="K695" s="44"/>
      <c r="L695" s="93"/>
      <c r="M695" s="124"/>
      <c r="N695" s="44"/>
      <c r="O695" s="92"/>
      <c r="P695" s="110"/>
      <c r="Q695" s="44"/>
      <c r="R695" s="92"/>
      <c r="S695" s="125"/>
      <c r="T695" s="44"/>
      <c r="U695" s="92"/>
      <c r="V695" s="44"/>
      <c r="W695" s="44"/>
      <c r="X695" s="92"/>
      <c r="Y695" s="96"/>
      <c r="Z695" s="44"/>
      <c r="AA695" s="91"/>
    </row>
    <row r="696" spans="1:27" x14ac:dyDescent="0.2">
      <c r="A696" s="96"/>
      <c r="B696" s="44"/>
      <c r="C696" s="91"/>
      <c r="D696" s="139"/>
      <c r="E696" s="44"/>
      <c r="F696" s="122"/>
      <c r="G696" s="123"/>
      <c r="H696" s="44"/>
      <c r="I696" s="93"/>
      <c r="J696" s="44"/>
      <c r="K696" s="44"/>
      <c r="L696" s="93"/>
      <c r="M696" s="124"/>
      <c r="N696" s="44"/>
      <c r="O696" s="92"/>
      <c r="P696" s="110"/>
      <c r="Q696" s="44"/>
      <c r="R696" s="92"/>
      <c r="S696" s="125"/>
      <c r="T696" s="44"/>
      <c r="U696" s="92"/>
      <c r="V696" s="44"/>
      <c r="W696" s="44"/>
      <c r="X696" s="92"/>
      <c r="Y696" s="96"/>
      <c r="Z696" s="44"/>
      <c r="AA696" s="91"/>
    </row>
    <row r="697" spans="1:27" x14ac:dyDescent="0.2">
      <c r="A697" s="96"/>
      <c r="B697" s="44"/>
      <c r="C697" s="91"/>
      <c r="D697" s="139"/>
      <c r="E697" s="44"/>
      <c r="F697" s="122"/>
      <c r="G697" s="123"/>
      <c r="H697" s="44"/>
      <c r="I697" s="93"/>
      <c r="J697" s="44"/>
      <c r="K697" s="44"/>
      <c r="L697" s="93"/>
      <c r="M697" s="124"/>
      <c r="N697" s="44"/>
      <c r="O697" s="92"/>
      <c r="P697" s="110"/>
      <c r="Q697" s="44"/>
      <c r="R697" s="92"/>
      <c r="S697" s="125"/>
      <c r="T697" s="44"/>
      <c r="U697" s="92"/>
      <c r="V697" s="44"/>
      <c r="W697" s="44"/>
      <c r="X697" s="92"/>
      <c r="Y697" s="96"/>
      <c r="Z697" s="44"/>
      <c r="AA697" s="91"/>
    </row>
    <row r="698" spans="1:27" x14ac:dyDescent="0.2">
      <c r="A698" s="96"/>
      <c r="B698" s="44"/>
      <c r="C698" s="91"/>
      <c r="D698" s="139"/>
      <c r="E698" s="44"/>
      <c r="F698" s="122"/>
      <c r="G698" s="123"/>
      <c r="H698" s="44"/>
      <c r="I698" s="93"/>
      <c r="J698" s="44"/>
      <c r="K698" s="44"/>
      <c r="L698" s="93"/>
      <c r="M698" s="124"/>
      <c r="N698" s="44"/>
      <c r="O698" s="92"/>
      <c r="P698" s="110"/>
      <c r="Q698" s="44"/>
      <c r="R698" s="92"/>
      <c r="S698" s="125"/>
      <c r="T698" s="44"/>
      <c r="U698" s="92"/>
      <c r="V698" s="44"/>
      <c r="W698" s="44"/>
      <c r="X698" s="92"/>
      <c r="Y698" s="96"/>
      <c r="Z698" s="44"/>
      <c r="AA698" s="91"/>
    </row>
    <row r="699" spans="1:27" x14ac:dyDescent="0.2">
      <c r="A699" s="97"/>
      <c r="B699" s="41"/>
      <c r="C699" s="94"/>
      <c r="D699" s="140"/>
      <c r="E699" s="41"/>
      <c r="F699" s="126"/>
      <c r="G699" s="127"/>
      <c r="H699" s="41"/>
      <c r="I699" s="95"/>
      <c r="J699" s="41"/>
      <c r="K699" s="41"/>
      <c r="L699" s="95"/>
      <c r="M699" s="128"/>
      <c r="N699" s="41"/>
      <c r="O699" s="42"/>
      <c r="P699" s="52"/>
      <c r="Q699" s="41"/>
      <c r="R699" s="42"/>
      <c r="S699" s="129"/>
      <c r="T699" s="41"/>
      <c r="U699" s="42"/>
      <c r="V699" s="41"/>
      <c r="W699" s="41"/>
      <c r="X699" s="42"/>
      <c r="Y699" s="97"/>
      <c r="Z699" s="41"/>
      <c r="AA699" s="94"/>
    </row>
    <row r="700" spans="1:27" x14ac:dyDescent="0.2">
      <c r="A700" s="96"/>
      <c r="B700" s="44"/>
      <c r="C700" s="91"/>
      <c r="D700" s="139"/>
      <c r="E700" s="44"/>
      <c r="F700" s="122"/>
      <c r="G700" s="123"/>
      <c r="H700" s="44"/>
      <c r="I700" s="93"/>
      <c r="J700" s="44"/>
      <c r="K700" s="44"/>
      <c r="L700" s="93"/>
      <c r="M700" s="124"/>
      <c r="N700" s="44"/>
      <c r="O700" s="92"/>
      <c r="P700" s="110"/>
      <c r="Q700" s="44"/>
      <c r="R700" s="92"/>
      <c r="S700" s="125"/>
      <c r="T700" s="44"/>
      <c r="U700" s="92"/>
      <c r="V700" s="44"/>
      <c r="W700" s="44"/>
      <c r="X700" s="92"/>
      <c r="Y700" s="96"/>
      <c r="Z700" s="44"/>
      <c r="AA700" s="91"/>
    </row>
    <row r="701" spans="1:27" x14ac:dyDescent="0.2">
      <c r="A701" s="97"/>
      <c r="B701" s="41"/>
      <c r="C701" s="94"/>
      <c r="D701" s="140"/>
      <c r="E701" s="41"/>
      <c r="F701" s="126"/>
      <c r="G701" s="127"/>
      <c r="H701" s="41"/>
      <c r="I701" s="95"/>
      <c r="J701" s="41"/>
      <c r="K701" s="41"/>
      <c r="L701" s="95"/>
      <c r="M701" s="128"/>
      <c r="N701" s="41"/>
      <c r="O701" s="42"/>
      <c r="P701" s="52"/>
      <c r="Q701" s="41"/>
      <c r="R701" s="42"/>
      <c r="S701" s="129"/>
      <c r="T701" s="41"/>
      <c r="U701" s="42"/>
      <c r="V701" s="41"/>
      <c r="W701" s="41"/>
      <c r="X701" s="42"/>
      <c r="Y701" s="97"/>
      <c r="Z701" s="41"/>
      <c r="AA701" s="94"/>
    </row>
    <row r="702" spans="1:27" x14ac:dyDescent="0.2">
      <c r="A702" s="96"/>
      <c r="B702" s="44"/>
      <c r="C702" s="91"/>
      <c r="D702" s="139"/>
      <c r="E702" s="44"/>
      <c r="F702" s="122"/>
      <c r="G702" s="123"/>
      <c r="H702" s="44"/>
      <c r="I702" s="93"/>
      <c r="J702" s="44"/>
      <c r="K702" s="44"/>
      <c r="L702" s="93"/>
      <c r="M702" s="124"/>
      <c r="N702" s="44"/>
      <c r="O702" s="92"/>
      <c r="P702" s="110"/>
      <c r="Q702" s="44"/>
      <c r="R702" s="92"/>
      <c r="S702" s="125"/>
      <c r="T702" s="44"/>
      <c r="U702" s="92"/>
      <c r="V702" s="44"/>
      <c r="W702" s="44"/>
      <c r="X702" s="92"/>
      <c r="Y702" s="96"/>
      <c r="Z702" s="44"/>
      <c r="AA702" s="91"/>
    </row>
    <row r="703" spans="1:27" x14ac:dyDescent="0.2">
      <c r="A703" s="96"/>
      <c r="B703" s="44"/>
      <c r="C703" s="91"/>
      <c r="D703" s="139"/>
      <c r="E703" s="44"/>
      <c r="F703" s="122"/>
      <c r="G703" s="123"/>
      <c r="H703" s="44"/>
      <c r="I703" s="93"/>
      <c r="J703" s="44"/>
      <c r="K703" s="44"/>
      <c r="L703" s="93"/>
      <c r="M703" s="124"/>
      <c r="N703" s="44"/>
      <c r="O703" s="92"/>
      <c r="P703" s="110"/>
      <c r="Q703" s="44"/>
      <c r="R703" s="92"/>
      <c r="S703" s="125"/>
      <c r="T703" s="44"/>
      <c r="U703" s="92"/>
      <c r="V703" s="44"/>
      <c r="W703" s="44"/>
      <c r="X703" s="92"/>
      <c r="Y703" s="96"/>
      <c r="Z703" s="44"/>
      <c r="AA703" s="91"/>
    </row>
    <row r="704" spans="1:27" x14ac:dyDescent="0.2">
      <c r="A704" s="97"/>
      <c r="B704" s="41"/>
      <c r="C704" s="94"/>
      <c r="D704" s="140"/>
      <c r="E704" s="41"/>
      <c r="F704" s="126"/>
      <c r="G704" s="127"/>
      <c r="H704" s="41"/>
      <c r="I704" s="95"/>
      <c r="J704" s="41"/>
      <c r="K704" s="41"/>
      <c r="L704" s="95"/>
      <c r="M704" s="128"/>
      <c r="N704" s="41"/>
      <c r="O704" s="42"/>
      <c r="P704" s="52"/>
      <c r="Q704" s="41"/>
      <c r="R704" s="42"/>
      <c r="S704" s="129"/>
      <c r="T704" s="41"/>
      <c r="U704" s="42"/>
      <c r="V704" s="41"/>
      <c r="W704" s="41"/>
      <c r="X704" s="42"/>
      <c r="Y704" s="97"/>
      <c r="Z704" s="41"/>
      <c r="AA704" s="94"/>
    </row>
    <row r="705" spans="1:27" x14ac:dyDescent="0.2">
      <c r="A705" s="96"/>
      <c r="B705" s="44"/>
      <c r="C705" s="91"/>
      <c r="D705" s="139"/>
      <c r="E705" s="44"/>
      <c r="F705" s="122"/>
      <c r="G705" s="123"/>
      <c r="H705" s="44"/>
      <c r="I705" s="93"/>
      <c r="J705" s="44"/>
      <c r="K705" s="44"/>
      <c r="L705" s="93"/>
      <c r="M705" s="124"/>
      <c r="N705" s="44"/>
      <c r="O705" s="92"/>
      <c r="P705" s="110"/>
      <c r="Q705" s="44"/>
      <c r="R705" s="92"/>
      <c r="S705" s="125"/>
      <c r="T705" s="44"/>
      <c r="U705" s="92"/>
      <c r="V705" s="44"/>
      <c r="W705" s="44"/>
      <c r="X705" s="92"/>
      <c r="Y705" s="96"/>
      <c r="Z705" s="44"/>
      <c r="AA705" s="91"/>
    </row>
    <row r="706" spans="1:27" x14ac:dyDescent="0.2">
      <c r="A706" s="96"/>
      <c r="B706" s="44"/>
      <c r="C706" s="91"/>
      <c r="D706" s="139"/>
      <c r="E706" s="44"/>
      <c r="F706" s="122"/>
      <c r="G706" s="123"/>
      <c r="H706" s="44"/>
      <c r="I706" s="93"/>
      <c r="J706" s="44"/>
      <c r="K706" s="44"/>
      <c r="L706" s="93"/>
      <c r="M706" s="124"/>
      <c r="N706" s="44"/>
      <c r="O706" s="92"/>
      <c r="P706" s="110"/>
      <c r="Q706" s="44"/>
      <c r="R706" s="92"/>
      <c r="S706" s="125"/>
      <c r="T706" s="44"/>
      <c r="U706" s="92"/>
      <c r="V706" s="44"/>
      <c r="W706" s="44"/>
      <c r="X706" s="92"/>
      <c r="Y706" s="96"/>
      <c r="Z706" s="44"/>
      <c r="AA706" s="91"/>
    </row>
    <row r="707" spans="1:27" x14ac:dyDescent="0.2">
      <c r="A707" s="97"/>
      <c r="B707" s="41"/>
      <c r="C707" s="94"/>
      <c r="D707" s="140"/>
      <c r="E707" s="41"/>
      <c r="F707" s="126"/>
      <c r="G707" s="127"/>
      <c r="H707" s="41"/>
      <c r="I707" s="95"/>
      <c r="J707" s="41"/>
      <c r="K707" s="41"/>
      <c r="L707" s="95"/>
      <c r="M707" s="128"/>
      <c r="N707" s="41"/>
      <c r="O707" s="42"/>
      <c r="P707" s="52"/>
      <c r="Q707" s="41"/>
      <c r="R707" s="42"/>
      <c r="S707" s="129"/>
      <c r="T707" s="41"/>
      <c r="U707" s="42"/>
      <c r="V707" s="41"/>
      <c r="W707" s="41"/>
      <c r="X707" s="42"/>
      <c r="Y707" s="97"/>
      <c r="Z707" s="41"/>
      <c r="AA707" s="94"/>
    </row>
    <row r="708" spans="1:27" x14ac:dyDescent="0.2">
      <c r="A708" s="97"/>
      <c r="B708" s="41"/>
      <c r="C708" s="94"/>
      <c r="D708" s="140"/>
      <c r="E708" s="41"/>
      <c r="F708" s="126"/>
      <c r="G708" s="127"/>
      <c r="H708" s="41"/>
      <c r="I708" s="95"/>
      <c r="J708" s="41"/>
      <c r="K708" s="41"/>
      <c r="L708" s="95"/>
      <c r="M708" s="128"/>
      <c r="N708" s="41"/>
      <c r="O708" s="42"/>
      <c r="P708" s="52"/>
      <c r="Q708" s="41"/>
      <c r="R708" s="42"/>
      <c r="S708" s="129"/>
      <c r="T708" s="41"/>
      <c r="U708" s="42"/>
      <c r="V708" s="41"/>
      <c r="W708" s="41"/>
      <c r="X708" s="42"/>
      <c r="Y708" s="97"/>
      <c r="Z708" s="41"/>
      <c r="AA708" s="94"/>
    </row>
    <row r="709" spans="1:27" x14ac:dyDescent="0.2">
      <c r="A709" s="96"/>
      <c r="B709" s="44"/>
      <c r="C709" s="91"/>
      <c r="D709" s="139"/>
      <c r="E709" s="44"/>
      <c r="F709" s="122"/>
      <c r="G709" s="123"/>
      <c r="H709" s="44"/>
      <c r="I709" s="93"/>
      <c r="J709" s="44"/>
      <c r="K709" s="44"/>
      <c r="L709" s="93"/>
      <c r="M709" s="124"/>
      <c r="N709" s="44"/>
      <c r="O709" s="92"/>
      <c r="P709" s="110"/>
      <c r="Q709" s="44"/>
      <c r="R709" s="92"/>
      <c r="S709" s="125"/>
      <c r="T709" s="44"/>
      <c r="U709" s="92"/>
      <c r="V709" s="44"/>
      <c r="W709" s="44"/>
      <c r="X709" s="92"/>
      <c r="Y709" s="96"/>
      <c r="Z709" s="44"/>
      <c r="AA709" s="91"/>
    </row>
    <row r="710" spans="1:27" x14ac:dyDescent="0.2">
      <c r="A710" s="96"/>
      <c r="B710" s="44"/>
      <c r="C710" s="91"/>
      <c r="D710" s="139"/>
      <c r="E710" s="44"/>
      <c r="F710" s="122"/>
      <c r="G710" s="123"/>
      <c r="H710" s="44"/>
      <c r="I710" s="93"/>
      <c r="J710" s="44"/>
      <c r="K710" s="44"/>
      <c r="L710" s="93"/>
      <c r="M710" s="124"/>
      <c r="N710" s="44"/>
      <c r="O710" s="92"/>
      <c r="P710" s="110"/>
      <c r="Q710" s="44"/>
      <c r="R710" s="92"/>
      <c r="S710" s="125"/>
      <c r="T710" s="44"/>
      <c r="U710" s="92"/>
      <c r="V710" s="44"/>
      <c r="W710" s="44"/>
      <c r="X710" s="92"/>
      <c r="Y710" s="96"/>
      <c r="Z710" s="44"/>
      <c r="AA710" s="91"/>
    </row>
    <row r="711" spans="1:27" x14ac:dyDescent="0.2">
      <c r="A711" s="97"/>
      <c r="B711" s="41"/>
      <c r="C711" s="94"/>
      <c r="D711" s="140"/>
      <c r="E711" s="41"/>
      <c r="F711" s="126"/>
      <c r="G711" s="127"/>
      <c r="H711" s="41"/>
      <c r="I711" s="95"/>
      <c r="J711" s="41"/>
      <c r="K711" s="41"/>
      <c r="L711" s="95"/>
      <c r="M711" s="128"/>
      <c r="N711" s="41"/>
      <c r="O711" s="42"/>
      <c r="P711" s="52"/>
      <c r="Q711" s="41"/>
      <c r="R711" s="42"/>
      <c r="S711" s="129"/>
      <c r="T711" s="41"/>
      <c r="U711" s="42"/>
      <c r="V711" s="41"/>
      <c r="W711" s="41"/>
      <c r="X711" s="42"/>
      <c r="Y711" s="97"/>
      <c r="Z711" s="41"/>
      <c r="AA711" s="94"/>
    </row>
    <row r="712" spans="1:27" x14ac:dyDescent="0.2">
      <c r="A712" s="87"/>
      <c r="B712" s="87"/>
      <c r="C712" s="88"/>
      <c r="D712" s="138"/>
      <c r="E712" s="87"/>
      <c r="F712" s="118"/>
      <c r="G712" s="119"/>
      <c r="H712" s="87"/>
      <c r="I712" s="90"/>
      <c r="J712" s="87"/>
      <c r="K712" s="87"/>
      <c r="L712" s="90"/>
      <c r="M712" s="120"/>
      <c r="N712" s="87"/>
      <c r="O712" s="89"/>
      <c r="P712" s="130"/>
      <c r="Q712" s="87"/>
      <c r="R712" s="89"/>
      <c r="S712" s="121"/>
      <c r="T712" s="87"/>
      <c r="U712" s="89"/>
      <c r="V712" s="87"/>
      <c r="W712" s="87"/>
      <c r="X712" s="89"/>
      <c r="Y712" s="87"/>
      <c r="Z712" s="87"/>
      <c r="AA712" s="88"/>
    </row>
    <row r="713" spans="1:27" x14ac:dyDescent="0.2">
      <c r="A713" s="44"/>
      <c r="B713" s="44"/>
      <c r="C713" s="91"/>
      <c r="D713" s="139"/>
      <c r="E713" s="44"/>
      <c r="F713" s="122"/>
      <c r="G713" s="123"/>
      <c r="H713" s="44"/>
      <c r="I713" s="93"/>
      <c r="J713" s="44"/>
      <c r="K713" s="44"/>
      <c r="L713" s="93"/>
      <c r="M713" s="124"/>
      <c r="N713" s="44"/>
      <c r="O713" s="92"/>
      <c r="P713" s="110"/>
      <c r="Q713" s="44"/>
      <c r="R713" s="92"/>
      <c r="S713" s="125"/>
      <c r="T713" s="44"/>
      <c r="U713" s="92"/>
      <c r="V713" s="44"/>
      <c r="W713" s="44"/>
      <c r="X713" s="92"/>
      <c r="Y713" s="44"/>
      <c r="Z713" s="44"/>
      <c r="AA713" s="91"/>
    </row>
    <row r="714" spans="1:27" x14ac:dyDescent="0.2">
      <c r="A714" s="41"/>
      <c r="B714" s="41"/>
      <c r="C714" s="94"/>
      <c r="D714" s="140"/>
      <c r="E714" s="41"/>
      <c r="F714" s="126"/>
      <c r="G714" s="127"/>
      <c r="H714" s="41"/>
      <c r="I714" s="95"/>
      <c r="J714" s="41"/>
      <c r="K714" s="41"/>
      <c r="L714" s="95"/>
      <c r="M714" s="128"/>
      <c r="N714" s="41"/>
      <c r="O714" s="42"/>
      <c r="P714" s="52"/>
      <c r="Q714" s="41"/>
      <c r="R714" s="42"/>
      <c r="S714" s="129"/>
      <c r="T714" s="41"/>
      <c r="U714" s="42"/>
      <c r="V714" s="41"/>
      <c r="W714" s="41"/>
      <c r="X714" s="42"/>
      <c r="Y714" s="41"/>
      <c r="Z714" s="41"/>
      <c r="AA714" s="94"/>
    </row>
    <row r="715" spans="1:27" x14ac:dyDescent="0.2">
      <c r="A715" s="44"/>
      <c r="B715" s="44"/>
      <c r="C715" s="91"/>
      <c r="D715" s="139"/>
      <c r="E715" s="44"/>
      <c r="F715" s="122"/>
      <c r="G715" s="123"/>
      <c r="H715" s="44"/>
      <c r="I715" s="93"/>
      <c r="J715" s="44"/>
      <c r="K715" s="44"/>
      <c r="L715" s="93"/>
      <c r="M715" s="124"/>
      <c r="N715" s="44"/>
      <c r="O715" s="92"/>
      <c r="P715" s="110"/>
      <c r="Q715" s="44"/>
      <c r="R715" s="92"/>
      <c r="S715" s="125"/>
      <c r="T715" s="44"/>
      <c r="U715" s="92"/>
      <c r="V715" s="44"/>
      <c r="W715" s="44"/>
      <c r="X715" s="92"/>
      <c r="Y715" s="44"/>
      <c r="Z715" s="44"/>
      <c r="AA715" s="91"/>
    </row>
    <row r="716" spans="1:27" x14ac:dyDescent="0.2">
      <c r="A716" s="87"/>
      <c r="B716" s="87"/>
      <c r="C716" s="88"/>
      <c r="D716" s="138"/>
      <c r="E716" s="87"/>
      <c r="F716" s="118"/>
      <c r="G716" s="119"/>
      <c r="H716" s="87"/>
      <c r="I716" s="90"/>
      <c r="J716" s="87"/>
      <c r="K716" s="87"/>
      <c r="L716" s="90"/>
      <c r="M716" s="120"/>
      <c r="N716" s="87"/>
      <c r="O716" s="89"/>
      <c r="P716" s="87"/>
      <c r="Q716" s="87"/>
      <c r="R716" s="89"/>
      <c r="S716" s="121"/>
      <c r="T716" s="87"/>
      <c r="U716" s="89"/>
      <c r="V716" s="87"/>
      <c r="W716" s="87"/>
      <c r="X716" s="89"/>
      <c r="Y716" s="87"/>
      <c r="Z716" s="87"/>
      <c r="AA716" s="88"/>
    </row>
    <row r="717" spans="1:27" x14ac:dyDescent="0.2">
      <c r="A717" s="44"/>
      <c r="B717" s="44"/>
      <c r="C717" s="91"/>
      <c r="D717" s="139"/>
      <c r="E717" s="44"/>
      <c r="F717" s="122"/>
      <c r="G717" s="123"/>
      <c r="H717" s="44"/>
      <c r="I717" s="93"/>
      <c r="J717" s="44"/>
      <c r="K717" s="44"/>
      <c r="L717" s="93"/>
      <c r="M717" s="124"/>
      <c r="N717" s="44"/>
      <c r="O717" s="92"/>
      <c r="P717" s="110"/>
      <c r="Q717" s="44"/>
      <c r="R717" s="92"/>
      <c r="S717" s="125"/>
      <c r="T717" s="44"/>
      <c r="U717" s="92"/>
      <c r="V717" s="44"/>
      <c r="W717" s="44"/>
      <c r="X717" s="92"/>
      <c r="Y717" s="44"/>
      <c r="Z717" s="44"/>
      <c r="AA717" s="91"/>
    </row>
    <row r="718" spans="1:27" x14ac:dyDescent="0.2">
      <c r="A718" s="41"/>
      <c r="B718" s="41"/>
      <c r="C718" s="94"/>
      <c r="D718" s="140"/>
      <c r="E718" s="41"/>
      <c r="F718" s="126"/>
      <c r="G718" s="127"/>
      <c r="H718" s="41"/>
      <c r="I718" s="95"/>
      <c r="J718" s="41"/>
      <c r="K718" s="41"/>
      <c r="L718" s="95"/>
      <c r="M718" s="128"/>
      <c r="N718" s="41"/>
      <c r="O718" s="42"/>
      <c r="P718" s="52"/>
      <c r="Q718" s="41"/>
      <c r="R718" s="42"/>
      <c r="S718" s="129"/>
      <c r="T718" s="41"/>
      <c r="U718" s="42"/>
      <c r="V718" s="41"/>
      <c r="W718" s="41"/>
      <c r="X718" s="42"/>
      <c r="Y718" s="41"/>
      <c r="Z718" s="41"/>
      <c r="AA718" s="94"/>
    </row>
    <row r="719" spans="1:27" x14ac:dyDescent="0.2">
      <c r="A719" s="44"/>
      <c r="B719" s="44"/>
      <c r="C719" s="91"/>
      <c r="D719" s="139"/>
      <c r="E719" s="44"/>
      <c r="F719" s="122"/>
      <c r="G719" s="123"/>
      <c r="H719" s="44"/>
      <c r="I719" s="93"/>
      <c r="J719" s="44"/>
      <c r="K719" s="44"/>
      <c r="L719" s="93"/>
      <c r="M719" s="124"/>
      <c r="N719" s="44"/>
      <c r="O719" s="92"/>
      <c r="P719" s="110"/>
      <c r="Q719" s="44"/>
      <c r="R719" s="92"/>
      <c r="S719" s="125"/>
      <c r="T719" s="44"/>
      <c r="U719" s="92"/>
      <c r="V719" s="44"/>
      <c r="W719" s="44"/>
      <c r="X719" s="92"/>
      <c r="Y719" s="44"/>
      <c r="Z719" s="44"/>
      <c r="AA719" s="91"/>
    </row>
    <row r="720" spans="1:27" x14ac:dyDescent="0.2">
      <c r="A720" s="41"/>
      <c r="B720" s="41"/>
      <c r="C720" s="94"/>
      <c r="D720" s="140"/>
      <c r="E720" s="41"/>
      <c r="F720" s="126"/>
      <c r="G720" s="127"/>
      <c r="H720" s="41"/>
      <c r="I720" s="95"/>
      <c r="J720" s="41"/>
      <c r="K720" s="41"/>
      <c r="L720" s="95"/>
      <c r="M720" s="128"/>
      <c r="N720" s="41"/>
      <c r="O720" s="42"/>
      <c r="P720" s="52"/>
      <c r="Q720" s="41"/>
      <c r="R720" s="42"/>
      <c r="S720" s="129"/>
      <c r="T720" s="41"/>
      <c r="U720" s="42"/>
      <c r="V720" s="41"/>
      <c r="W720" s="41"/>
      <c r="X720" s="42"/>
      <c r="Y720" s="41"/>
      <c r="Z720" s="41"/>
      <c r="AA720" s="94"/>
    </row>
    <row r="721" spans="1:27" x14ac:dyDescent="0.2">
      <c r="A721" s="44"/>
      <c r="B721" s="44"/>
      <c r="C721" s="91"/>
      <c r="D721" s="139"/>
      <c r="E721" s="44"/>
      <c r="F721" s="122"/>
      <c r="G721" s="123"/>
      <c r="H721" s="44"/>
      <c r="I721" s="93"/>
      <c r="J721" s="44"/>
      <c r="K721" s="44"/>
      <c r="L721" s="93"/>
      <c r="M721" s="124"/>
      <c r="N721" s="44"/>
      <c r="O721" s="92"/>
      <c r="P721" s="110"/>
      <c r="Q721" s="44"/>
      <c r="R721" s="92"/>
      <c r="S721" s="125"/>
      <c r="T721" s="44"/>
      <c r="U721" s="92"/>
      <c r="V721" s="44"/>
      <c r="W721" s="44"/>
      <c r="X721" s="92"/>
      <c r="Y721" s="44"/>
      <c r="Z721" s="44"/>
      <c r="AA721" s="91"/>
    </row>
    <row r="722" spans="1:27" x14ac:dyDescent="0.2">
      <c r="A722" s="41"/>
      <c r="B722" s="41"/>
      <c r="C722" s="94"/>
      <c r="D722" s="140"/>
      <c r="E722" s="41"/>
      <c r="F722" s="126"/>
      <c r="G722" s="127"/>
      <c r="H722" s="41"/>
      <c r="I722" s="95"/>
      <c r="J722" s="41"/>
      <c r="K722" s="41"/>
      <c r="L722" s="95"/>
      <c r="M722" s="128"/>
      <c r="N722" s="41"/>
      <c r="O722" s="42"/>
      <c r="P722" s="52"/>
      <c r="Q722" s="41"/>
      <c r="R722" s="42"/>
      <c r="S722" s="129"/>
      <c r="T722" s="41"/>
      <c r="U722" s="42"/>
      <c r="V722" s="41"/>
      <c r="W722" s="41"/>
      <c r="X722" s="42"/>
      <c r="Y722" s="41"/>
      <c r="Z722" s="41"/>
      <c r="AA722" s="94"/>
    </row>
    <row r="723" spans="1:27" x14ac:dyDescent="0.2">
      <c r="A723" s="44"/>
      <c r="B723" s="44"/>
      <c r="C723" s="91"/>
      <c r="D723" s="139"/>
      <c r="E723" s="44"/>
      <c r="F723" s="122"/>
      <c r="G723" s="123"/>
      <c r="H723" s="44"/>
      <c r="I723" s="93"/>
      <c r="J723" s="44"/>
      <c r="K723" s="44"/>
      <c r="L723" s="93"/>
      <c r="M723" s="124"/>
      <c r="N723" s="44"/>
      <c r="O723" s="92"/>
      <c r="P723" s="110"/>
      <c r="Q723" s="44"/>
      <c r="R723" s="92"/>
      <c r="S723" s="125"/>
      <c r="T723" s="44"/>
      <c r="U723" s="92"/>
      <c r="V723" s="44"/>
      <c r="W723" s="44"/>
      <c r="X723" s="92"/>
      <c r="Y723" s="44"/>
      <c r="Z723" s="44"/>
      <c r="AA723" s="91"/>
    </row>
    <row r="724" spans="1:27" x14ac:dyDescent="0.2">
      <c r="A724" s="41"/>
      <c r="B724" s="41"/>
      <c r="C724" s="94"/>
      <c r="D724" s="140"/>
      <c r="E724" s="41"/>
      <c r="F724" s="126"/>
      <c r="G724" s="127"/>
      <c r="H724" s="41"/>
      <c r="I724" s="95"/>
      <c r="J724" s="41"/>
      <c r="K724" s="41"/>
      <c r="L724" s="95"/>
      <c r="M724" s="128"/>
      <c r="N724" s="41"/>
      <c r="O724" s="42"/>
      <c r="P724" s="52"/>
      <c r="Q724" s="41"/>
      <c r="R724" s="42"/>
      <c r="S724" s="129"/>
      <c r="T724" s="41"/>
      <c r="U724" s="42"/>
      <c r="V724" s="41"/>
      <c r="W724" s="41"/>
      <c r="X724" s="42"/>
      <c r="Y724" s="41"/>
      <c r="Z724" s="41"/>
      <c r="AA724" s="94"/>
    </row>
    <row r="725" spans="1:27" x14ac:dyDescent="0.2">
      <c r="A725" s="44"/>
      <c r="B725" s="44"/>
      <c r="C725" s="91"/>
      <c r="D725" s="139"/>
      <c r="E725" s="44"/>
      <c r="F725" s="122"/>
      <c r="G725" s="123"/>
      <c r="H725" s="44"/>
      <c r="I725" s="93"/>
      <c r="J725" s="44"/>
      <c r="K725" s="44"/>
      <c r="L725" s="93"/>
      <c r="M725" s="124"/>
      <c r="N725" s="44"/>
      <c r="O725" s="92"/>
      <c r="P725" s="110"/>
      <c r="Q725" s="44"/>
      <c r="R725" s="92"/>
      <c r="S725" s="125"/>
      <c r="T725" s="44"/>
      <c r="U725" s="92"/>
      <c r="V725" s="44"/>
      <c r="W725" s="44"/>
      <c r="X725" s="92"/>
      <c r="Y725" s="44"/>
      <c r="Z725" s="44"/>
      <c r="AA725" s="91"/>
    </row>
    <row r="726" spans="1:27" x14ac:dyDescent="0.2">
      <c r="A726" s="41"/>
      <c r="B726" s="41"/>
      <c r="C726" s="94"/>
      <c r="D726" s="140"/>
      <c r="E726" s="41"/>
      <c r="F726" s="126"/>
      <c r="G726" s="127"/>
      <c r="H726" s="41"/>
      <c r="I726" s="95"/>
      <c r="J726" s="41"/>
      <c r="K726" s="41"/>
      <c r="L726" s="95"/>
      <c r="M726" s="128"/>
      <c r="N726" s="41"/>
      <c r="O726" s="42"/>
      <c r="P726" s="52"/>
      <c r="Q726" s="41"/>
      <c r="R726" s="42"/>
      <c r="S726" s="129"/>
      <c r="T726" s="41"/>
      <c r="U726" s="42"/>
      <c r="V726" s="41"/>
      <c r="W726" s="41"/>
      <c r="X726" s="42"/>
      <c r="Y726" s="41"/>
      <c r="Z726" s="41"/>
      <c r="AA726" s="94"/>
    </row>
    <row r="727" spans="1:27" x14ac:dyDescent="0.2">
      <c r="A727" s="44"/>
      <c r="B727" s="44"/>
      <c r="C727" s="91"/>
      <c r="D727" s="139"/>
      <c r="E727" s="44"/>
      <c r="F727" s="122"/>
      <c r="G727" s="123"/>
      <c r="H727" s="44"/>
      <c r="I727" s="93"/>
      <c r="J727" s="44"/>
      <c r="K727" s="44"/>
      <c r="L727" s="93"/>
      <c r="M727" s="124"/>
      <c r="N727" s="44"/>
      <c r="O727" s="92"/>
      <c r="P727" s="110"/>
      <c r="Q727" s="44"/>
      <c r="R727" s="92"/>
      <c r="S727" s="125"/>
      <c r="T727" s="44"/>
      <c r="U727" s="92"/>
      <c r="V727" s="44"/>
      <c r="W727" s="44"/>
      <c r="X727" s="92"/>
      <c r="Y727" s="44"/>
      <c r="Z727" s="44"/>
      <c r="AA727" s="91"/>
    </row>
    <row r="728" spans="1:27" x14ac:dyDescent="0.2">
      <c r="A728" s="41"/>
      <c r="B728" s="41"/>
      <c r="C728" s="94"/>
      <c r="D728" s="140"/>
      <c r="E728" s="41"/>
      <c r="F728" s="126"/>
      <c r="G728" s="127"/>
      <c r="H728" s="41"/>
      <c r="I728" s="95"/>
      <c r="J728" s="41"/>
      <c r="K728" s="41"/>
      <c r="L728" s="95"/>
      <c r="M728" s="128"/>
      <c r="N728" s="41"/>
      <c r="O728" s="42"/>
      <c r="P728" s="52"/>
      <c r="Q728" s="41"/>
      <c r="R728" s="42"/>
      <c r="S728" s="129"/>
      <c r="T728" s="41"/>
      <c r="U728" s="42"/>
      <c r="V728" s="41"/>
      <c r="W728" s="41"/>
      <c r="X728" s="42"/>
      <c r="Y728" s="41"/>
      <c r="Z728" s="41"/>
      <c r="AA728" s="94"/>
    </row>
    <row r="729" spans="1:27" x14ac:dyDescent="0.2">
      <c r="A729" s="44"/>
      <c r="B729" s="44"/>
      <c r="C729" s="91"/>
      <c r="D729" s="139"/>
      <c r="E729" s="44"/>
      <c r="F729" s="122"/>
      <c r="G729" s="123"/>
      <c r="H729" s="44"/>
      <c r="I729" s="93"/>
      <c r="J729" s="44"/>
      <c r="K729" s="44"/>
      <c r="L729" s="93"/>
      <c r="M729" s="124"/>
      <c r="N729" s="44"/>
      <c r="O729" s="92"/>
      <c r="P729" s="110"/>
      <c r="Q729" s="44"/>
      <c r="R729" s="92"/>
      <c r="S729" s="125"/>
      <c r="T729" s="44"/>
      <c r="U729" s="92"/>
      <c r="V729" s="44"/>
      <c r="W729" s="44"/>
      <c r="X729" s="92"/>
      <c r="Y729" s="44"/>
      <c r="Z729" s="44"/>
      <c r="AA729" s="91"/>
    </row>
    <row r="730" spans="1:27" x14ac:dyDescent="0.2">
      <c r="A730" s="41"/>
      <c r="B730" s="41"/>
      <c r="C730" s="94"/>
      <c r="D730" s="140"/>
      <c r="E730" s="41"/>
      <c r="F730" s="126"/>
      <c r="G730" s="127"/>
      <c r="H730" s="41"/>
      <c r="I730" s="95"/>
      <c r="J730" s="41"/>
      <c r="K730" s="41"/>
      <c r="L730" s="95"/>
      <c r="M730" s="128"/>
      <c r="N730" s="41"/>
      <c r="O730" s="42"/>
      <c r="P730" s="52"/>
      <c r="Q730" s="41"/>
      <c r="R730" s="42"/>
      <c r="S730" s="129"/>
      <c r="T730" s="41"/>
      <c r="U730" s="42"/>
      <c r="V730" s="41"/>
      <c r="W730" s="41"/>
      <c r="X730" s="42"/>
      <c r="Y730" s="41"/>
      <c r="Z730" s="41"/>
      <c r="AA730" s="94"/>
    </row>
    <row r="731" spans="1:27" x14ac:dyDescent="0.2">
      <c r="A731" s="44"/>
      <c r="B731" s="44"/>
      <c r="C731" s="91"/>
      <c r="D731" s="139"/>
      <c r="E731" s="44"/>
      <c r="F731" s="122"/>
      <c r="G731" s="123"/>
      <c r="H731" s="44"/>
      <c r="I731" s="93"/>
      <c r="J731" s="44"/>
      <c r="K731" s="44"/>
      <c r="L731" s="93"/>
      <c r="M731" s="124"/>
      <c r="N731" s="44"/>
      <c r="O731" s="92"/>
      <c r="P731" s="110"/>
      <c r="Q731" s="44"/>
      <c r="R731" s="92"/>
      <c r="S731" s="125"/>
      <c r="T731" s="44"/>
      <c r="U731" s="92"/>
      <c r="V731" s="44"/>
      <c r="W731" s="44"/>
      <c r="X731" s="92"/>
      <c r="Y731" s="44"/>
      <c r="Z731" s="44"/>
      <c r="AA731" s="91"/>
    </row>
    <row r="732" spans="1:27" x14ac:dyDescent="0.2">
      <c r="A732" s="41"/>
      <c r="B732" s="41"/>
      <c r="C732" s="94"/>
      <c r="D732" s="140"/>
      <c r="E732" s="41"/>
      <c r="F732" s="126"/>
      <c r="G732" s="127"/>
      <c r="H732" s="41"/>
      <c r="I732" s="95"/>
      <c r="J732" s="41"/>
      <c r="K732" s="41"/>
      <c r="L732" s="95"/>
      <c r="M732" s="128"/>
      <c r="N732" s="41"/>
      <c r="O732" s="42"/>
      <c r="P732" s="52"/>
      <c r="Q732" s="41"/>
      <c r="R732" s="42"/>
      <c r="S732" s="129"/>
      <c r="T732" s="41"/>
      <c r="U732" s="42"/>
      <c r="V732" s="41"/>
      <c r="W732" s="41"/>
      <c r="X732" s="42"/>
      <c r="Y732" s="41"/>
      <c r="Z732" s="41"/>
      <c r="AA732" s="94"/>
    </row>
    <row r="733" spans="1:27" x14ac:dyDescent="0.2">
      <c r="A733" s="44"/>
      <c r="B733" s="44"/>
      <c r="C733" s="91"/>
      <c r="D733" s="139"/>
      <c r="E733" s="44"/>
      <c r="F733" s="122"/>
      <c r="G733" s="123"/>
      <c r="H733" s="44"/>
      <c r="I733" s="93"/>
      <c r="J733" s="44"/>
      <c r="K733" s="44"/>
      <c r="L733" s="93"/>
      <c r="M733" s="124"/>
      <c r="N733" s="44"/>
      <c r="O733" s="92"/>
      <c r="P733" s="110"/>
      <c r="Q733" s="44"/>
      <c r="R733" s="92"/>
      <c r="S733" s="125"/>
      <c r="T733" s="44"/>
      <c r="U733" s="92"/>
      <c r="V733" s="44"/>
      <c r="W733" s="44"/>
      <c r="X733" s="92"/>
      <c r="Y733" s="44"/>
      <c r="Z733" s="44"/>
      <c r="AA733" s="91"/>
    </row>
    <row r="734" spans="1:27" x14ac:dyDescent="0.2">
      <c r="A734" s="41"/>
      <c r="B734" s="41"/>
      <c r="C734" s="94"/>
      <c r="D734" s="140"/>
      <c r="E734" s="41"/>
      <c r="F734" s="127"/>
      <c r="G734" s="127"/>
      <c r="H734" s="41"/>
      <c r="I734" s="95"/>
      <c r="J734" s="41"/>
      <c r="K734" s="41"/>
      <c r="L734" s="95"/>
      <c r="M734" s="128"/>
      <c r="N734" s="41"/>
      <c r="O734" s="42"/>
      <c r="P734" s="52"/>
      <c r="Q734" s="41"/>
      <c r="R734" s="42"/>
      <c r="S734" s="129"/>
      <c r="T734" s="41"/>
      <c r="U734" s="42"/>
      <c r="V734" s="41"/>
      <c r="W734" s="41"/>
      <c r="X734" s="42"/>
      <c r="Y734" s="41"/>
      <c r="Z734" s="41"/>
      <c r="AA734" s="94"/>
    </row>
    <row r="735" spans="1:27" x14ac:dyDescent="0.2">
      <c r="A735" s="44"/>
      <c r="B735" s="44"/>
      <c r="C735" s="91"/>
      <c r="D735" s="139"/>
      <c r="E735" s="44"/>
      <c r="F735" s="122"/>
      <c r="G735" s="123"/>
      <c r="H735" s="44"/>
      <c r="I735" s="93"/>
      <c r="J735" s="44"/>
      <c r="K735" s="44"/>
      <c r="L735" s="93"/>
      <c r="M735" s="124"/>
      <c r="N735" s="44"/>
      <c r="O735" s="92"/>
      <c r="P735" s="110"/>
      <c r="Q735" s="44"/>
      <c r="R735" s="92"/>
      <c r="S735" s="125"/>
      <c r="T735" s="44"/>
      <c r="U735" s="92"/>
      <c r="V735" s="44"/>
      <c r="W735" s="44"/>
      <c r="X735" s="92"/>
      <c r="Y735" s="44"/>
      <c r="Z735" s="44"/>
      <c r="AA735" s="91"/>
    </row>
    <row r="736" spans="1:27" x14ac:dyDescent="0.2">
      <c r="A736" s="41"/>
      <c r="B736" s="41"/>
      <c r="C736" s="94"/>
      <c r="D736" s="140"/>
      <c r="E736" s="41"/>
      <c r="F736" s="126"/>
      <c r="G736" s="127"/>
      <c r="H736" s="41"/>
      <c r="I736" s="95"/>
      <c r="J736" s="41"/>
      <c r="K736" s="41"/>
      <c r="L736" s="95"/>
      <c r="M736" s="128"/>
      <c r="N736" s="41"/>
      <c r="O736" s="42"/>
      <c r="P736" s="52"/>
      <c r="Q736" s="41"/>
      <c r="R736" s="42"/>
      <c r="S736" s="129"/>
      <c r="T736" s="41"/>
      <c r="U736" s="42"/>
      <c r="V736" s="41"/>
      <c r="W736" s="41"/>
      <c r="X736" s="42"/>
      <c r="Y736" s="41"/>
      <c r="Z736" s="41"/>
      <c r="AA736" s="94"/>
    </row>
    <row r="737" spans="1:27" x14ac:dyDescent="0.2">
      <c r="A737" s="44"/>
      <c r="B737" s="44"/>
      <c r="C737" s="91"/>
      <c r="D737" s="139"/>
      <c r="E737" s="44"/>
      <c r="F737" s="122"/>
      <c r="G737" s="123"/>
      <c r="H737" s="44"/>
      <c r="I737" s="93"/>
      <c r="J737" s="44"/>
      <c r="K737" s="44"/>
      <c r="L737" s="93"/>
      <c r="M737" s="124"/>
      <c r="N737" s="44"/>
      <c r="O737" s="92"/>
      <c r="P737" s="110"/>
      <c r="Q737" s="44"/>
      <c r="R737" s="92"/>
      <c r="S737" s="125"/>
      <c r="T737" s="44"/>
      <c r="U737" s="92"/>
      <c r="V737" s="44"/>
      <c r="W737" s="44"/>
      <c r="X737" s="92"/>
      <c r="Y737" s="44"/>
      <c r="Z737" s="44"/>
      <c r="AA737" s="91"/>
    </row>
    <row r="738" spans="1:27" x14ac:dyDescent="0.2">
      <c r="A738" s="41"/>
      <c r="B738" s="41"/>
      <c r="C738" s="94"/>
      <c r="D738" s="140"/>
      <c r="E738" s="41"/>
      <c r="F738" s="126"/>
      <c r="G738" s="127"/>
      <c r="H738" s="41"/>
      <c r="I738" s="95"/>
      <c r="J738" s="41"/>
      <c r="K738" s="41"/>
      <c r="L738" s="95"/>
      <c r="M738" s="128"/>
      <c r="N738" s="41"/>
      <c r="O738" s="42"/>
      <c r="P738" s="52"/>
      <c r="Q738" s="41"/>
      <c r="R738" s="42"/>
      <c r="S738" s="129"/>
      <c r="T738" s="41"/>
      <c r="U738" s="42"/>
      <c r="V738" s="41"/>
      <c r="W738" s="41"/>
      <c r="X738" s="42"/>
      <c r="Y738" s="41"/>
      <c r="Z738" s="41"/>
      <c r="AA738" s="94"/>
    </row>
    <row r="739" spans="1:27" x14ac:dyDescent="0.2">
      <c r="A739" s="44"/>
      <c r="B739" s="44"/>
      <c r="C739" s="91"/>
      <c r="D739" s="139"/>
      <c r="E739" s="44"/>
      <c r="F739" s="122"/>
      <c r="G739" s="123"/>
      <c r="H739" s="44"/>
      <c r="I739" s="93"/>
      <c r="J739" s="44"/>
      <c r="K739" s="44"/>
      <c r="L739" s="93"/>
      <c r="M739" s="124"/>
      <c r="N739" s="44"/>
      <c r="O739" s="92"/>
      <c r="P739" s="110"/>
      <c r="Q739" s="44"/>
      <c r="R739" s="92"/>
      <c r="S739" s="125"/>
      <c r="T739" s="44"/>
      <c r="U739" s="92"/>
      <c r="V739" s="44"/>
      <c r="W739" s="44"/>
      <c r="X739" s="92"/>
      <c r="Y739" s="44"/>
      <c r="Z739" s="44"/>
      <c r="AA739" s="91"/>
    </row>
    <row r="740" spans="1:27" x14ac:dyDescent="0.2">
      <c r="A740" s="41"/>
      <c r="B740" s="41"/>
      <c r="C740" s="94"/>
      <c r="D740" s="140"/>
      <c r="E740" s="41"/>
      <c r="F740" s="126"/>
      <c r="G740" s="127"/>
      <c r="H740" s="41"/>
      <c r="I740" s="95"/>
      <c r="J740" s="41"/>
      <c r="K740" s="41"/>
      <c r="L740" s="95"/>
      <c r="M740" s="128"/>
      <c r="N740" s="41"/>
      <c r="O740" s="42"/>
      <c r="P740" s="52"/>
      <c r="Q740" s="41"/>
      <c r="R740" s="42"/>
      <c r="S740" s="129"/>
      <c r="T740" s="41"/>
      <c r="U740" s="42"/>
      <c r="V740" s="41"/>
      <c r="W740" s="41"/>
      <c r="X740" s="42"/>
      <c r="Y740" s="41"/>
      <c r="Z740" s="41"/>
      <c r="AA740" s="94"/>
    </row>
    <row r="741" spans="1:27" x14ac:dyDescent="0.2">
      <c r="A741" s="44"/>
      <c r="B741" s="44"/>
      <c r="C741" s="91"/>
      <c r="D741" s="139"/>
      <c r="E741" s="44"/>
      <c r="F741" s="122"/>
      <c r="G741" s="123"/>
      <c r="H741" s="44"/>
      <c r="I741" s="93"/>
      <c r="J741" s="44"/>
      <c r="K741" s="44"/>
      <c r="L741" s="93"/>
      <c r="M741" s="124"/>
      <c r="N741" s="44"/>
      <c r="O741" s="92"/>
      <c r="P741" s="110"/>
      <c r="Q741" s="44"/>
      <c r="R741" s="92"/>
      <c r="S741" s="125"/>
      <c r="T741" s="44"/>
      <c r="U741" s="92"/>
      <c r="V741" s="44"/>
      <c r="W741" s="44"/>
      <c r="X741" s="92"/>
      <c r="Y741" s="44"/>
      <c r="Z741" s="44"/>
      <c r="AA741" s="91"/>
    </row>
    <row r="742" spans="1:27" x14ac:dyDescent="0.2">
      <c r="A742" s="96"/>
      <c r="B742" s="44"/>
      <c r="C742" s="91"/>
      <c r="D742" s="139"/>
      <c r="E742" s="44"/>
      <c r="F742" s="122"/>
      <c r="G742" s="123"/>
      <c r="H742" s="44"/>
      <c r="I742" s="93"/>
      <c r="J742" s="44"/>
      <c r="K742" s="44"/>
      <c r="L742" s="93"/>
      <c r="M742" s="124"/>
      <c r="N742" s="44"/>
      <c r="O742" s="92"/>
      <c r="P742" s="110"/>
      <c r="Q742" s="44"/>
      <c r="R742" s="92"/>
      <c r="S742" s="125"/>
      <c r="T742" s="44"/>
      <c r="U742" s="92"/>
      <c r="V742" s="44"/>
      <c r="W742" s="44"/>
      <c r="X742" s="92"/>
      <c r="Y742" s="96"/>
      <c r="Z742" s="44"/>
      <c r="AA742" s="91"/>
    </row>
    <row r="743" spans="1:27" x14ac:dyDescent="0.2">
      <c r="A743" s="97"/>
      <c r="B743" s="41"/>
      <c r="C743" s="94"/>
      <c r="D743" s="140"/>
      <c r="E743" s="41"/>
      <c r="F743" s="126"/>
      <c r="G743" s="127"/>
      <c r="H743" s="41"/>
      <c r="I743" s="95"/>
      <c r="J743" s="41"/>
      <c r="K743" s="41"/>
      <c r="L743" s="95"/>
      <c r="M743" s="128"/>
      <c r="N743" s="41"/>
      <c r="O743" s="42"/>
      <c r="P743" s="52"/>
      <c r="Q743" s="41"/>
      <c r="R743" s="42"/>
      <c r="S743" s="129"/>
      <c r="T743" s="41"/>
      <c r="U743" s="42"/>
      <c r="V743" s="41"/>
      <c r="W743" s="41"/>
      <c r="X743" s="42"/>
      <c r="Y743" s="97"/>
      <c r="Z743" s="41"/>
      <c r="AA743" s="94"/>
    </row>
    <row r="744" spans="1:27" x14ac:dyDescent="0.2">
      <c r="A744" s="96"/>
      <c r="B744" s="44"/>
      <c r="C744" s="91"/>
      <c r="D744" s="139"/>
      <c r="E744" s="44"/>
      <c r="F744" s="122"/>
      <c r="G744" s="123"/>
      <c r="H744" s="44"/>
      <c r="I744" s="93"/>
      <c r="J744" s="44"/>
      <c r="K744" s="44"/>
      <c r="L744" s="93"/>
      <c r="M744" s="124"/>
      <c r="N744" s="44"/>
      <c r="O744" s="92"/>
      <c r="P744" s="110"/>
      <c r="Q744" s="44"/>
      <c r="R744" s="92"/>
      <c r="S744" s="125"/>
      <c r="T744" s="44"/>
      <c r="U744" s="92"/>
      <c r="V744" s="44"/>
      <c r="W744" s="44"/>
      <c r="X744" s="92"/>
      <c r="Y744" s="96"/>
      <c r="Z744" s="44"/>
      <c r="AA744" s="91"/>
    </row>
    <row r="745" spans="1:27" x14ac:dyDescent="0.2">
      <c r="A745" s="97"/>
      <c r="B745" s="41"/>
      <c r="C745" s="94"/>
      <c r="D745" s="140"/>
      <c r="E745" s="41"/>
      <c r="F745" s="126"/>
      <c r="G745" s="127"/>
      <c r="H745" s="41"/>
      <c r="I745" s="95"/>
      <c r="J745" s="41"/>
      <c r="K745" s="41"/>
      <c r="L745" s="95"/>
      <c r="M745" s="128"/>
      <c r="N745" s="41"/>
      <c r="O745" s="42"/>
      <c r="P745" s="52"/>
      <c r="Q745" s="41"/>
      <c r="R745" s="42"/>
      <c r="S745" s="129"/>
      <c r="T745" s="41"/>
      <c r="U745" s="42"/>
      <c r="V745" s="41"/>
      <c r="W745" s="41"/>
      <c r="X745" s="42"/>
      <c r="Y745" s="97"/>
      <c r="Z745" s="41"/>
      <c r="AA745" s="94"/>
    </row>
    <row r="746" spans="1:27" x14ac:dyDescent="0.2">
      <c r="A746" s="97"/>
      <c r="B746" s="41"/>
      <c r="C746" s="94"/>
      <c r="D746" s="140"/>
      <c r="E746" s="41"/>
      <c r="F746" s="126"/>
      <c r="G746" s="127"/>
      <c r="H746" s="41"/>
      <c r="I746" s="95"/>
      <c r="J746" s="41"/>
      <c r="K746" s="41"/>
      <c r="L746" s="95"/>
      <c r="M746" s="128"/>
      <c r="N746" s="41"/>
      <c r="O746" s="42"/>
      <c r="P746" s="52"/>
      <c r="Q746" s="41"/>
      <c r="R746" s="42"/>
      <c r="S746" s="129"/>
      <c r="T746" s="41"/>
      <c r="U746" s="42"/>
      <c r="V746" s="41"/>
      <c r="W746" s="41"/>
      <c r="X746" s="42"/>
      <c r="Y746" s="97"/>
      <c r="Z746" s="41"/>
      <c r="AA746" s="94"/>
    </row>
    <row r="747" spans="1:27" x14ac:dyDescent="0.2">
      <c r="A747" s="97"/>
      <c r="B747" s="41"/>
      <c r="C747" s="94"/>
      <c r="D747" s="140"/>
      <c r="E747" s="41"/>
      <c r="F747" s="126"/>
      <c r="G747" s="127"/>
      <c r="H747" s="41"/>
      <c r="I747" s="95"/>
      <c r="J747" s="41"/>
      <c r="K747" s="41"/>
      <c r="L747" s="95"/>
      <c r="M747" s="128"/>
      <c r="N747" s="41"/>
      <c r="O747" s="42"/>
      <c r="P747" s="52"/>
      <c r="Q747" s="41"/>
      <c r="R747" s="42"/>
      <c r="S747" s="129"/>
      <c r="T747" s="41"/>
      <c r="U747" s="42"/>
      <c r="V747" s="41"/>
      <c r="W747" s="41"/>
      <c r="X747" s="42"/>
      <c r="Y747" s="97"/>
      <c r="Z747" s="41"/>
      <c r="AA747" s="94"/>
    </row>
    <row r="748" spans="1:27" x14ac:dyDescent="0.2">
      <c r="A748" s="97"/>
      <c r="B748" s="41"/>
      <c r="C748" s="94"/>
      <c r="D748" s="140"/>
      <c r="E748" s="41"/>
      <c r="F748" s="126"/>
      <c r="G748" s="127"/>
      <c r="H748" s="41"/>
      <c r="I748" s="95"/>
      <c r="J748" s="41"/>
      <c r="K748" s="41"/>
      <c r="L748" s="95"/>
      <c r="M748" s="128"/>
      <c r="N748" s="41"/>
      <c r="O748" s="42"/>
      <c r="P748" s="52"/>
      <c r="Q748" s="41"/>
      <c r="R748" s="42"/>
      <c r="S748" s="129"/>
      <c r="T748" s="41"/>
      <c r="U748" s="42"/>
      <c r="V748" s="41"/>
      <c r="W748" s="41"/>
      <c r="X748" s="42"/>
      <c r="Y748" s="97"/>
      <c r="Z748" s="41"/>
      <c r="AA748" s="94"/>
    </row>
    <row r="749" spans="1:27" x14ac:dyDescent="0.2">
      <c r="A749" s="96"/>
      <c r="B749" s="44"/>
      <c r="C749" s="91"/>
      <c r="D749" s="139"/>
      <c r="E749" s="44"/>
      <c r="F749" s="122"/>
      <c r="G749" s="123"/>
      <c r="H749" s="44"/>
      <c r="I749" s="93"/>
      <c r="J749" s="44"/>
      <c r="K749" s="44"/>
      <c r="L749" s="93"/>
      <c r="M749" s="124"/>
      <c r="N749" s="44"/>
      <c r="O749" s="92"/>
      <c r="P749" s="110"/>
      <c r="Q749" s="44"/>
      <c r="R749" s="92"/>
      <c r="S749" s="125"/>
      <c r="T749" s="44"/>
      <c r="U749" s="92"/>
      <c r="V749" s="44"/>
      <c r="W749" s="44"/>
      <c r="X749" s="92"/>
      <c r="Y749" s="96"/>
      <c r="Z749" s="44"/>
      <c r="AA749" s="91"/>
    </row>
    <row r="750" spans="1:27" x14ac:dyDescent="0.2">
      <c r="A750" s="96"/>
      <c r="B750" s="44"/>
      <c r="C750" s="91"/>
      <c r="D750" s="139"/>
      <c r="E750" s="44"/>
      <c r="F750" s="122"/>
      <c r="G750" s="123"/>
      <c r="H750" s="44"/>
      <c r="I750" s="93"/>
      <c r="J750" s="44"/>
      <c r="K750" s="44"/>
      <c r="L750" s="93"/>
      <c r="M750" s="124"/>
      <c r="N750" s="44"/>
      <c r="O750" s="92"/>
      <c r="P750" s="110"/>
      <c r="Q750" s="44"/>
      <c r="R750" s="92"/>
      <c r="S750" s="125"/>
      <c r="T750" s="44"/>
      <c r="U750" s="92"/>
      <c r="V750" s="44"/>
      <c r="W750" s="44"/>
      <c r="X750" s="92"/>
      <c r="Y750" s="96"/>
      <c r="Z750" s="44"/>
      <c r="AA750" s="91"/>
    </row>
    <row r="751" spans="1:27" x14ac:dyDescent="0.2">
      <c r="A751" s="96"/>
      <c r="B751" s="44"/>
      <c r="C751" s="91"/>
      <c r="D751" s="139"/>
      <c r="E751" s="44"/>
      <c r="F751" s="122"/>
      <c r="G751" s="123"/>
      <c r="H751" s="44"/>
      <c r="I751" s="93"/>
      <c r="J751" s="44"/>
      <c r="K751" s="44"/>
      <c r="L751" s="93"/>
      <c r="M751" s="124"/>
      <c r="N751" s="44"/>
      <c r="O751" s="92"/>
      <c r="P751" s="110"/>
      <c r="Q751" s="44"/>
      <c r="R751" s="92"/>
      <c r="S751" s="125"/>
      <c r="T751" s="44"/>
      <c r="U751" s="92"/>
      <c r="V751" s="44"/>
      <c r="W751" s="44"/>
      <c r="X751" s="92"/>
      <c r="Y751" s="96"/>
      <c r="Z751" s="44"/>
      <c r="AA751" s="91"/>
    </row>
    <row r="752" spans="1:27" x14ac:dyDescent="0.2">
      <c r="A752" s="96"/>
      <c r="B752" s="44"/>
      <c r="C752" s="91"/>
      <c r="D752" s="139"/>
      <c r="E752" s="44"/>
      <c r="F752" s="122"/>
      <c r="G752" s="123"/>
      <c r="H752" s="44"/>
      <c r="I752" s="93"/>
      <c r="J752" s="44"/>
      <c r="K752" s="44"/>
      <c r="L752" s="93"/>
      <c r="M752" s="124"/>
      <c r="N752" s="44"/>
      <c r="O752" s="92"/>
      <c r="P752" s="110"/>
      <c r="Q752" s="44"/>
      <c r="R752" s="92"/>
      <c r="S752" s="125"/>
      <c r="T752" s="44"/>
      <c r="U752" s="92"/>
      <c r="V752" s="44"/>
      <c r="W752" s="44"/>
      <c r="X752" s="92"/>
      <c r="Y752" s="96"/>
      <c r="Z752" s="44"/>
      <c r="AA752" s="91"/>
    </row>
    <row r="753" spans="1:27" x14ac:dyDescent="0.2">
      <c r="A753" s="96"/>
      <c r="B753" s="44"/>
      <c r="C753" s="91"/>
      <c r="D753" s="139"/>
      <c r="E753" s="44"/>
      <c r="F753" s="122"/>
      <c r="G753" s="123"/>
      <c r="H753" s="44"/>
      <c r="I753" s="93"/>
      <c r="J753" s="44"/>
      <c r="K753" s="44"/>
      <c r="L753" s="93"/>
      <c r="M753" s="124"/>
      <c r="N753" s="44"/>
      <c r="O753" s="92"/>
      <c r="P753" s="110"/>
      <c r="Q753" s="44"/>
      <c r="R753" s="92"/>
      <c r="S753" s="125"/>
      <c r="T753" s="44"/>
      <c r="U753" s="92"/>
      <c r="V753" s="44"/>
      <c r="W753" s="44"/>
      <c r="X753" s="92"/>
      <c r="Y753" s="96"/>
      <c r="Z753" s="44"/>
      <c r="AA753" s="91"/>
    </row>
    <row r="754" spans="1:27" x14ac:dyDescent="0.2">
      <c r="A754" s="97"/>
      <c r="B754" s="41"/>
      <c r="C754" s="94"/>
      <c r="D754" s="140"/>
      <c r="E754" s="41"/>
      <c r="F754" s="126"/>
      <c r="G754" s="127"/>
      <c r="H754" s="41"/>
      <c r="I754" s="95"/>
      <c r="J754" s="41"/>
      <c r="K754" s="41"/>
      <c r="L754" s="95"/>
      <c r="M754" s="128"/>
      <c r="N754" s="41"/>
      <c r="O754" s="42"/>
      <c r="P754" s="52"/>
      <c r="Q754" s="41"/>
      <c r="R754" s="42"/>
      <c r="S754" s="129"/>
      <c r="T754" s="41"/>
      <c r="U754" s="42"/>
      <c r="V754" s="41"/>
      <c r="W754" s="41"/>
      <c r="X754" s="42"/>
      <c r="Y754" s="97"/>
      <c r="Z754" s="41"/>
      <c r="AA754" s="94"/>
    </row>
    <row r="755" spans="1:27" x14ac:dyDescent="0.2">
      <c r="A755" s="96"/>
      <c r="B755" s="44"/>
      <c r="C755" s="91"/>
      <c r="D755" s="139"/>
      <c r="E755" s="44"/>
      <c r="F755" s="122"/>
      <c r="G755" s="123"/>
      <c r="H755" s="44"/>
      <c r="I755" s="93"/>
      <c r="J755" s="44"/>
      <c r="K755" s="44"/>
      <c r="L755" s="93"/>
      <c r="M755" s="124"/>
      <c r="N755" s="44"/>
      <c r="O755" s="92"/>
      <c r="P755" s="110"/>
      <c r="Q755" s="44"/>
      <c r="R755" s="92"/>
      <c r="S755" s="125"/>
      <c r="T755" s="44"/>
      <c r="U755" s="92"/>
      <c r="V755" s="44"/>
      <c r="W755" s="44"/>
      <c r="X755" s="92"/>
      <c r="Y755" s="96"/>
      <c r="Z755" s="44"/>
      <c r="AA755" s="91"/>
    </row>
    <row r="756" spans="1:27" x14ac:dyDescent="0.2">
      <c r="A756" s="97"/>
      <c r="B756" s="41"/>
      <c r="C756" s="94"/>
      <c r="D756" s="140"/>
      <c r="E756" s="41"/>
      <c r="F756" s="126"/>
      <c r="G756" s="127"/>
      <c r="H756" s="41"/>
      <c r="I756" s="95"/>
      <c r="J756" s="41"/>
      <c r="K756" s="41"/>
      <c r="L756" s="95"/>
      <c r="M756" s="128"/>
      <c r="N756" s="41"/>
      <c r="O756" s="42"/>
      <c r="P756" s="52"/>
      <c r="Q756" s="41"/>
      <c r="R756" s="42"/>
      <c r="S756" s="129"/>
      <c r="T756" s="41"/>
      <c r="U756" s="42"/>
      <c r="V756" s="41"/>
      <c r="W756" s="41"/>
      <c r="X756" s="42"/>
      <c r="Y756" s="97"/>
      <c r="Z756" s="41"/>
      <c r="AA756" s="94"/>
    </row>
    <row r="757" spans="1:27" x14ac:dyDescent="0.2">
      <c r="A757" s="96"/>
      <c r="B757" s="44"/>
      <c r="C757" s="91"/>
      <c r="D757" s="139"/>
      <c r="E757" s="44"/>
      <c r="F757" s="122"/>
      <c r="G757" s="123"/>
      <c r="H757" s="44"/>
      <c r="I757" s="93"/>
      <c r="J757" s="44"/>
      <c r="K757" s="44"/>
      <c r="L757" s="93"/>
      <c r="M757" s="124"/>
      <c r="N757" s="44"/>
      <c r="O757" s="92"/>
      <c r="P757" s="110"/>
      <c r="Q757" s="44"/>
      <c r="R757" s="92"/>
      <c r="S757" s="125"/>
      <c r="T757" s="44"/>
      <c r="U757" s="92"/>
      <c r="V757" s="44"/>
      <c r="W757" s="44"/>
      <c r="X757" s="92"/>
      <c r="Y757" s="96"/>
      <c r="Z757" s="44"/>
      <c r="AA757" s="91"/>
    </row>
    <row r="758" spans="1:27" x14ac:dyDescent="0.2">
      <c r="A758" s="96"/>
      <c r="B758" s="44"/>
      <c r="C758" s="91"/>
      <c r="D758" s="139"/>
      <c r="E758" s="44"/>
      <c r="F758" s="122"/>
      <c r="G758" s="123"/>
      <c r="H758" s="44"/>
      <c r="I758" s="93"/>
      <c r="J758" s="44"/>
      <c r="K758" s="44"/>
      <c r="L758" s="93"/>
      <c r="M758" s="124"/>
      <c r="N758" s="44"/>
      <c r="O758" s="92"/>
      <c r="P758" s="110"/>
      <c r="Q758" s="44"/>
      <c r="R758" s="92"/>
      <c r="S758" s="125"/>
      <c r="T758" s="44"/>
      <c r="U758" s="92"/>
      <c r="V758" s="44"/>
      <c r="W758" s="44"/>
      <c r="X758" s="92"/>
      <c r="Y758" s="96"/>
      <c r="Z758" s="44"/>
      <c r="AA758" s="91"/>
    </row>
    <row r="759" spans="1:27" x14ac:dyDescent="0.2">
      <c r="A759" s="97"/>
      <c r="B759" s="41"/>
      <c r="C759" s="94"/>
      <c r="D759" s="140"/>
      <c r="E759" s="41"/>
      <c r="F759" s="126"/>
      <c r="G759" s="127"/>
      <c r="H759" s="41"/>
      <c r="I759" s="95"/>
      <c r="J759" s="41"/>
      <c r="K759" s="41"/>
      <c r="L759" s="95"/>
      <c r="M759" s="128"/>
      <c r="N759" s="41"/>
      <c r="O759" s="42"/>
      <c r="P759" s="52"/>
      <c r="Q759" s="41"/>
      <c r="R759" s="42"/>
      <c r="S759" s="129"/>
      <c r="T759" s="41"/>
      <c r="U759" s="42"/>
      <c r="V759" s="41"/>
      <c r="W759" s="41"/>
      <c r="X759" s="42"/>
      <c r="Y759" s="97"/>
      <c r="Z759" s="41"/>
      <c r="AA759" s="94"/>
    </row>
    <row r="760" spans="1:27" x14ac:dyDescent="0.2">
      <c r="A760" s="96"/>
      <c r="B760" s="44"/>
      <c r="C760" s="91"/>
      <c r="D760" s="139"/>
      <c r="E760" s="44"/>
      <c r="F760" s="122"/>
      <c r="G760" s="123"/>
      <c r="H760" s="44"/>
      <c r="I760" s="93"/>
      <c r="J760" s="44"/>
      <c r="K760" s="44"/>
      <c r="L760" s="93"/>
      <c r="M760" s="124"/>
      <c r="N760" s="44"/>
      <c r="O760" s="92"/>
      <c r="P760" s="110"/>
      <c r="Q760" s="44"/>
      <c r="R760" s="92"/>
      <c r="S760" s="125"/>
      <c r="T760" s="44"/>
      <c r="U760" s="92"/>
      <c r="V760" s="44"/>
      <c r="W760" s="44"/>
      <c r="X760" s="92"/>
      <c r="Y760" s="96"/>
      <c r="Z760" s="44"/>
      <c r="AA760" s="91"/>
    </row>
    <row r="761" spans="1:27" x14ac:dyDescent="0.2">
      <c r="A761" s="96"/>
      <c r="B761" s="44"/>
      <c r="C761" s="91"/>
      <c r="D761" s="139"/>
      <c r="E761" s="44"/>
      <c r="F761" s="122"/>
      <c r="G761" s="123"/>
      <c r="H761" s="44"/>
      <c r="I761" s="93"/>
      <c r="J761" s="44"/>
      <c r="K761" s="44"/>
      <c r="L761" s="93"/>
      <c r="M761" s="124"/>
      <c r="N761" s="44"/>
      <c r="O761" s="92"/>
      <c r="P761" s="110"/>
      <c r="Q761" s="44"/>
      <c r="R761" s="92"/>
      <c r="S761" s="125"/>
      <c r="T761" s="44"/>
      <c r="U761" s="92"/>
      <c r="V761" s="44"/>
      <c r="W761" s="44"/>
      <c r="X761" s="92"/>
      <c r="Y761" s="96"/>
      <c r="Z761" s="44"/>
      <c r="AA761" s="91"/>
    </row>
    <row r="762" spans="1:27" x14ac:dyDescent="0.2">
      <c r="A762" s="97"/>
      <c r="B762" s="41"/>
      <c r="C762" s="94"/>
      <c r="D762" s="140"/>
      <c r="E762" s="41"/>
      <c r="F762" s="126"/>
      <c r="G762" s="127"/>
      <c r="H762" s="41"/>
      <c r="I762" s="95"/>
      <c r="J762" s="41"/>
      <c r="K762" s="41"/>
      <c r="L762" s="95"/>
      <c r="M762" s="128"/>
      <c r="N762" s="41"/>
      <c r="O762" s="42"/>
      <c r="P762" s="52"/>
      <c r="Q762" s="41"/>
      <c r="R762" s="42"/>
      <c r="S762" s="129"/>
      <c r="T762" s="41"/>
      <c r="U762" s="42"/>
      <c r="V762" s="41"/>
      <c r="W762" s="41"/>
      <c r="X762" s="42"/>
      <c r="Y762" s="97"/>
      <c r="Z762" s="41"/>
      <c r="AA762" s="94"/>
    </row>
    <row r="763" spans="1:27" x14ac:dyDescent="0.2">
      <c r="A763" s="97"/>
      <c r="B763" s="41"/>
      <c r="C763" s="94"/>
      <c r="D763" s="140"/>
      <c r="E763" s="41"/>
      <c r="F763" s="126"/>
      <c r="G763" s="127"/>
      <c r="H763" s="41"/>
      <c r="I763" s="95"/>
      <c r="J763" s="41"/>
      <c r="K763" s="41"/>
      <c r="L763" s="95"/>
      <c r="M763" s="128"/>
      <c r="N763" s="41"/>
      <c r="O763" s="42"/>
      <c r="P763" s="52"/>
      <c r="Q763" s="41"/>
      <c r="R763" s="42"/>
      <c r="S763" s="129"/>
      <c r="T763" s="41"/>
      <c r="U763" s="42"/>
      <c r="V763" s="41"/>
      <c r="W763" s="41"/>
      <c r="X763" s="42"/>
      <c r="Y763" s="97"/>
      <c r="Z763" s="41"/>
      <c r="AA763" s="94"/>
    </row>
    <row r="764" spans="1:27" x14ac:dyDescent="0.2">
      <c r="A764" s="96"/>
      <c r="B764" s="44"/>
      <c r="C764" s="91"/>
      <c r="D764" s="139"/>
      <c r="E764" s="44"/>
      <c r="F764" s="122"/>
      <c r="G764" s="123"/>
      <c r="H764" s="44"/>
      <c r="I764" s="93"/>
      <c r="J764" s="44"/>
      <c r="K764" s="44"/>
      <c r="L764" s="93"/>
      <c r="M764" s="124"/>
      <c r="N764" s="44"/>
      <c r="O764" s="92"/>
      <c r="P764" s="110"/>
      <c r="Q764" s="44"/>
      <c r="R764" s="92"/>
      <c r="S764" s="125"/>
      <c r="T764" s="44"/>
      <c r="U764" s="92"/>
      <c r="V764" s="44"/>
      <c r="W764" s="44"/>
      <c r="X764" s="92"/>
      <c r="Y764" s="96"/>
      <c r="Z764" s="44"/>
      <c r="AA764" s="91"/>
    </row>
    <row r="765" spans="1:27" x14ac:dyDescent="0.2">
      <c r="A765" s="96"/>
      <c r="B765" s="44"/>
      <c r="C765" s="91"/>
      <c r="D765" s="139"/>
      <c r="E765" s="44"/>
      <c r="F765" s="122"/>
      <c r="G765" s="123"/>
      <c r="H765" s="44"/>
      <c r="I765" s="93"/>
      <c r="J765" s="44"/>
      <c r="K765" s="44"/>
      <c r="L765" s="93"/>
      <c r="M765" s="124"/>
      <c r="N765" s="44"/>
      <c r="O765" s="92"/>
      <c r="P765" s="110"/>
      <c r="Q765" s="44"/>
      <c r="R765" s="92"/>
      <c r="S765" s="125"/>
      <c r="T765" s="44"/>
      <c r="U765" s="92"/>
      <c r="V765" s="44"/>
      <c r="W765" s="44"/>
      <c r="X765" s="92"/>
      <c r="Y765" s="96"/>
      <c r="Z765" s="44"/>
      <c r="AA765" s="91"/>
    </row>
    <row r="766" spans="1:27" x14ac:dyDescent="0.2">
      <c r="A766" s="97"/>
      <c r="B766" s="41"/>
      <c r="C766" s="94"/>
      <c r="D766" s="140"/>
      <c r="E766" s="41"/>
      <c r="F766" s="126"/>
      <c r="G766" s="127"/>
      <c r="H766" s="41"/>
      <c r="I766" s="95"/>
      <c r="J766" s="41"/>
      <c r="K766" s="41"/>
      <c r="L766" s="95"/>
      <c r="M766" s="128"/>
      <c r="N766" s="41"/>
      <c r="O766" s="42"/>
      <c r="P766" s="52"/>
      <c r="Q766" s="41"/>
      <c r="R766" s="42"/>
      <c r="S766" s="129"/>
      <c r="T766" s="41"/>
      <c r="U766" s="42"/>
      <c r="V766" s="41"/>
      <c r="W766" s="41"/>
      <c r="X766" s="42"/>
      <c r="Y766" s="97"/>
      <c r="Z766" s="41"/>
      <c r="AA766" s="94"/>
    </row>
    <row r="767" spans="1:27" x14ac:dyDescent="0.2">
      <c r="A767" s="87"/>
      <c r="B767" s="87"/>
      <c r="C767" s="88"/>
      <c r="D767" s="138"/>
      <c r="E767" s="87"/>
      <c r="F767" s="118"/>
      <c r="G767" s="119"/>
      <c r="H767" s="87"/>
      <c r="I767" s="90"/>
      <c r="J767" s="87"/>
      <c r="K767" s="87"/>
      <c r="L767" s="90"/>
      <c r="M767" s="120"/>
      <c r="N767" s="87"/>
      <c r="O767" s="89"/>
      <c r="P767" s="130"/>
      <c r="Q767" s="87"/>
      <c r="R767" s="89"/>
      <c r="S767" s="121"/>
      <c r="T767" s="87"/>
      <c r="U767" s="89"/>
      <c r="V767" s="87"/>
      <c r="W767" s="87"/>
      <c r="X767" s="89"/>
      <c r="Y767" s="87"/>
      <c r="Z767" s="87"/>
      <c r="AA767" s="88"/>
    </row>
    <row r="768" spans="1:27" x14ac:dyDescent="0.2">
      <c r="A768" s="44"/>
      <c r="B768" s="44"/>
      <c r="C768" s="91"/>
      <c r="D768" s="139"/>
      <c r="E768" s="44"/>
      <c r="F768" s="122"/>
      <c r="G768" s="123"/>
      <c r="H768" s="44"/>
      <c r="I768" s="93"/>
      <c r="J768" s="44"/>
      <c r="K768" s="44"/>
      <c r="L768" s="93"/>
      <c r="M768" s="124"/>
      <c r="N768" s="44"/>
      <c r="O768" s="92"/>
      <c r="P768" s="110"/>
      <c r="Q768" s="44"/>
      <c r="R768" s="92"/>
      <c r="S768" s="125"/>
      <c r="T768" s="44"/>
      <c r="U768" s="92"/>
      <c r="V768" s="44"/>
      <c r="W768" s="44"/>
      <c r="X768" s="92"/>
      <c r="Y768" s="44"/>
      <c r="Z768" s="44"/>
      <c r="AA768" s="91"/>
    </row>
    <row r="769" spans="1:27" x14ac:dyDescent="0.2">
      <c r="A769" s="41"/>
      <c r="B769" s="41"/>
      <c r="C769" s="94"/>
      <c r="D769" s="140"/>
      <c r="E769" s="41"/>
      <c r="F769" s="126"/>
      <c r="G769" s="127"/>
      <c r="H769" s="41"/>
      <c r="I769" s="95"/>
      <c r="J769" s="41"/>
      <c r="K769" s="41"/>
      <c r="L769" s="95"/>
      <c r="M769" s="128"/>
      <c r="N769" s="41"/>
      <c r="O769" s="42"/>
      <c r="P769" s="52"/>
      <c r="Q769" s="41"/>
      <c r="R769" s="42"/>
      <c r="S769" s="129"/>
      <c r="T769" s="41"/>
      <c r="U769" s="42"/>
      <c r="V769" s="41"/>
      <c r="W769" s="41"/>
      <c r="X769" s="42"/>
      <c r="Y769" s="41"/>
      <c r="Z769" s="41"/>
      <c r="AA769" s="94"/>
    </row>
    <row r="770" spans="1:27" x14ac:dyDescent="0.2">
      <c r="A770" s="44"/>
      <c r="B770" s="44"/>
      <c r="C770" s="91"/>
      <c r="D770" s="139"/>
      <c r="E770" s="44"/>
      <c r="F770" s="122"/>
      <c r="G770" s="123"/>
      <c r="H770" s="44"/>
      <c r="I770" s="93"/>
      <c r="J770" s="44"/>
      <c r="K770" s="44"/>
      <c r="L770" s="93"/>
      <c r="M770" s="124"/>
      <c r="N770" s="44"/>
      <c r="O770" s="92"/>
      <c r="P770" s="110"/>
      <c r="Q770" s="44"/>
      <c r="R770" s="92"/>
      <c r="S770" s="125"/>
      <c r="T770" s="44"/>
      <c r="U770" s="92"/>
      <c r="V770" s="44"/>
      <c r="W770" s="44"/>
      <c r="X770" s="92"/>
      <c r="Y770" s="44"/>
      <c r="Z770" s="44"/>
      <c r="AA770" s="91"/>
    </row>
    <row r="771" spans="1:27" x14ac:dyDescent="0.2">
      <c r="A771" s="87"/>
      <c r="B771" s="87"/>
      <c r="C771" s="88"/>
      <c r="D771" s="138"/>
      <c r="E771" s="87"/>
      <c r="F771" s="118"/>
      <c r="G771" s="119"/>
      <c r="H771" s="87"/>
      <c r="I771" s="90"/>
      <c r="J771" s="87"/>
      <c r="K771" s="87"/>
      <c r="L771" s="90"/>
      <c r="M771" s="120"/>
      <c r="N771" s="87"/>
      <c r="O771" s="89"/>
      <c r="P771" s="87"/>
      <c r="Q771" s="87"/>
      <c r="R771" s="89"/>
      <c r="S771" s="121"/>
      <c r="T771" s="87"/>
      <c r="U771" s="89"/>
      <c r="V771" s="87"/>
      <c r="W771" s="87"/>
      <c r="X771" s="89"/>
      <c r="Y771" s="87"/>
      <c r="Z771" s="87"/>
      <c r="AA771" s="88"/>
    </row>
    <row r="772" spans="1:27" x14ac:dyDescent="0.2">
      <c r="A772" s="44"/>
      <c r="B772" s="44"/>
      <c r="C772" s="91"/>
      <c r="D772" s="139"/>
      <c r="E772" s="44"/>
      <c r="F772" s="122"/>
      <c r="G772" s="123"/>
      <c r="H772" s="44"/>
      <c r="I772" s="93"/>
      <c r="J772" s="44"/>
      <c r="K772" s="44"/>
      <c r="L772" s="93"/>
      <c r="M772" s="124"/>
      <c r="N772" s="44"/>
      <c r="O772" s="92"/>
      <c r="P772" s="110"/>
      <c r="Q772" s="44"/>
      <c r="R772" s="92"/>
      <c r="S772" s="125"/>
      <c r="T772" s="44"/>
      <c r="U772" s="92"/>
      <c r="V772" s="44"/>
      <c r="W772" s="44"/>
      <c r="X772" s="92"/>
      <c r="Y772" s="44"/>
      <c r="Z772" s="44"/>
      <c r="AA772" s="91"/>
    </row>
    <row r="773" spans="1:27" x14ac:dyDescent="0.2">
      <c r="A773" s="41"/>
      <c r="B773" s="41"/>
      <c r="C773" s="94"/>
      <c r="D773" s="140"/>
      <c r="E773" s="41"/>
      <c r="F773" s="126"/>
      <c r="G773" s="127"/>
      <c r="H773" s="41"/>
      <c r="I773" s="95"/>
      <c r="J773" s="41"/>
      <c r="K773" s="41"/>
      <c r="L773" s="95"/>
      <c r="M773" s="128"/>
      <c r="N773" s="41"/>
      <c r="O773" s="42"/>
      <c r="P773" s="52"/>
      <c r="Q773" s="41"/>
      <c r="R773" s="42"/>
      <c r="S773" s="129"/>
      <c r="T773" s="41"/>
      <c r="U773" s="42"/>
      <c r="V773" s="41"/>
      <c r="W773" s="41"/>
      <c r="X773" s="42"/>
      <c r="Y773" s="41"/>
      <c r="Z773" s="41"/>
      <c r="AA773" s="94"/>
    </row>
    <row r="774" spans="1:27" x14ac:dyDescent="0.2">
      <c r="A774" s="44"/>
      <c r="B774" s="44"/>
      <c r="C774" s="91"/>
      <c r="D774" s="139"/>
      <c r="E774" s="44"/>
      <c r="F774" s="122"/>
      <c r="G774" s="123"/>
      <c r="H774" s="44"/>
      <c r="I774" s="93"/>
      <c r="J774" s="44"/>
      <c r="K774" s="44"/>
      <c r="L774" s="93"/>
      <c r="M774" s="124"/>
      <c r="N774" s="44"/>
      <c r="O774" s="92"/>
      <c r="P774" s="110"/>
      <c r="Q774" s="44"/>
      <c r="R774" s="92"/>
      <c r="S774" s="125"/>
      <c r="T774" s="44"/>
      <c r="U774" s="92"/>
      <c r="V774" s="44"/>
      <c r="W774" s="44"/>
      <c r="X774" s="92"/>
      <c r="Y774" s="44"/>
      <c r="Z774" s="44"/>
      <c r="AA774" s="91"/>
    </row>
    <row r="775" spans="1:27" x14ac:dyDescent="0.2">
      <c r="A775" s="41"/>
      <c r="B775" s="41"/>
      <c r="C775" s="94"/>
      <c r="D775" s="140"/>
      <c r="E775" s="41"/>
      <c r="F775" s="126"/>
      <c r="G775" s="127"/>
      <c r="H775" s="41"/>
      <c r="I775" s="95"/>
      <c r="J775" s="41"/>
      <c r="K775" s="41"/>
      <c r="L775" s="95"/>
      <c r="M775" s="128"/>
      <c r="N775" s="41"/>
      <c r="O775" s="42"/>
      <c r="P775" s="52"/>
      <c r="Q775" s="41"/>
      <c r="R775" s="42"/>
      <c r="S775" s="129"/>
      <c r="T775" s="41"/>
      <c r="U775" s="42"/>
      <c r="V775" s="41"/>
      <c r="W775" s="41"/>
      <c r="X775" s="42"/>
      <c r="Y775" s="41"/>
      <c r="Z775" s="41"/>
      <c r="AA775" s="94"/>
    </row>
    <row r="776" spans="1:27" x14ac:dyDescent="0.2">
      <c r="A776" s="44"/>
      <c r="B776" s="44"/>
      <c r="C776" s="91"/>
      <c r="D776" s="139"/>
      <c r="E776" s="44"/>
      <c r="F776" s="122"/>
      <c r="G776" s="123"/>
      <c r="H776" s="44"/>
      <c r="I776" s="93"/>
      <c r="J776" s="44"/>
      <c r="K776" s="44"/>
      <c r="L776" s="93"/>
      <c r="M776" s="124"/>
      <c r="N776" s="44"/>
      <c r="O776" s="92"/>
      <c r="P776" s="110"/>
      <c r="Q776" s="44"/>
      <c r="R776" s="92"/>
      <c r="S776" s="125"/>
      <c r="T776" s="44"/>
      <c r="U776" s="92"/>
      <c r="V776" s="44"/>
      <c r="W776" s="44"/>
      <c r="X776" s="92"/>
      <c r="Y776" s="44"/>
      <c r="Z776" s="44"/>
      <c r="AA776" s="91"/>
    </row>
    <row r="777" spans="1:27" x14ac:dyDescent="0.2">
      <c r="A777" s="41"/>
      <c r="B777" s="41"/>
      <c r="C777" s="94"/>
      <c r="D777" s="140"/>
      <c r="E777" s="41"/>
      <c r="F777" s="126"/>
      <c r="G777" s="127"/>
      <c r="H777" s="41"/>
      <c r="I777" s="95"/>
      <c r="J777" s="41"/>
      <c r="K777" s="41"/>
      <c r="L777" s="95"/>
      <c r="M777" s="128"/>
      <c r="N777" s="41"/>
      <c r="O777" s="42"/>
      <c r="P777" s="52"/>
      <c r="Q777" s="41"/>
      <c r="R777" s="42"/>
      <c r="S777" s="129"/>
      <c r="T777" s="41"/>
      <c r="U777" s="42"/>
      <c r="V777" s="41"/>
      <c r="W777" s="41"/>
      <c r="X777" s="42"/>
      <c r="Y777" s="41"/>
      <c r="Z777" s="41"/>
      <c r="AA777" s="94"/>
    </row>
    <row r="778" spans="1:27" x14ac:dyDescent="0.2">
      <c r="A778" s="44"/>
      <c r="B778" s="44"/>
      <c r="C778" s="91"/>
      <c r="D778" s="139"/>
      <c r="E778" s="44"/>
      <c r="F778" s="122"/>
      <c r="G778" s="123"/>
      <c r="H778" s="44"/>
      <c r="I778" s="93"/>
      <c r="J778" s="44"/>
      <c r="K778" s="44"/>
      <c r="L778" s="93"/>
      <c r="M778" s="124"/>
      <c r="N778" s="44"/>
      <c r="O778" s="92"/>
      <c r="P778" s="110"/>
      <c r="Q778" s="44"/>
      <c r="R778" s="92"/>
      <c r="S778" s="125"/>
      <c r="T778" s="44"/>
      <c r="U778" s="92"/>
      <c r="V778" s="44"/>
      <c r="W778" s="44"/>
      <c r="X778" s="92"/>
      <c r="Y778" s="44"/>
      <c r="Z778" s="44"/>
      <c r="AA778" s="91"/>
    </row>
    <row r="779" spans="1:27" x14ac:dyDescent="0.2">
      <c r="A779" s="41"/>
      <c r="B779" s="41"/>
      <c r="C779" s="94"/>
      <c r="D779" s="140"/>
      <c r="E779" s="41"/>
      <c r="F779" s="126"/>
      <c r="G779" s="127"/>
      <c r="H779" s="41"/>
      <c r="I779" s="95"/>
      <c r="J779" s="41"/>
      <c r="K779" s="41"/>
      <c r="L779" s="95"/>
      <c r="M779" s="128"/>
      <c r="N779" s="41"/>
      <c r="O779" s="42"/>
      <c r="P779" s="52"/>
      <c r="Q779" s="41"/>
      <c r="R779" s="42"/>
      <c r="S779" s="129"/>
      <c r="T779" s="41"/>
      <c r="U779" s="42"/>
      <c r="V779" s="41"/>
      <c r="W779" s="41"/>
      <c r="X779" s="42"/>
      <c r="Y779" s="41"/>
      <c r="Z779" s="41"/>
      <c r="AA779" s="94"/>
    </row>
    <row r="780" spans="1:27" x14ac:dyDescent="0.2">
      <c r="A780" s="44"/>
      <c r="B780" s="44"/>
      <c r="C780" s="91"/>
      <c r="D780" s="139"/>
      <c r="E780" s="44"/>
      <c r="F780" s="122"/>
      <c r="G780" s="123"/>
      <c r="H780" s="44"/>
      <c r="I780" s="93"/>
      <c r="J780" s="44"/>
      <c r="K780" s="44"/>
      <c r="L780" s="93"/>
      <c r="M780" s="124"/>
      <c r="N780" s="44"/>
      <c r="O780" s="92"/>
      <c r="P780" s="110"/>
      <c r="Q780" s="44"/>
      <c r="R780" s="92"/>
      <c r="S780" s="125"/>
      <c r="T780" s="44"/>
      <c r="U780" s="92"/>
      <c r="V780" s="44"/>
      <c r="W780" s="44"/>
      <c r="X780" s="92"/>
      <c r="Y780" s="44"/>
      <c r="Z780" s="44"/>
      <c r="AA780" s="91"/>
    </row>
    <row r="781" spans="1:27" x14ac:dyDescent="0.2">
      <c r="A781" s="41"/>
      <c r="B781" s="41"/>
      <c r="C781" s="94"/>
      <c r="D781" s="140"/>
      <c r="E781" s="41"/>
      <c r="F781" s="126"/>
      <c r="G781" s="127"/>
      <c r="H781" s="41"/>
      <c r="I781" s="95"/>
      <c r="J781" s="41"/>
      <c r="K781" s="41"/>
      <c r="L781" s="95"/>
      <c r="M781" s="128"/>
      <c r="N781" s="41"/>
      <c r="O781" s="42"/>
      <c r="P781" s="52"/>
      <c r="Q781" s="41"/>
      <c r="R781" s="42"/>
      <c r="S781" s="129"/>
      <c r="T781" s="41"/>
      <c r="U781" s="42"/>
      <c r="V781" s="41"/>
      <c r="W781" s="41"/>
      <c r="X781" s="42"/>
      <c r="Y781" s="41"/>
      <c r="Z781" s="41"/>
      <c r="AA781" s="94"/>
    </row>
    <row r="782" spans="1:27" x14ac:dyDescent="0.2">
      <c r="A782" s="44"/>
      <c r="B782" s="44"/>
      <c r="C782" s="91"/>
      <c r="D782" s="139"/>
      <c r="E782" s="44"/>
      <c r="F782" s="122"/>
      <c r="G782" s="123"/>
      <c r="H782" s="44"/>
      <c r="I782" s="93"/>
      <c r="J782" s="44"/>
      <c r="K782" s="44"/>
      <c r="L782" s="93"/>
      <c r="M782" s="124"/>
      <c r="N782" s="44"/>
      <c r="O782" s="92"/>
      <c r="P782" s="110"/>
      <c r="Q782" s="44"/>
      <c r="R782" s="92"/>
      <c r="S782" s="125"/>
      <c r="T782" s="44"/>
      <c r="U782" s="92"/>
      <c r="V782" s="44"/>
      <c r="W782" s="44"/>
      <c r="X782" s="92"/>
      <c r="Y782" s="44"/>
      <c r="Z782" s="44"/>
      <c r="AA782" s="91"/>
    </row>
    <row r="783" spans="1:27" x14ac:dyDescent="0.2">
      <c r="A783" s="41"/>
      <c r="B783" s="41"/>
      <c r="C783" s="94"/>
      <c r="D783" s="140"/>
      <c r="E783" s="41"/>
      <c r="F783" s="126"/>
      <c r="G783" s="127"/>
      <c r="H783" s="41"/>
      <c r="I783" s="95"/>
      <c r="J783" s="41"/>
      <c r="K783" s="41"/>
      <c r="L783" s="95"/>
      <c r="M783" s="128"/>
      <c r="N783" s="41"/>
      <c r="O783" s="42"/>
      <c r="P783" s="52"/>
      <c r="Q783" s="41"/>
      <c r="R783" s="42"/>
      <c r="S783" s="129"/>
      <c r="T783" s="41"/>
      <c r="U783" s="42"/>
      <c r="V783" s="41"/>
      <c r="W783" s="41"/>
      <c r="X783" s="42"/>
      <c r="Y783" s="41"/>
      <c r="Z783" s="41"/>
      <c r="AA783" s="94"/>
    </row>
    <row r="784" spans="1:27" x14ac:dyDescent="0.2">
      <c r="A784" s="44"/>
      <c r="B784" s="44"/>
      <c r="C784" s="91"/>
      <c r="D784" s="139"/>
      <c r="E784" s="44"/>
      <c r="F784" s="122"/>
      <c r="G784" s="123"/>
      <c r="H784" s="44"/>
      <c r="I784" s="93"/>
      <c r="J784" s="44"/>
      <c r="K784" s="44"/>
      <c r="L784" s="93"/>
      <c r="M784" s="124"/>
      <c r="N784" s="44"/>
      <c r="O784" s="92"/>
      <c r="P784" s="110"/>
      <c r="Q784" s="44"/>
      <c r="R784" s="92"/>
      <c r="S784" s="125"/>
      <c r="T784" s="44"/>
      <c r="U784" s="92"/>
      <c r="V784" s="44"/>
      <c r="W784" s="44"/>
      <c r="X784" s="92"/>
      <c r="Y784" s="44"/>
      <c r="Z784" s="44"/>
      <c r="AA784" s="91"/>
    </row>
    <row r="785" spans="1:27" x14ac:dyDescent="0.2">
      <c r="A785" s="41"/>
      <c r="B785" s="41"/>
      <c r="C785" s="94"/>
      <c r="D785" s="140"/>
      <c r="E785" s="41"/>
      <c r="F785" s="126"/>
      <c r="G785" s="127"/>
      <c r="H785" s="41"/>
      <c r="I785" s="95"/>
      <c r="J785" s="41"/>
      <c r="K785" s="41"/>
      <c r="L785" s="95"/>
      <c r="M785" s="128"/>
      <c r="N785" s="41"/>
      <c r="O785" s="42"/>
      <c r="P785" s="52"/>
      <c r="Q785" s="41"/>
      <c r="R785" s="42"/>
      <c r="S785" s="129"/>
      <c r="T785" s="41"/>
      <c r="U785" s="42"/>
      <c r="V785" s="41"/>
      <c r="W785" s="41"/>
      <c r="X785" s="42"/>
      <c r="Y785" s="41"/>
      <c r="Z785" s="41"/>
      <c r="AA785" s="94"/>
    </row>
    <row r="786" spans="1:27" x14ac:dyDescent="0.2">
      <c r="A786" s="44"/>
      <c r="B786" s="44"/>
      <c r="C786" s="91"/>
      <c r="D786" s="139"/>
      <c r="E786" s="44"/>
      <c r="F786" s="122"/>
      <c r="G786" s="123"/>
      <c r="H786" s="44"/>
      <c r="I786" s="93"/>
      <c r="J786" s="44"/>
      <c r="K786" s="44"/>
      <c r="L786" s="93"/>
      <c r="M786" s="124"/>
      <c r="N786" s="44"/>
      <c r="O786" s="92"/>
      <c r="P786" s="110"/>
      <c r="Q786" s="44"/>
      <c r="R786" s="92"/>
      <c r="S786" s="125"/>
      <c r="T786" s="44"/>
      <c r="U786" s="92"/>
      <c r="V786" s="44"/>
      <c r="W786" s="44"/>
      <c r="X786" s="92"/>
      <c r="Y786" s="44"/>
      <c r="Z786" s="44"/>
      <c r="AA786" s="91"/>
    </row>
    <row r="787" spans="1:27" x14ac:dyDescent="0.2">
      <c r="A787" s="41"/>
      <c r="B787" s="41"/>
      <c r="C787" s="94"/>
      <c r="D787" s="140"/>
      <c r="E787" s="41"/>
      <c r="F787" s="126"/>
      <c r="G787" s="127"/>
      <c r="H787" s="41"/>
      <c r="I787" s="95"/>
      <c r="J787" s="41"/>
      <c r="K787" s="41"/>
      <c r="L787" s="95"/>
      <c r="M787" s="128"/>
      <c r="N787" s="41"/>
      <c r="O787" s="42"/>
      <c r="P787" s="52"/>
      <c r="Q787" s="41"/>
      <c r="R787" s="42"/>
      <c r="S787" s="129"/>
      <c r="T787" s="41"/>
      <c r="U787" s="42"/>
      <c r="V787" s="41"/>
      <c r="W787" s="41"/>
      <c r="X787" s="42"/>
      <c r="Y787" s="41"/>
      <c r="Z787" s="41"/>
      <c r="AA787" s="94"/>
    </row>
    <row r="788" spans="1:27" x14ac:dyDescent="0.2">
      <c r="A788" s="44"/>
      <c r="B788" s="44"/>
      <c r="C788" s="91"/>
      <c r="D788" s="139"/>
      <c r="E788" s="44"/>
      <c r="F788" s="122"/>
      <c r="G788" s="123"/>
      <c r="H788" s="44"/>
      <c r="I788" s="93"/>
      <c r="J788" s="44"/>
      <c r="K788" s="44"/>
      <c r="L788" s="93"/>
      <c r="M788" s="124"/>
      <c r="N788" s="44"/>
      <c r="O788" s="92"/>
      <c r="P788" s="110"/>
      <c r="Q788" s="44"/>
      <c r="R788" s="92"/>
      <c r="S788" s="125"/>
      <c r="T788" s="44"/>
      <c r="U788" s="92"/>
      <c r="V788" s="44"/>
      <c r="W788" s="44"/>
      <c r="X788" s="92"/>
      <c r="Y788" s="44"/>
      <c r="Z788" s="44"/>
      <c r="AA788" s="91"/>
    </row>
    <row r="789" spans="1:27" x14ac:dyDescent="0.2">
      <c r="A789" s="41"/>
      <c r="B789" s="41"/>
      <c r="C789" s="94"/>
      <c r="D789" s="140"/>
      <c r="E789" s="41"/>
      <c r="F789" s="127"/>
      <c r="G789" s="127"/>
      <c r="H789" s="41"/>
      <c r="I789" s="95"/>
      <c r="J789" s="41"/>
      <c r="K789" s="41"/>
      <c r="L789" s="95"/>
      <c r="M789" s="128"/>
      <c r="N789" s="41"/>
      <c r="O789" s="42"/>
      <c r="P789" s="52"/>
      <c r="Q789" s="41"/>
      <c r="R789" s="42"/>
      <c r="S789" s="129"/>
      <c r="T789" s="41"/>
      <c r="U789" s="42"/>
      <c r="V789" s="41"/>
      <c r="W789" s="41"/>
      <c r="X789" s="42"/>
      <c r="Y789" s="41"/>
      <c r="Z789" s="41"/>
      <c r="AA789" s="94"/>
    </row>
    <row r="790" spans="1:27" x14ac:dyDescent="0.2">
      <c r="A790" s="44"/>
      <c r="B790" s="44"/>
      <c r="C790" s="91"/>
      <c r="D790" s="139"/>
      <c r="E790" s="44"/>
      <c r="F790" s="122"/>
      <c r="G790" s="123"/>
      <c r="H790" s="44"/>
      <c r="I790" s="93"/>
      <c r="J790" s="44"/>
      <c r="K790" s="44"/>
      <c r="L790" s="93"/>
      <c r="M790" s="124"/>
      <c r="N790" s="44"/>
      <c r="O790" s="92"/>
      <c r="P790" s="110"/>
      <c r="Q790" s="44"/>
      <c r="R790" s="92"/>
      <c r="S790" s="125"/>
      <c r="T790" s="44"/>
      <c r="U790" s="92"/>
      <c r="V790" s="44"/>
      <c r="W790" s="44"/>
      <c r="X790" s="92"/>
      <c r="Y790" s="44"/>
      <c r="Z790" s="44"/>
      <c r="AA790" s="91"/>
    </row>
    <row r="791" spans="1:27" x14ac:dyDescent="0.2">
      <c r="A791" s="41"/>
      <c r="B791" s="41"/>
      <c r="C791" s="94"/>
      <c r="D791" s="140"/>
      <c r="E791" s="41"/>
      <c r="F791" s="126"/>
      <c r="G791" s="127"/>
      <c r="H791" s="41"/>
      <c r="I791" s="95"/>
      <c r="J791" s="41"/>
      <c r="K791" s="41"/>
      <c r="L791" s="95"/>
      <c r="M791" s="128"/>
      <c r="N791" s="41"/>
      <c r="O791" s="42"/>
      <c r="P791" s="52"/>
      <c r="Q791" s="41"/>
      <c r="R791" s="42"/>
      <c r="S791" s="129"/>
      <c r="T791" s="41"/>
      <c r="U791" s="42"/>
      <c r="V791" s="41"/>
      <c r="W791" s="41"/>
      <c r="X791" s="42"/>
      <c r="Y791" s="41"/>
      <c r="Z791" s="41"/>
      <c r="AA791" s="94"/>
    </row>
    <row r="792" spans="1:27" x14ac:dyDescent="0.2">
      <c r="A792" s="44"/>
      <c r="B792" s="44"/>
      <c r="C792" s="91"/>
      <c r="D792" s="139"/>
      <c r="E792" s="44"/>
      <c r="F792" s="122"/>
      <c r="G792" s="123"/>
      <c r="H792" s="44"/>
      <c r="I792" s="93"/>
      <c r="J792" s="44"/>
      <c r="K792" s="44"/>
      <c r="L792" s="93"/>
      <c r="M792" s="124"/>
      <c r="N792" s="44"/>
      <c r="O792" s="92"/>
      <c r="P792" s="110"/>
      <c r="Q792" s="44"/>
      <c r="R792" s="92"/>
      <c r="S792" s="125"/>
      <c r="T792" s="44"/>
      <c r="U792" s="92"/>
      <c r="V792" s="44"/>
      <c r="W792" s="44"/>
      <c r="X792" s="92"/>
      <c r="Y792" s="44"/>
      <c r="Z792" s="44"/>
      <c r="AA792" s="91"/>
    </row>
    <row r="793" spans="1:27" x14ac:dyDescent="0.2">
      <c r="A793" s="41"/>
      <c r="B793" s="41"/>
      <c r="C793" s="94"/>
      <c r="D793" s="140"/>
      <c r="E793" s="41"/>
      <c r="F793" s="126"/>
      <c r="G793" s="127"/>
      <c r="H793" s="41"/>
      <c r="I793" s="95"/>
      <c r="J793" s="41"/>
      <c r="K793" s="41"/>
      <c r="L793" s="95"/>
      <c r="M793" s="128"/>
      <c r="N793" s="41"/>
      <c r="O793" s="42"/>
      <c r="P793" s="52"/>
      <c r="Q793" s="41"/>
      <c r="R793" s="42"/>
      <c r="S793" s="129"/>
      <c r="T793" s="41"/>
      <c r="U793" s="42"/>
      <c r="V793" s="41"/>
      <c r="W793" s="41"/>
      <c r="X793" s="42"/>
      <c r="Y793" s="41"/>
      <c r="Z793" s="41"/>
      <c r="AA793" s="94"/>
    </row>
    <row r="794" spans="1:27" x14ac:dyDescent="0.2">
      <c r="A794" s="44"/>
      <c r="B794" s="44"/>
      <c r="C794" s="91"/>
      <c r="D794" s="139"/>
      <c r="E794" s="44"/>
      <c r="F794" s="122"/>
      <c r="G794" s="123"/>
      <c r="H794" s="44"/>
      <c r="I794" s="93"/>
      <c r="J794" s="44"/>
      <c r="K794" s="44"/>
      <c r="L794" s="93"/>
      <c r="M794" s="124"/>
      <c r="N794" s="44"/>
      <c r="O794" s="92"/>
      <c r="P794" s="110"/>
      <c r="Q794" s="44"/>
      <c r="R794" s="92"/>
      <c r="S794" s="125"/>
      <c r="T794" s="44"/>
      <c r="U794" s="92"/>
      <c r="V794" s="44"/>
      <c r="W794" s="44"/>
      <c r="X794" s="92"/>
      <c r="Y794" s="44"/>
      <c r="Z794" s="44"/>
      <c r="AA794" s="91"/>
    </row>
    <row r="795" spans="1:27" x14ac:dyDescent="0.2">
      <c r="A795" s="41"/>
      <c r="B795" s="41"/>
      <c r="C795" s="94"/>
      <c r="D795" s="140"/>
      <c r="E795" s="41"/>
      <c r="F795" s="126"/>
      <c r="G795" s="127"/>
      <c r="H795" s="41"/>
      <c r="I795" s="95"/>
      <c r="J795" s="41"/>
      <c r="K795" s="41"/>
      <c r="L795" s="95"/>
      <c r="M795" s="128"/>
      <c r="N795" s="41"/>
      <c r="O795" s="42"/>
      <c r="P795" s="52"/>
      <c r="Q795" s="41"/>
      <c r="R795" s="42"/>
      <c r="S795" s="129"/>
      <c r="T795" s="41"/>
      <c r="U795" s="42"/>
      <c r="V795" s="41"/>
      <c r="W795" s="41"/>
      <c r="X795" s="42"/>
      <c r="Y795" s="41"/>
      <c r="Z795" s="41"/>
      <c r="AA795" s="94"/>
    </row>
    <row r="796" spans="1:27" x14ac:dyDescent="0.2">
      <c r="A796" s="44"/>
      <c r="B796" s="44"/>
      <c r="C796" s="91"/>
      <c r="D796" s="139"/>
      <c r="E796" s="44"/>
      <c r="F796" s="122"/>
      <c r="G796" s="123"/>
      <c r="H796" s="44"/>
      <c r="I796" s="93"/>
      <c r="J796" s="44"/>
      <c r="K796" s="44"/>
      <c r="L796" s="93"/>
      <c r="M796" s="124"/>
      <c r="N796" s="44"/>
      <c r="O796" s="92"/>
      <c r="P796" s="110"/>
      <c r="Q796" s="44"/>
      <c r="R796" s="92"/>
      <c r="S796" s="125"/>
      <c r="T796" s="44"/>
      <c r="U796" s="92"/>
      <c r="V796" s="44"/>
      <c r="W796" s="44"/>
      <c r="X796" s="92"/>
      <c r="Y796" s="44"/>
      <c r="Z796" s="44"/>
      <c r="AA796" s="91"/>
    </row>
    <row r="797" spans="1:27" x14ac:dyDescent="0.2">
      <c r="A797" s="96"/>
      <c r="B797" s="44"/>
      <c r="C797" s="91"/>
      <c r="D797" s="139"/>
      <c r="E797" s="44"/>
      <c r="F797" s="122"/>
      <c r="G797" s="123"/>
      <c r="H797" s="44"/>
      <c r="I797" s="93"/>
      <c r="J797" s="44"/>
      <c r="K797" s="44"/>
      <c r="L797" s="93"/>
      <c r="M797" s="124"/>
      <c r="N797" s="44"/>
      <c r="O797" s="92"/>
      <c r="P797" s="110"/>
      <c r="Q797" s="44"/>
      <c r="R797" s="92"/>
      <c r="S797" s="125"/>
      <c r="T797" s="44"/>
      <c r="U797" s="92"/>
      <c r="V797" s="44"/>
      <c r="W797" s="44"/>
      <c r="X797" s="92"/>
      <c r="Y797" s="96"/>
      <c r="Z797" s="44"/>
      <c r="AA797" s="91"/>
    </row>
    <row r="798" spans="1:27" x14ac:dyDescent="0.2">
      <c r="A798" s="97"/>
      <c r="B798" s="41"/>
      <c r="C798" s="94"/>
      <c r="D798" s="140"/>
      <c r="E798" s="41"/>
      <c r="F798" s="126"/>
      <c r="G798" s="127"/>
      <c r="H798" s="41"/>
      <c r="I798" s="95"/>
      <c r="J798" s="41"/>
      <c r="K798" s="41"/>
      <c r="L798" s="95"/>
      <c r="M798" s="128"/>
      <c r="N798" s="41"/>
      <c r="O798" s="42"/>
      <c r="P798" s="52"/>
      <c r="Q798" s="41"/>
      <c r="R798" s="42"/>
      <c r="S798" s="129"/>
      <c r="T798" s="41"/>
      <c r="U798" s="42"/>
      <c r="V798" s="41"/>
      <c r="W798" s="41"/>
      <c r="X798" s="42"/>
      <c r="Y798" s="97"/>
      <c r="Z798" s="41"/>
      <c r="AA798" s="94"/>
    </row>
    <row r="799" spans="1:27" x14ac:dyDescent="0.2">
      <c r="A799" s="96"/>
      <c r="B799" s="44"/>
      <c r="C799" s="91"/>
      <c r="D799" s="139"/>
      <c r="E799" s="44"/>
      <c r="F799" s="122"/>
      <c r="G799" s="123"/>
      <c r="H799" s="44"/>
      <c r="I799" s="93"/>
      <c r="J799" s="44"/>
      <c r="K799" s="44"/>
      <c r="L799" s="93"/>
      <c r="M799" s="124"/>
      <c r="N799" s="44"/>
      <c r="O799" s="92"/>
      <c r="P799" s="110"/>
      <c r="Q799" s="44"/>
      <c r="R799" s="92"/>
      <c r="S799" s="125"/>
      <c r="T799" s="44"/>
      <c r="U799" s="92"/>
      <c r="V799" s="44"/>
      <c r="W799" s="44"/>
      <c r="X799" s="92"/>
      <c r="Y799" s="96"/>
      <c r="Z799" s="44"/>
      <c r="AA799" s="91"/>
    </row>
    <row r="800" spans="1:27" x14ac:dyDescent="0.2">
      <c r="A800" s="97"/>
      <c r="B800" s="41"/>
      <c r="C800" s="94"/>
      <c r="D800" s="140"/>
      <c r="E800" s="41"/>
      <c r="F800" s="126"/>
      <c r="G800" s="127"/>
      <c r="H800" s="41"/>
      <c r="I800" s="95"/>
      <c r="J800" s="41"/>
      <c r="K800" s="41"/>
      <c r="L800" s="95"/>
      <c r="M800" s="128"/>
      <c r="N800" s="41"/>
      <c r="O800" s="42"/>
      <c r="P800" s="52"/>
      <c r="Q800" s="41"/>
      <c r="R800" s="42"/>
      <c r="S800" s="129"/>
      <c r="T800" s="41"/>
      <c r="U800" s="42"/>
      <c r="V800" s="41"/>
      <c r="W800" s="41"/>
      <c r="X800" s="42"/>
      <c r="Y800" s="97"/>
      <c r="Z800" s="41"/>
      <c r="AA800" s="94"/>
    </row>
    <row r="801" spans="1:27" x14ac:dyDescent="0.2">
      <c r="A801" s="97"/>
      <c r="B801" s="41"/>
      <c r="C801" s="94"/>
      <c r="D801" s="140"/>
      <c r="E801" s="41"/>
      <c r="F801" s="126"/>
      <c r="G801" s="127"/>
      <c r="H801" s="41"/>
      <c r="I801" s="95"/>
      <c r="J801" s="41"/>
      <c r="K801" s="41"/>
      <c r="L801" s="95"/>
      <c r="M801" s="128"/>
      <c r="N801" s="41"/>
      <c r="O801" s="42"/>
      <c r="P801" s="52"/>
      <c r="Q801" s="41"/>
      <c r="R801" s="42"/>
      <c r="S801" s="129"/>
      <c r="T801" s="41"/>
      <c r="U801" s="42"/>
      <c r="V801" s="41"/>
      <c r="W801" s="41"/>
      <c r="X801" s="42"/>
      <c r="Y801" s="97"/>
      <c r="Z801" s="41"/>
      <c r="AA801" s="94"/>
    </row>
    <row r="802" spans="1:27" x14ac:dyDescent="0.2">
      <c r="A802" s="97"/>
      <c r="B802" s="41"/>
      <c r="C802" s="94"/>
      <c r="D802" s="140"/>
      <c r="E802" s="41"/>
      <c r="F802" s="126"/>
      <c r="G802" s="127"/>
      <c r="H802" s="41"/>
      <c r="I802" s="95"/>
      <c r="J802" s="41"/>
      <c r="K802" s="41"/>
      <c r="L802" s="95"/>
      <c r="M802" s="128"/>
      <c r="N802" s="41"/>
      <c r="O802" s="42"/>
      <c r="P802" s="52"/>
      <c r="Q802" s="41"/>
      <c r="R802" s="42"/>
      <c r="S802" s="129"/>
      <c r="T802" s="41"/>
      <c r="U802" s="42"/>
      <c r="V802" s="41"/>
      <c r="W802" s="41"/>
      <c r="X802" s="42"/>
      <c r="Y802" s="97"/>
      <c r="Z802" s="41"/>
      <c r="AA802" s="94"/>
    </row>
    <row r="803" spans="1:27" x14ac:dyDescent="0.2">
      <c r="A803" s="97"/>
      <c r="B803" s="41"/>
      <c r="C803" s="94"/>
      <c r="D803" s="140"/>
      <c r="E803" s="41"/>
      <c r="F803" s="126"/>
      <c r="G803" s="127"/>
      <c r="H803" s="41"/>
      <c r="I803" s="95"/>
      <c r="J803" s="41"/>
      <c r="K803" s="41"/>
      <c r="L803" s="95"/>
      <c r="M803" s="128"/>
      <c r="N803" s="41"/>
      <c r="O803" s="42"/>
      <c r="P803" s="52"/>
      <c r="Q803" s="41"/>
      <c r="R803" s="42"/>
      <c r="S803" s="129"/>
      <c r="T803" s="41"/>
      <c r="U803" s="42"/>
      <c r="V803" s="41"/>
      <c r="W803" s="41"/>
      <c r="X803" s="42"/>
      <c r="Y803" s="97"/>
      <c r="Z803" s="41"/>
      <c r="AA803" s="94"/>
    </row>
    <row r="804" spans="1:27" x14ac:dyDescent="0.2">
      <c r="A804" s="96"/>
      <c r="B804" s="44"/>
      <c r="C804" s="91"/>
      <c r="D804" s="139"/>
      <c r="E804" s="44"/>
      <c r="F804" s="122"/>
      <c r="G804" s="123"/>
      <c r="H804" s="44"/>
      <c r="I804" s="93"/>
      <c r="J804" s="44"/>
      <c r="K804" s="44"/>
      <c r="L804" s="93"/>
      <c r="M804" s="124"/>
      <c r="N804" s="44"/>
      <c r="O804" s="92"/>
      <c r="P804" s="110"/>
      <c r="Q804" s="44"/>
      <c r="R804" s="92"/>
      <c r="S804" s="125"/>
      <c r="T804" s="44"/>
      <c r="U804" s="92"/>
      <c r="V804" s="44"/>
      <c r="W804" s="44"/>
      <c r="X804" s="92"/>
      <c r="Y804" s="96"/>
      <c r="Z804" s="44"/>
      <c r="AA804" s="91"/>
    </row>
    <row r="805" spans="1:27" x14ac:dyDescent="0.2">
      <c r="A805" s="96"/>
      <c r="B805" s="44"/>
      <c r="C805" s="91"/>
      <c r="D805" s="139"/>
      <c r="E805" s="44"/>
      <c r="F805" s="122"/>
      <c r="G805" s="123"/>
      <c r="H805" s="44"/>
      <c r="I805" s="93"/>
      <c r="J805" s="44"/>
      <c r="K805" s="44"/>
      <c r="L805" s="93"/>
      <c r="M805" s="124"/>
      <c r="N805" s="44"/>
      <c r="O805" s="92"/>
      <c r="P805" s="110"/>
      <c r="Q805" s="44"/>
      <c r="R805" s="92"/>
      <c r="S805" s="125"/>
      <c r="T805" s="44"/>
      <c r="U805" s="92"/>
      <c r="V805" s="44"/>
      <c r="W805" s="44"/>
      <c r="X805" s="92"/>
      <c r="Y805" s="96"/>
      <c r="Z805" s="44"/>
      <c r="AA805" s="91"/>
    </row>
    <row r="806" spans="1:27" x14ac:dyDescent="0.2">
      <c r="A806" s="96"/>
      <c r="B806" s="44"/>
      <c r="C806" s="91"/>
      <c r="D806" s="139"/>
      <c r="E806" s="44"/>
      <c r="F806" s="122"/>
      <c r="G806" s="123"/>
      <c r="H806" s="44"/>
      <c r="I806" s="93"/>
      <c r="J806" s="44"/>
      <c r="K806" s="44"/>
      <c r="L806" s="93"/>
      <c r="M806" s="124"/>
      <c r="N806" s="44"/>
      <c r="O806" s="92"/>
      <c r="P806" s="110"/>
      <c r="Q806" s="44"/>
      <c r="R806" s="92"/>
      <c r="S806" s="125"/>
      <c r="T806" s="44"/>
      <c r="U806" s="92"/>
      <c r="V806" s="44"/>
      <c r="W806" s="44"/>
      <c r="X806" s="92"/>
      <c r="Y806" s="96"/>
      <c r="Z806" s="44"/>
      <c r="AA806" s="91"/>
    </row>
    <row r="807" spans="1:27" x14ac:dyDescent="0.2">
      <c r="A807" s="96"/>
      <c r="B807" s="44"/>
      <c r="C807" s="91"/>
      <c r="D807" s="139"/>
      <c r="E807" s="44"/>
      <c r="F807" s="122"/>
      <c r="G807" s="123"/>
      <c r="H807" s="44"/>
      <c r="I807" s="93"/>
      <c r="J807" s="44"/>
      <c r="K807" s="44"/>
      <c r="L807" s="93"/>
      <c r="M807" s="124"/>
      <c r="N807" s="44"/>
      <c r="O807" s="92"/>
      <c r="P807" s="110"/>
      <c r="Q807" s="44"/>
      <c r="R807" s="92"/>
      <c r="S807" s="125"/>
      <c r="T807" s="44"/>
      <c r="U807" s="92"/>
      <c r="V807" s="44"/>
      <c r="W807" s="44"/>
      <c r="X807" s="92"/>
      <c r="Y807" s="96"/>
      <c r="Z807" s="44"/>
      <c r="AA807" s="91"/>
    </row>
    <row r="808" spans="1:27" x14ac:dyDescent="0.2">
      <c r="A808" s="96"/>
      <c r="B808" s="44"/>
      <c r="C808" s="91"/>
      <c r="D808" s="139"/>
      <c r="E808" s="44"/>
      <c r="F808" s="122"/>
      <c r="G808" s="123"/>
      <c r="H808" s="44"/>
      <c r="I808" s="93"/>
      <c r="J808" s="44"/>
      <c r="K808" s="44"/>
      <c r="L808" s="93"/>
      <c r="M808" s="124"/>
      <c r="N808" s="44"/>
      <c r="O808" s="92"/>
      <c r="P808" s="110"/>
      <c r="Q808" s="44"/>
      <c r="R808" s="92"/>
      <c r="S808" s="125"/>
      <c r="T808" s="44"/>
      <c r="U808" s="92"/>
      <c r="V808" s="44"/>
      <c r="W808" s="44"/>
      <c r="X808" s="92"/>
      <c r="Y808" s="96"/>
      <c r="Z808" s="44"/>
      <c r="AA808" s="91"/>
    </row>
    <row r="809" spans="1:27" x14ac:dyDescent="0.2">
      <c r="A809" s="97"/>
      <c r="B809" s="41"/>
      <c r="C809" s="94"/>
      <c r="D809" s="140"/>
      <c r="E809" s="41"/>
      <c r="F809" s="126"/>
      <c r="G809" s="127"/>
      <c r="H809" s="41"/>
      <c r="I809" s="95"/>
      <c r="J809" s="41"/>
      <c r="K809" s="41"/>
      <c r="L809" s="95"/>
      <c r="M809" s="128"/>
      <c r="N809" s="41"/>
      <c r="O809" s="42"/>
      <c r="P809" s="52"/>
      <c r="Q809" s="41"/>
      <c r="R809" s="42"/>
      <c r="S809" s="129"/>
      <c r="T809" s="41"/>
      <c r="U809" s="42"/>
      <c r="V809" s="41"/>
      <c r="W809" s="41"/>
      <c r="X809" s="42"/>
      <c r="Y809" s="97"/>
      <c r="Z809" s="41"/>
      <c r="AA809" s="94"/>
    </row>
    <row r="810" spans="1:27" x14ac:dyDescent="0.2">
      <c r="A810" s="96"/>
      <c r="B810" s="44"/>
      <c r="C810" s="91"/>
      <c r="D810" s="139"/>
      <c r="E810" s="44"/>
      <c r="F810" s="122"/>
      <c r="G810" s="123"/>
      <c r="H810" s="44"/>
      <c r="I810" s="93"/>
      <c r="J810" s="44"/>
      <c r="K810" s="44"/>
      <c r="L810" s="93"/>
      <c r="M810" s="124"/>
      <c r="N810" s="44"/>
      <c r="O810" s="92"/>
      <c r="P810" s="110"/>
      <c r="Q810" s="44"/>
      <c r="R810" s="92"/>
      <c r="S810" s="125"/>
      <c r="T810" s="44"/>
      <c r="U810" s="92"/>
      <c r="V810" s="44"/>
      <c r="W810" s="44"/>
      <c r="X810" s="92"/>
      <c r="Y810" s="96"/>
      <c r="Z810" s="44"/>
      <c r="AA810" s="91"/>
    </row>
    <row r="811" spans="1:27" x14ac:dyDescent="0.2">
      <c r="A811" s="97"/>
      <c r="B811" s="41"/>
      <c r="C811" s="94"/>
      <c r="D811" s="140"/>
      <c r="E811" s="41"/>
      <c r="F811" s="126"/>
      <c r="G811" s="127"/>
      <c r="H811" s="41"/>
      <c r="I811" s="95"/>
      <c r="J811" s="41"/>
      <c r="K811" s="41"/>
      <c r="L811" s="95"/>
      <c r="M811" s="128"/>
      <c r="N811" s="41"/>
      <c r="O811" s="42"/>
      <c r="P811" s="52"/>
      <c r="Q811" s="41"/>
      <c r="R811" s="42"/>
      <c r="S811" s="129"/>
      <c r="T811" s="41"/>
      <c r="U811" s="42"/>
      <c r="V811" s="41"/>
      <c r="W811" s="41"/>
      <c r="X811" s="42"/>
      <c r="Y811" s="97"/>
      <c r="Z811" s="41"/>
      <c r="AA811" s="94"/>
    </row>
    <row r="812" spans="1:27" x14ac:dyDescent="0.2">
      <c r="A812" s="96"/>
      <c r="B812" s="44"/>
      <c r="C812" s="91"/>
      <c r="D812" s="139"/>
      <c r="E812" s="44"/>
      <c r="F812" s="122"/>
      <c r="G812" s="123"/>
      <c r="H812" s="44"/>
      <c r="I812" s="93"/>
      <c r="J812" s="44"/>
      <c r="K812" s="44"/>
      <c r="L812" s="93"/>
      <c r="M812" s="124"/>
      <c r="N812" s="44"/>
      <c r="O812" s="92"/>
      <c r="P812" s="110"/>
      <c r="Q812" s="44"/>
      <c r="R812" s="92"/>
      <c r="S812" s="125"/>
      <c r="T812" s="44"/>
      <c r="U812" s="92"/>
      <c r="V812" s="44"/>
      <c r="W812" s="44"/>
      <c r="X812" s="92"/>
      <c r="Y812" s="96"/>
      <c r="Z812" s="44"/>
      <c r="AA812" s="91"/>
    </row>
    <row r="813" spans="1:27" x14ac:dyDescent="0.2">
      <c r="A813" s="96"/>
      <c r="B813" s="44"/>
      <c r="C813" s="91"/>
      <c r="D813" s="139"/>
      <c r="E813" s="44"/>
      <c r="F813" s="122"/>
      <c r="G813" s="123"/>
      <c r="H813" s="44"/>
      <c r="I813" s="93"/>
      <c r="J813" s="44"/>
      <c r="K813" s="44"/>
      <c r="L813" s="93"/>
      <c r="M813" s="124"/>
      <c r="N813" s="44"/>
      <c r="O813" s="92"/>
      <c r="P813" s="110"/>
      <c r="Q813" s="44"/>
      <c r="R813" s="92"/>
      <c r="S813" s="125"/>
      <c r="T813" s="44"/>
      <c r="U813" s="92"/>
      <c r="V813" s="44"/>
      <c r="W813" s="44"/>
      <c r="X813" s="92"/>
      <c r="Y813" s="96"/>
      <c r="Z813" s="44"/>
      <c r="AA813" s="91"/>
    </row>
    <row r="814" spans="1:27" x14ac:dyDescent="0.2">
      <c r="A814" s="97"/>
      <c r="B814" s="41"/>
      <c r="C814" s="94"/>
      <c r="D814" s="140"/>
      <c r="E814" s="41"/>
      <c r="F814" s="126"/>
      <c r="G814" s="127"/>
      <c r="H814" s="41"/>
      <c r="I814" s="95"/>
      <c r="J814" s="41"/>
      <c r="K814" s="41"/>
      <c r="L814" s="95"/>
      <c r="M814" s="128"/>
      <c r="N814" s="41"/>
      <c r="O814" s="42"/>
      <c r="P814" s="52"/>
      <c r="Q814" s="41"/>
      <c r="R814" s="42"/>
      <c r="S814" s="129"/>
      <c r="T814" s="41"/>
      <c r="U814" s="42"/>
      <c r="V814" s="41"/>
      <c r="W814" s="41"/>
      <c r="X814" s="42"/>
      <c r="Y814" s="97"/>
      <c r="Z814" s="41"/>
      <c r="AA814" s="94"/>
    </row>
    <row r="815" spans="1:27" x14ac:dyDescent="0.2">
      <c r="A815" s="96"/>
      <c r="B815" s="44"/>
      <c r="C815" s="91"/>
      <c r="D815" s="139"/>
      <c r="E815" s="44"/>
      <c r="F815" s="122"/>
      <c r="G815" s="123"/>
      <c r="H815" s="44"/>
      <c r="I815" s="93"/>
      <c r="J815" s="44"/>
      <c r="K815" s="44"/>
      <c r="L815" s="93"/>
      <c r="M815" s="124"/>
      <c r="N815" s="44"/>
      <c r="O815" s="92"/>
      <c r="P815" s="110"/>
      <c r="Q815" s="44"/>
      <c r="R815" s="92"/>
      <c r="S815" s="125"/>
      <c r="T815" s="44"/>
      <c r="U815" s="92"/>
      <c r="V815" s="44"/>
      <c r="W815" s="44"/>
      <c r="X815" s="92"/>
      <c r="Y815" s="96"/>
      <c r="Z815" s="44"/>
      <c r="AA815" s="91"/>
    </row>
    <row r="816" spans="1:27" x14ac:dyDescent="0.2">
      <c r="A816" s="96"/>
      <c r="B816" s="44"/>
      <c r="C816" s="91"/>
      <c r="D816" s="139"/>
      <c r="E816" s="44"/>
      <c r="F816" s="122"/>
      <c r="G816" s="123"/>
      <c r="H816" s="44"/>
      <c r="I816" s="93"/>
      <c r="J816" s="44"/>
      <c r="K816" s="44"/>
      <c r="L816" s="93"/>
      <c r="M816" s="124"/>
      <c r="N816" s="44"/>
      <c r="O816" s="92"/>
      <c r="P816" s="110"/>
      <c r="Q816" s="44"/>
      <c r="R816" s="92"/>
      <c r="S816" s="125"/>
      <c r="T816" s="44"/>
      <c r="U816" s="92"/>
      <c r="V816" s="44"/>
      <c r="W816" s="44"/>
      <c r="X816" s="92"/>
      <c r="Y816" s="96"/>
      <c r="Z816" s="44"/>
      <c r="AA816" s="91"/>
    </row>
    <row r="817" spans="1:27" x14ac:dyDescent="0.2">
      <c r="A817" s="97"/>
      <c r="B817" s="41"/>
      <c r="C817" s="94"/>
      <c r="D817" s="140"/>
      <c r="E817" s="41"/>
      <c r="F817" s="126"/>
      <c r="G817" s="127"/>
      <c r="H817" s="41"/>
      <c r="I817" s="95"/>
      <c r="J817" s="41"/>
      <c r="K817" s="41"/>
      <c r="L817" s="95"/>
      <c r="M817" s="128"/>
      <c r="N817" s="41"/>
      <c r="O817" s="42"/>
      <c r="P817" s="52"/>
      <c r="Q817" s="41"/>
      <c r="R817" s="42"/>
      <c r="S817" s="129"/>
      <c r="T817" s="41"/>
      <c r="U817" s="42"/>
      <c r="V817" s="41"/>
      <c r="W817" s="41"/>
      <c r="X817" s="42"/>
      <c r="Y817" s="97"/>
      <c r="Z817" s="41"/>
      <c r="AA817" s="94"/>
    </row>
    <row r="818" spans="1:27" x14ac:dyDescent="0.2">
      <c r="A818" s="97"/>
      <c r="B818" s="41"/>
      <c r="C818" s="94"/>
      <c r="D818" s="140"/>
      <c r="E818" s="41"/>
      <c r="F818" s="126"/>
      <c r="G818" s="127"/>
      <c r="H818" s="41"/>
      <c r="I818" s="95"/>
      <c r="J818" s="41"/>
      <c r="K818" s="41"/>
      <c r="L818" s="95"/>
      <c r="M818" s="128"/>
      <c r="N818" s="41"/>
      <c r="O818" s="42"/>
      <c r="P818" s="52"/>
      <c r="Q818" s="41"/>
      <c r="R818" s="42"/>
      <c r="S818" s="129"/>
      <c r="T818" s="41"/>
      <c r="U818" s="42"/>
      <c r="V818" s="41"/>
      <c r="W818" s="41"/>
      <c r="X818" s="42"/>
      <c r="Y818" s="97"/>
      <c r="Z818" s="41"/>
      <c r="AA818" s="94"/>
    </row>
    <row r="819" spans="1:27" x14ac:dyDescent="0.2">
      <c r="A819" s="96"/>
      <c r="B819" s="44"/>
      <c r="C819" s="91"/>
      <c r="D819" s="139"/>
      <c r="E819" s="44"/>
      <c r="F819" s="122"/>
      <c r="G819" s="123"/>
      <c r="H819" s="44"/>
      <c r="I819" s="93"/>
      <c r="J819" s="44"/>
      <c r="K819" s="44"/>
      <c r="L819" s="93"/>
      <c r="M819" s="124"/>
      <c r="N819" s="44"/>
      <c r="O819" s="92"/>
      <c r="P819" s="110"/>
      <c r="Q819" s="44"/>
      <c r="R819" s="92"/>
      <c r="S819" s="125"/>
      <c r="T819" s="44"/>
      <c r="U819" s="92"/>
      <c r="V819" s="44"/>
      <c r="W819" s="44"/>
      <c r="X819" s="92"/>
      <c r="Y819" s="96"/>
      <c r="Z819" s="44"/>
      <c r="AA819" s="91"/>
    </row>
    <row r="820" spans="1:27" x14ac:dyDescent="0.2">
      <c r="A820" s="96"/>
      <c r="B820" s="44"/>
      <c r="C820" s="91"/>
      <c r="D820" s="139"/>
      <c r="E820" s="44"/>
      <c r="F820" s="122"/>
      <c r="G820" s="123"/>
      <c r="H820" s="44"/>
      <c r="I820" s="93"/>
      <c r="J820" s="44"/>
      <c r="K820" s="44"/>
      <c r="L820" s="93"/>
      <c r="M820" s="124"/>
      <c r="N820" s="44"/>
      <c r="O820" s="92"/>
      <c r="P820" s="110"/>
      <c r="Q820" s="44"/>
      <c r="R820" s="92"/>
      <c r="S820" s="125"/>
      <c r="T820" s="44"/>
      <c r="U820" s="92"/>
      <c r="V820" s="44"/>
      <c r="W820" s="44"/>
      <c r="X820" s="92"/>
      <c r="Y820" s="96"/>
      <c r="Z820" s="44"/>
      <c r="AA820" s="91"/>
    </row>
    <row r="821" spans="1:27" x14ac:dyDescent="0.2">
      <c r="A821" s="97"/>
      <c r="B821" s="41"/>
      <c r="C821" s="94"/>
      <c r="D821" s="140"/>
      <c r="E821" s="41"/>
      <c r="F821" s="126"/>
      <c r="G821" s="127"/>
      <c r="H821" s="41"/>
      <c r="I821" s="95"/>
      <c r="J821" s="41"/>
      <c r="K821" s="41"/>
      <c r="L821" s="95"/>
      <c r="M821" s="128"/>
      <c r="N821" s="41"/>
      <c r="O821" s="42"/>
      <c r="P821" s="52"/>
      <c r="Q821" s="41"/>
      <c r="R821" s="42"/>
      <c r="S821" s="129"/>
      <c r="T821" s="41"/>
      <c r="U821" s="42"/>
      <c r="V821" s="41"/>
      <c r="W821" s="41"/>
      <c r="X821" s="42"/>
      <c r="Y821" s="97"/>
      <c r="Z821" s="41"/>
      <c r="AA821" s="94"/>
    </row>
    <row r="822" spans="1:27" x14ac:dyDescent="0.2">
      <c r="A822" s="87"/>
      <c r="B822" s="87"/>
      <c r="C822" s="88"/>
      <c r="D822" s="138"/>
      <c r="E822" s="87"/>
      <c r="F822" s="118"/>
      <c r="G822" s="119"/>
      <c r="H822" s="87"/>
      <c r="I822" s="90"/>
      <c r="J822" s="87"/>
      <c r="K822" s="87"/>
      <c r="L822" s="90"/>
      <c r="M822" s="120"/>
      <c r="N822" s="87"/>
      <c r="O822" s="89"/>
      <c r="P822" s="130"/>
      <c r="Q822" s="87"/>
      <c r="R822" s="89"/>
      <c r="S822" s="121"/>
      <c r="T822" s="87"/>
      <c r="U822" s="89"/>
      <c r="V822" s="87"/>
      <c r="W822" s="87"/>
      <c r="X822" s="89"/>
      <c r="Y822" s="87"/>
      <c r="Z822" s="87"/>
      <c r="AA822" s="88"/>
    </row>
    <row r="823" spans="1:27" x14ac:dyDescent="0.2">
      <c r="A823" s="44"/>
      <c r="B823" s="44"/>
      <c r="C823" s="91"/>
      <c r="D823" s="139"/>
      <c r="E823" s="44"/>
      <c r="F823" s="122"/>
      <c r="G823" s="123"/>
      <c r="H823" s="44"/>
      <c r="I823" s="93"/>
      <c r="J823" s="44"/>
      <c r="K823" s="44"/>
      <c r="L823" s="93"/>
      <c r="M823" s="124"/>
      <c r="N823" s="44"/>
      <c r="O823" s="92"/>
      <c r="P823" s="110"/>
      <c r="Q823" s="44"/>
      <c r="R823" s="92"/>
      <c r="S823" s="125"/>
      <c r="T823" s="44"/>
      <c r="U823" s="92"/>
      <c r="V823" s="44"/>
      <c r="W823" s="44"/>
      <c r="X823" s="92"/>
      <c r="Y823" s="44"/>
      <c r="Z823" s="44"/>
      <c r="AA823" s="91"/>
    </row>
    <row r="824" spans="1:27" x14ac:dyDescent="0.2">
      <c r="A824" s="41"/>
      <c r="B824" s="41"/>
      <c r="C824" s="94"/>
      <c r="D824" s="140"/>
      <c r="E824" s="41"/>
      <c r="F824" s="126"/>
      <c r="G824" s="127"/>
      <c r="H824" s="41"/>
      <c r="I824" s="95"/>
      <c r="J824" s="41"/>
      <c r="K824" s="41"/>
      <c r="L824" s="95"/>
      <c r="M824" s="128"/>
      <c r="N824" s="41"/>
      <c r="O824" s="42"/>
      <c r="P824" s="52"/>
      <c r="Q824" s="41"/>
      <c r="R824" s="42"/>
      <c r="S824" s="129"/>
      <c r="T824" s="41"/>
      <c r="U824" s="42"/>
      <c r="V824" s="41"/>
      <c r="W824" s="41"/>
      <c r="X824" s="42"/>
      <c r="Y824" s="41"/>
      <c r="Z824" s="41"/>
      <c r="AA824" s="94"/>
    </row>
    <row r="825" spans="1:27" x14ac:dyDescent="0.2">
      <c r="A825" s="44"/>
      <c r="B825" s="44"/>
      <c r="C825" s="91"/>
      <c r="D825" s="139"/>
      <c r="E825" s="44"/>
      <c r="F825" s="122"/>
      <c r="G825" s="123"/>
      <c r="H825" s="44"/>
      <c r="I825" s="93"/>
      <c r="J825" s="44"/>
      <c r="K825" s="44"/>
      <c r="L825" s="93"/>
      <c r="M825" s="124"/>
      <c r="N825" s="44"/>
      <c r="O825" s="92"/>
      <c r="P825" s="110"/>
      <c r="Q825" s="44"/>
      <c r="R825" s="92"/>
      <c r="S825" s="125"/>
      <c r="T825" s="44"/>
      <c r="U825" s="92"/>
      <c r="V825" s="44"/>
      <c r="W825" s="44"/>
      <c r="X825" s="92"/>
      <c r="Y825" s="44"/>
      <c r="Z825" s="44"/>
      <c r="AA825" s="91"/>
    </row>
    <row r="826" spans="1:27" x14ac:dyDescent="0.2">
      <c r="A826" s="87"/>
      <c r="B826" s="87"/>
      <c r="C826" s="88"/>
      <c r="D826" s="138"/>
      <c r="E826" s="87"/>
      <c r="F826" s="118"/>
      <c r="G826" s="119"/>
      <c r="H826" s="87"/>
      <c r="I826" s="90"/>
      <c r="J826" s="87"/>
      <c r="K826" s="87"/>
      <c r="L826" s="90"/>
      <c r="M826" s="120"/>
      <c r="N826" s="87"/>
      <c r="O826" s="89"/>
      <c r="P826" s="87"/>
      <c r="Q826" s="87"/>
      <c r="R826" s="89"/>
      <c r="S826" s="121"/>
      <c r="T826" s="87"/>
      <c r="U826" s="89"/>
      <c r="V826" s="87"/>
      <c r="W826" s="87"/>
      <c r="X826" s="89"/>
      <c r="Y826" s="87"/>
      <c r="Z826" s="87"/>
      <c r="AA826" s="88"/>
    </row>
    <row r="827" spans="1:27" x14ac:dyDescent="0.2">
      <c r="A827" s="44"/>
      <c r="B827" s="44"/>
      <c r="C827" s="91"/>
      <c r="D827" s="139"/>
      <c r="E827" s="44"/>
      <c r="F827" s="122"/>
      <c r="G827" s="123"/>
      <c r="H827" s="44"/>
      <c r="I827" s="93"/>
      <c r="J827" s="44"/>
      <c r="K827" s="44"/>
      <c r="L827" s="93"/>
      <c r="M827" s="124"/>
      <c r="N827" s="44"/>
      <c r="O827" s="92"/>
      <c r="P827" s="110"/>
      <c r="Q827" s="44"/>
      <c r="R827" s="92"/>
      <c r="S827" s="125"/>
      <c r="T827" s="44"/>
      <c r="U827" s="92"/>
      <c r="V827" s="44"/>
      <c r="W827" s="44"/>
      <c r="X827" s="92"/>
      <c r="Y827" s="44"/>
      <c r="Z827" s="44"/>
      <c r="AA827" s="91"/>
    </row>
    <row r="828" spans="1:27" x14ac:dyDescent="0.2">
      <c r="A828" s="41"/>
      <c r="B828" s="41"/>
      <c r="C828" s="94"/>
      <c r="D828" s="140"/>
      <c r="E828" s="41"/>
      <c r="F828" s="126"/>
      <c r="G828" s="127"/>
      <c r="H828" s="41"/>
      <c r="I828" s="95"/>
      <c r="J828" s="41"/>
      <c r="K828" s="41"/>
      <c r="L828" s="95"/>
      <c r="M828" s="128"/>
      <c r="N828" s="41"/>
      <c r="O828" s="42"/>
      <c r="P828" s="52"/>
      <c r="Q828" s="41"/>
      <c r="R828" s="42"/>
      <c r="S828" s="129"/>
      <c r="T828" s="41"/>
      <c r="U828" s="42"/>
      <c r="V828" s="41"/>
      <c r="W828" s="41"/>
      <c r="X828" s="42"/>
      <c r="Y828" s="41"/>
      <c r="Z828" s="41"/>
      <c r="AA828" s="94"/>
    </row>
    <row r="829" spans="1:27" x14ac:dyDescent="0.2">
      <c r="A829" s="44"/>
      <c r="B829" s="44"/>
      <c r="C829" s="91"/>
      <c r="D829" s="139"/>
      <c r="E829" s="44"/>
      <c r="F829" s="122"/>
      <c r="G829" s="123"/>
      <c r="H829" s="44"/>
      <c r="I829" s="93"/>
      <c r="J829" s="44"/>
      <c r="K829" s="44"/>
      <c r="L829" s="93"/>
      <c r="M829" s="124"/>
      <c r="N829" s="44"/>
      <c r="O829" s="92"/>
      <c r="P829" s="110"/>
      <c r="Q829" s="44"/>
      <c r="R829" s="92"/>
      <c r="S829" s="125"/>
      <c r="T829" s="44"/>
      <c r="U829" s="92"/>
      <c r="V829" s="44"/>
      <c r="W829" s="44"/>
      <c r="X829" s="92"/>
      <c r="Y829" s="44"/>
      <c r="Z829" s="44"/>
      <c r="AA829" s="91"/>
    </row>
    <row r="830" spans="1:27" x14ac:dyDescent="0.2">
      <c r="A830" s="41"/>
      <c r="B830" s="41"/>
      <c r="C830" s="94"/>
      <c r="D830" s="140"/>
      <c r="E830" s="41"/>
      <c r="F830" s="126"/>
      <c r="G830" s="127"/>
      <c r="H830" s="41"/>
      <c r="I830" s="95"/>
      <c r="J830" s="41"/>
      <c r="K830" s="41"/>
      <c r="L830" s="95"/>
      <c r="M830" s="128"/>
      <c r="N830" s="41"/>
      <c r="O830" s="42"/>
      <c r="P830" s="52"/>
      <c r="Q830" s="41"/>
      <c r="R830" s="42"/>
      <c r="S830" s="129"/>
      <c r="T830" s="41"/>
      <c r="U830" s="42"/>
      <c r="V830" s="41"/>
      <c r="W830" s="41"/>
      <c r="X830" s="42"/>
      <c r="Y830" s="41"/>
      <c r="Z830" s="41"/>
      <c r="AA830" s="94"/>
    </row>
    <row r="831" spans="1:27" x14ac:dyDescent="0.2">
      <c r="A831" s="44"/>
      <c r="B831" s="44"/>
      <c r="C831" s="91"/>
      <c r="D831" s="139"/>
      <c r="E831" s="44"/>
      <c r="F831" s="122"/>
      <c r="G831" s="123"/>
      <c r="H831" s="44"/>
      <c r="I831" s="93"/>
      <c r="J831" s="44"/>
      <c r="K831" s="44"/>
      <c r="L831" s="93"/>
      <c r="M831" s="124"/>
      <c r="N831" s="44"/>
      <c r="O831" s="92"/>
      <c r="P831" s="110"/>
      <c r="Q831" s="44"/>
      <c r="R831" s="92"/>
      <c r="S831" s="125"/>
      <c r="T831" s="44"/>
      <c r="U831" s="92"/>
      <c r="V831" s="44"/>
      <c r="W831" s="44"/>
      <c r="X831" s="92"/>
      <c r="Y831" s="44"/>
      <c r="Z831" s="44"/>
      <c r="AA831" s="91"/>
    </row>
    <row r="832" spans="1:27" x14ac:dyDescent="0.2">
      <c r="A832" s="41"/>
      <c r="B832" s="41"/>
      <c r="C832" s="94"/>
      <c r="D832" s="140"/>
      <c r="E832" s="41"/>
      <c r="F832" s="126"/>
      <c r="G832" s="127"/>
      <c r="H832" s="41"/>
      <c r="I832" s="95"/>
      <c r="J832" s="41"/>
      <c r="K832" s="41"/>
      <c r="L832" s="95"/>
      <c r="M832" s="128"/>
      <c r="N832" s="41"/>
      <c r="O832" s="42"/>
      <c r="P832" s="52"/>
      <c r="Q832" s="41"/>
      <c r="R832" s="42"/>
      <c r="S832" s="129"/>
      <c r="T832" s="41"/>
      <c r="U832" s="42"/>
      <c r="V832" s="41"/>
      <c r="W832" s="41"/>
      <c r="X832" s="42"/>
      <c r="Y832" s="41"/>
      <c r="Z832" s="41"/>
      <c r="AA832" s="94"/>
    </row>
    <row r="833" spans="1:27" x14ac:dyDescent="0.2">
      <c r="A833" s="44"/>
      <c r="B833" s="44"/>
      <c r="C833" s="91"/>
      <c r="D833" s="139"/>
      <c r="E833" s="44"/>
      <c r="F833" s="122"/>
      <c r="G833" s="123"/>
      <c r="H833" s="44"/>
      <c r="I833" s="93"/>
      <c r="J833" s="44"/>
      <c r="K833" s="44"/>
      <c r="L833" s="93"/>
      <c r="M833" s="124"/>
      <c r="N833" s="44"/>
      <c r="O833" s="92"/>
      <c r="P833" s="110"/>
      <c r="Q833" s="44"/>
      <c r="R833" s="92"/>
      <c r="S833" s="125"/>
      <c r="T833" s="44"/>
      <c r="U833" s="92"/>
      <c r="V833" s="44"/>
      <c r="W833" s="44"/>
      <c r="X833" s="92"/>
      <c r="Y833" s="44"/>
      <c r="Z833" s="44"/>
      <c r="AA833" s="91"/>
    </row>
    <row r="834" spans="1:27" x14ac:dyDescent="0.2">
      <c r="A834" s="41"/>
      <c r="B834" s="41"/>
      <c r="C834" s="94"/>
      <c r="D834" s="140"/>
      <c r="E834" s="41"/>
      <c r="F834" s="126"/>
      <c r="G834" s="127"/>
      <c r="H834" s="41"/>
      <c r="I834" s="95"/>
      <c r="J834" s="41"/>
      <c r="K834" s="41"/>
      <c r="L834" s="95"/>
      <c r="M834" s="128"/>
      <c r="N834" s="41"/>
      <c r="O834" s="42"/>
      <c r="P834" s="52"/>
      <c r="Q834" s="41"/>
      <c r="R834" s="42"/>
      <c r="S834" s="129"/>
      <c r="T834" s="41"/>
      <c r="U834" s="42"/>
      <c r="V834" s="41"/>
      <c r="W834" s="41"/>
      <c r="X834" s="42"/>
      <c r="Y834" s="41"/>
      <c r="Z834" s="41"/>
      <c r="AA834" s="94"/>
    </row>
    <row r="835" spans="1:27" x14ac:dyDescent="0.2">
      <c r="A835" s="44"/>
      <c r="B835" s="44"/>
      <c r="C835" s="91"/>
      <c r="D835" s="139"/>
      <c r="E835" s="44"/>
      <c r="F835" s="122"/>
      <c r="G835" s="123"/>
      <c r="H835" s="44"/>
      <c r="I835" s="93"/>
      <c r="J835" s="44"/>
      <c r="K835" s="44"/>
      <c r="L835" s="93"/>
      <c r="M835" s="124"/>
      <c r="N835" s="44"/>
      <c r="O835" s="92"/>
      <c r="P835" s="110"/>
      <c r="Q835" s="44"/>
      <c r="R835" s="92"/>
      <c r="S835" s="125"/>
      <c r="T835" s="44"/>
      <c r="U835" s="92"/>
      <c r="V835" s="44"/>
      <c r="W835" s="44"/>
      <c r="X835" s="92"/>
      <c r="Y835" s="44"/>
      <c r="Z835" s="44"/>
      <c r="AA835" s="91"/>
    </row>
    <row r="836" spans="1:27" x14ac:dyDescent="0.2">
      <c r="A836" s="41"/>
      <c r="B836" s="41"/>
      <c r="C836" s="94"/>
      <c r="D836" s="140"/>
      <c r="E836" s="41"/>
      <c r="F836" s="126"/>
      <c r="G836" s="127"/>
      <c r="H836" s="41"/>
      <c r="I836" s="95"/>
      <c r="J836" s="41"/>
      <c r="K836" s="41"/>
      <c r="L836" s="95"/>
      <c r="M836" s="128"/>
      <c r="N836" s="41"/>
      <c r="O836" s="42"/>
      <c r="P836" s="52"/>
      <c r="Q836" s="41"/>
      <c r="R836" s="42"/>
      <c r="S836" s="129"/>
      <c r="T836" s="41"/>
      <c r="U836" s="42"/>
      <c r="V836" s="41"/>
      <c r="W836" s="41"/>
      <c r="X836" s="42"/>
      <c r="Y836" s="41"/>
      <c r="Z836" s="41"/>
      <c r="AA836" s="94"/>
    </row>
    <row r="837" spans="1:27" x14ac:dyDescent="0.2">
      <c r="A837" s="44"/>
      <c r="B837" s="44"/>
      <c r="C837" s="91"/>
      <c r="D837" s="139"/>
      <c r="E837" s="44"/>
      <c r="F837" s="122"/>
      <c r="G837" s="123"/>
      <c r="H837" s="44"/>
      <c r="I837" s="93"/>
      <c r="J837" s="44"/>
      <c r="K837" s="44"/>
      <c r="L837" s="93"/>
      <c r="M837" s="124"/>
      <c r="N837" s="44"/>
      <c r="O837" s="92"/>
      <c r="P837" s="110"/>
      <c r="Q837" s="44"/>
      <c r="R837" s="92"/>
      <c r="S837" s="125"/>
      <c r="T837" s="44"/>
      <c r="U837" s="92"/>
      <c r="V837" s="44"/>
      <c r="W837" s="44"/>
      <c r="X837" s="92"/>
      <c r="Y837" s="44"/>
      <c r="Z837" s="44"/>
      <c r="AA837" s="91"/>
    </row>
    <row r="838" spans="1:27" x14ac:dyDescent="0.2">
      <c r="A838" s="41"/>
      <c r="B838" s="41"/>
      <c r="C838" s="94"/>
      <c r="D838" s="140"/>
      <c r="E838" s="41"/>
      <c r="F838" s="126"/>
      <c r="G838" s="127"/>
      <c r="H838" s="41"/>
      <c r="I838" s="95"/>
      <c r="J838" s="41"/>
      <c r="K838" s="41"/>
      <c r="L838" s="95"/>
      <c r="M838" s="128"/>
      <c r="N838" s="41"/>
      <c r="O838" s="42"/>
      <c r="P838" s="52"/>
      <c r="Q838" s="41"/>
      <c r="R838" s="42"/>
      <c r="S838" s="129"/>
      <c r="T838" s="41"/>
      <c r="U838" s="42"/>
      <c r="V838" s="41"/>
      <c r="W838" s="41"/>
      <c r="X838" s="42"/>
      <c r="Y838" s="41"/>
      <c r="Z838" s="41"/>
      <c r="AA838" s="94"/>
    </row>
    <row r="839" spans="1:27" x14ac:dyDescent="0.2">
      <c r="A839" s="44"/>
      <c r="B839" s="44"/>
      <c r="C839" s="91"/>
      <c r="D839" s="139"/>
      <c r="E839" s="44"/>
      <c r="F839" s="122"/>
      <c r="G839" s="123"/>
      <c r="H839" s="44"/>
      <c r="I839" s="93"/>
      <c r="J839" s="44"/>
      <c r="K839" s="44"/>
      <c r="L839" s="93"/>
      <c r="M839" s="124"/>
      <c r="N839" s="44"/>
      <c r="O839" s="92"/>
      <c r="P839" s="110"/>
      <c r="Q839" s="44"/>
      <c r="R839" s="92"/>
      <c r="S839" s="125"/>
      <c r="T839" s="44"/>
      <c r="U839" s="92"/>
      <c r="V839" s="44"/>
      <c r="W839" s="44"/>
      <c r="X839" s="92"/>
      <c r="Y839" s="44"/>
      <c r="Z839" s="44"/>
      <c r="AA839" s="91"/>
    </row>
    <row r="840" spans="1:27" x14ac:dyDescent="0.2">
      <c r="A840" s="41"/>
      <c r="B840" s="41"/>
      <c r="C840" s="94"/>
      <c r="D840" s="140"/>
      <c r="E840" s="41"/>
      <c r="F840" s="126"/>
      <c r="G840" s="127"/>
      <c r="H840" s="41"/>
      <c r="I840" s="95"/>
      <c r="J840" s="41"/>
      <c r="K840" s="41"/>
      <c r="L840" s="95"/>
      <c r="M840" s="128"/>
      <c r="N840" s="41"/>
      <c r="O840" s="42"/>
      <c r="P840" s="52"/>
      <c r="Q840" s="41"/>
      <c r="R840" s="42"/>
      <c r="S840" s="129"/>
      <c r="T840" s="41"/>
      <c r="U840" s="42"/>
      <c r="V840" s="41"/>
      <c r="W840" s="41"/>
      <c r="X840" s="42"/>
      <c r="Y840" s="41"/>
      <c r="Z840" s="41"/>
      <c r="AA840" s="94"/>
    </row>
    <row r="841" spans="1:27" x14ac:dyDescent="0.2">
      <c r="A841" s="44"/>
      <c r="B841" s="44"/>
      <c r="C841" s="91"/>
      <c r="D841" s="139"/>
      <c r="E841" s="44"/>
      <c r="F841" s="122"/>
      <c r="G841" s="123"/>
      <c r="H841" s="44"/>
      <c r="I841" s="93"/>
      <c r="J841" s="44"/>
      <c r="K841" s="44"/>
      <c r="L841" s="93"/>
      <c r="M841" s="124"/>
      <c r="N841" s="44"/>
      <c r="O841" s="92"/>
      <c r="P841" s="110"/>
      <c r="Q841" s="44"/>
      <c r="R841" s="92"/>
      <c r="S841" s="125"/>
      <c r="T841" s="44"/>
      <c r="U841" s="92"/>
      <c r="V841" s="44"/>
      <c r="W841" s="44"/>
      <c r="X841" s="92"/>
      <c r="Y841" s="44"/>
      <c r="Z841" s="44"/>
      <c r="AA841" s="91"/>
    </row>
    <row r="842" spans="1:27" x14ac:dyDescent="0.2">
      <c r="A842" s="41"/>
      <c r="B842" s="41"/>
      <c r="C842" s="94"/>
      <c r="D842" s="140"/>
      <c r="E842" s="41"/>
      <c r="F842" s="126"/>
      <c r="G842" s="127"/>
      <c r="H842" s="41"/>
      <c r="I842" s="95"/>
      <c r="J842" s="41"/>
      <c r="K842" s="41"/>
      <c r="L842" s="95"/>
      <c r="M842" s="128"/>
      <c r="N842" s="41"/>
      <c r="O842" s="42"/>
      <c r="P842" s="52"/>
      <c r="Q842" s="41"/>
      <c r="R842" s="42"/>
      <c r="S842" s="129"/>
      <c r="T842" s="41"/>
      <c r="U842" s="42"/>
      <c r="V842" s="41"/>
      <c r="W842" s="41"/>
      <c r="X842" s="42"/>
      <c r="Y842" s="41"/>
      <c r="Z842" s="41"/>
      <c r="AA842" s="94"/>
    </row>
    <row r="843" spans="1:27" x14ac:dyDescent="0.2">
      <c r="A843" s="44"/>
      <c r="B843" s="44"/>
      <c r="C843" s="91"/>
      <c r="D843" s="139"/>
      <c r="E843" s="44"/>
      <c r="F843" s="122"/>
      <c r="G843" s="123"/>
      <c r="H843" s="44"/>
      <c r="I843" s="93"/>
      <c r="J843" s="44"/>
      <c r="K843" s="44"/>
      <c r="L843" s="93"/>
      <c r="M843" s="124"/>
      <c r="N843" s="44"/>
      <c r="O843" s="92"/>
      <c r="P843" s="110"/>
      <c r="Q843" s="44"/>
      <c r="R843" s="92"/>
      <c r="S843" s="125"/>
      <c r="T843" s="44"/>
      <c r="U843" s="92"/>
      <c r="V843" s="44"/>
      <c r="W843" s="44"/>
      <c r="X843" s="92"/>
      <c r="Y843" s="44"/>
      <c r="Z843" s="44"/>
      <c r="AA843" s="91"/>
    </row>
    <row r="844" spans="1:27" x14ac:dyDescent="0.2">
      <c r="A844" s="41"/>
      <c r="B844" s="41"/>
      <c r="C844" s="94"/>
      <c r="D844" s="140"/>
      <c r="E844" s="41"/>
      <c r="F844" s="127"/>
      <c r="G844" s="127"/>
      <c r="H844" s="41"/>
      <c r="I844" s="95"/>
      <c r="J844" s="41"/>
      <c r="K844" s="41"/>
      <c r="L844" s="95"/>
      <c r="M844" s="128"/>
      <c r="N844" s="41"/>
      <c r="O844" s="42"/>
      <c r="P844" s="52"/>
      <c r="Q844" s="41"/>
      <c r="R844" s="42"/>
      <c r="S844" s="129"/>
      <c r="T844" s="41"/>
      <c r="U844" s="42"/>
      <c r="V844" s="41"/>
      <c r="W844" s="41"/>
      <c r="X844" s="42"/>
      <c r="Y844" s="41"/>
      <c r="Z844" s="41"/>
      <c r="AA844" s="94"/>
    </row>
    <row r="845" spans="1:27" x14ac:dyDescent="0.2">
      <c r="A845" s="44"/>
      <c r="B845" s="44"/>
      <c r="C845" s="91"/>
      <c r="D845" s="139"/>
      <c r="E845" s="44"/>
      <c r="F845" s="122"/>
      <c r="G845" s="123"/>
      <c r="H845" s="44"/>
      <c r="I845" s="93"/>
      <c r="J845" s="44"/>
      <c r="K845" s="44"/>
      <c r="L845" s="93"/>
      <c r="M845" s="124"/>
      <c r="N845" s="44"/>
      <c r="O845" s="92"/>
      <c r="P845" s="110"/>
      <c r="Q845" s="44"/>
      <c r="R845" s="92"/>
      <c r="S845" s="125"/>
      <c r="T845" s="44"/>
      <c r="U845" s="92"/>
      <c r="V845" s="44"/>
      <c r="W845" s="44"/>
      <c r="X845" s="92"/>
      <c r="Y845" s="44"/>
      <c r="Z845" s="44"/>
      <c r="AA845" s="91"/>
    </row>
    <row r="846" spans="1:27" x14ac:dyDescent="0.2">
      <c r="A846" s="41"/>
      <c r="B846" s="41"/>
      <c r="C846" s="94"/>
      <c r="D846" s="140"/>
      <c r="E846" s="41"/>
      <c r="F846" s="126"/>
      <c r="G846" s="127"/>
      <c r="H846" s="41"/>
      <c r="I846" s="95"/>
      <c r="J846" s="41"/>
      <c r="K846" s="41"/>
      <c r="L846" s="95"/>
      <c r="M846" s="128"/>
      <c r="N846" s="41"/>
      <c r="O846" s="42"/>
      <c r="P846" s="52"/>
      <c r="Q846" s="41"/>
      <c r="R846" s="42"/>
      <c r="S846" s="129"/>
      <c r="T846" s="41"/>
      <c r="U846" s="42"/>
      <c r="V846" s="41"/>
      <c r="W846" s="41"/>
      <c r="X846" s="42"/>
      <c r="Y846" s="41"/>
      <c r="Z846" s="41"/>
      <c r="AA846" s="94"/>
    </row>
    <row r="847" spans="1:27" x14ac:dyDescent="0.2">
      <c r="A847" s="44"/>
      <c r="B847" s="44"/>
      <c r="C847" s="91"/>
      <c r="D847" s="139"/>
      <c r="E847" s="44"/>
      <c r="F847" s="122"/>
      <c r="G847" s="123"/>
      <c r="H847" s="44"/>
      <c r="I847" s="93"/>
      <c r="J847" s="44"/>
      <c r="K847" s="44"/>
      <c r="L847" s="93"/>
      <c r="M847" s="124"/>
      <c r="N847" s="44"/>
      <c r="O847" s="92"/>
      <c r="P847" s="110"/>
      <c r="Q847" s="44"/>
      <c r="R847" s="92"/>
      <c r="S847" s="125"/>
      <c r="T847" s="44"/>
      <c r="U847" s="92"/>
      <c r="V847" s="44"/>
      <c r="W847" s="44"/>
      <c r="X847" s="92"/>
      <c r="Y847" s="44"/>
      <c r="Z847" s="44"/>
      <c r="AA847" s="91"/>
    </row>
    <row r="848" spans="1:27" x14ac:dyDescent="0.2">
      <c r="A848" s="41"/>
      <c r="B848" s="41"/>
      <c r="C848" s="94"/>
      <c r="D848" s="140"/>
      <c r="E848" s="41"/>
      <c r="F848" s="126"/>
      <c r="G848" s="127"/>
      <c r="H848" s="41"/>
      <c r="I848" s="95"/>
      <c r="J848" s="41"/>
      <c r="K848" s="41"/>
      <c r="L848" s="95"/>
      <c r="M848" s="128"/>
      <c r="N848" s="41"/>
      <c r="O848" s="42"/>
      <c r="P848" s="52"/>
      <c r="Q848" s="41"/>
      <c r="R848" s="42"/>
      <c r="S848" s="129"/>
      <c r="T848" s="41"/>
      <c r="U848" s="42"/>
      <c r="V848" s="41"/>
      <c r="W848" s="41"/>
      <c r="X848" s="42"/>
      <c r="Y848" s="41"/>
      <c r="Z848" s="41"/>
      <c r="AA848" s="94"/>
    </row>
    <row r="849" spans="1:27" x14ac:dyDescent="0.2">
      <c r="A849" s="44"/>
      <c r="B849" s="44"/>
      <c r="C849" s="91"/>
      <c r="D849" s="139"/>
      <c r="E849" s="44"/>
      <c r="F849" s="122"/>
      <c r="G849" s="123"/>
      <c r="H849" s="44"/>
      <c r="I849" s="93"/>
      <c r="J849" s="44"/>
      <c r="K849" s="44"/>
      <c r="L849" s="93"/>
      <c r="M849" s="124"/>
      <c r="N849" s="44"/>
      <c r="O849" s="92"/>
      <c r="P849" s="110"/>
      <c r="Q849" s="44"/>
      <c r="R849" s="92"/>
      <c r="S849" s="125"/>
      <c r="T849" s="44"/>
      <c r="U849" s="92"/>
      <c r="V849" s="44"/>
      <c r="W849" s="44"/>
      <c r="X849" s="92"/>
      <c r="Y849" s="44"/>
      <c r="Z849" s="44"/>
      <c r="AA849" s="91"/>
    </row>
    <row r="850" spans="1:27" x14ac:dyDescent="0.2">
      <c r="A850" s="41"/>
      <c r="B850" s="41"/>
      <c r="C850" s="94"/>
      <c r="D850" s="140"/>
      <c r="E850" s="41"/>
      <c r="F850" s="126"/>
      <c r="G850" s="127"/>
      <c r="H850" s="41"/>
      <c r="I850" s="95"/>
      <c r="J850" s="41"/>
      <c r="K850" s="41"/>
      <c r="L850" s="95"/>
      <c r="M850" s="128"/>
      <c r="N850" s="41"/>
      <c r="O850" s="42"/>
      <c r="P850" s="52"/>
      <c r="Q850" s="41"/>
      <c r="R850" s="42"/>
      <c r="S850" s="129"/>
      <c r="T850" s="41"/>
      <c r="U850" s="42"/>
      <c r="V850" s="41"/>
      <c r="W850" s="41"/>
      <c r="X850" s="42"/>
      <c r="Y850" s="41"/>
      <c r="Z850" s="41"/>
      <c r="AA850" s="94"/>
    </row>
    <row r="851" spans="1:27" x14ac:dyDescent="0.2">
      <c r="A851" s="44"/>
      <c r="B851" s="44"/>
      <c r="C851" s="91"/>
      <c r="D851" s="139"/>
      <c r="E851" s="44"/>
      <c r="F851" s="122"/>
      <c r="G851" s="123"/>
      <c r="H851" s="44"/>
      <c r="I851" s="93"/>
      <c r="J851" s="44"/>
      <c r="K851" s="44"/>
      <c r="L851" s="93"/>
      <c r="M851" s="124"/>
      <c r="N851" s="44"/>
      <c r="O851" s="92"/>
      <c r="P851" s="110"/>
      <c r="Q851" s="44"/>
      <c r="R851" s="92"/>
      <c r="S851" s="125"/>
      <c r="T851" s="44"/>
      <c r="U851" s="92"/>
      <c r="V851" s="44"/>
      <c r="W851" s="44"/>
      <c r="X851" s="92"/>
      <c r="Y851" s="44"/>
      <c r="Z851" s="44"/>
      <c r="AA851" s="91"/>
    </row>
    <row r="852" spans="1:27" x14ac:dyDescent="0.2">
      <c r="A852" s="96"/>
      <c r="B852" s="44"/>
      <c r="C852" s="91"/>
      <c r="D852" s="139"/>
      <c r="E852" s="44"/>
      <c r="F852" s="122"/>
      <c r="G852" s="123"/>
      <c r="H852" s="44"/>
      <c r="I852" s="93"/>
      <c r="J852" s="44"/>
      <c r="K852" s="44"/>
      <c r="L852" s="93"/>
      <c r="M852" s="124"/>
      <c r="N852" s="44"/>
      <c r="O852" s="92"/>
      <c r="P852" s="110"/>
      <c r="Q852" s="44"/>
      <c r="R852" s="92"/>
      <c r="S852" s="125"/>
      <c r="T852" s="44"/>
      <c r="U852" s="92"/>
      <c r="V852" s="44"/>
      <c r="W852" s="44"/>
      <c r="X852" s="92"/>
      <c r="Y852" s="96"/>
      <c r="Z852" s="44"/>
      <c r="AA852" s="91"/>
    </row>
    <row r="853" spans="1:27" x14ac:dyDescent="0.2">
      <c r="A853" s="97"/>
      <c r="B853" s="41"/>
      <c r="C853" s="94"/>
      <c r="D853" s="140"/>
      <c r="E853" s="41"/>
      <c r="F853" s="126"/>
      <c r="G853" s="127"/>
      <c r="H853" s="41"/>
      <c r="I853" s="95"/>
      <c r="J853" s="41"/>
      <c r="K853" s="41"/>
      <c r="L853" s="95"/>
      <c r="M853" s="128"/>
      <c r="N853" s="41"/>
      <c r="O853" s="42"/>
      <c r="P853" s="52"/>
      <c r="Q853" s="41"/>
      <c r="R853" s="42"/>
      <c r="S853" s="129"/>
      <c r="T853" s="41"/>
      <c r="U853" s="42"/>
      <c r="V853" s="41"/>
      <c r="W853" s="41"/>
      <c r="X853" s="42"/>
      <c r="Y853" s="97"/>
      <c r="Z853" s="41"/>
      <c r="AA853" s="94"/>
    </row>
    <row r="854" spans="1:27" x14ac:dyDescent="0.2">
      <c r="A854" s="96"/>
      <c r="B854" s="44"/>
      <c r="C854" s="91"/>
      <c r="D854" s="139"/>
      <c r="E854" s="44"/>
      <c r="F854" s="122"/>
      <c r="G854" s="123"/>
      <c r="H854" s="44"/>
      <c r="I854" s="93"/>
      <c r="J854" s="44"/>
      <c r="K854" s="44"/>
      <c r="L854" s="93"/>
      <c r="M854" s="124"/>
      <c r="N854" s="44"/>
      <c r="O854" s="92"/>
      <c r="P854" s="110"/>
      <c r="Q854" s="44"/>
      <c r="R854" s="92"/>
      <c r="S854" s="125"/>
      <c r="T854" s="44"/>
      <c r="U854" s="92"/>
      <c r="V854" s="44"/>
      <c r="W854" s="44"/>
      <c r="X854" s="92"/>
      <c r="Y854" s="96"/>
      <c r="Z854" s="44"/>
      <c r="AA854" s="91"/>
    </row>
    <row r="855" spans="1:27" x14ac:dyDescent="0.2">
      <c r="A855" s="97"/>
      <c r="B855" s="41"/>
      <c r="C855" s="94"/>
      <c r="D855" s="140"/>
      <c r="E855" s="41"/>
      <c r="F855" s="126"/>
      <c r="G855" s="127"/>
      <c r="H855" s="41"/>
      <c r="I855" s="95"/>
      <c r="J855" s="41"/>
      <c r="K855" s="41"/>
      <c r="L855" s="95"/>
      <c r="M855" s="128"/>
      <c r="N855" s="41"/>
      <c r="O855" s="42"/>
      <c r="P855" s="52"/>
      <c r="Q855" s="41"/>
      <c r="R855" s="42"/>
      <c r="S855" s="129"/>
      <c r="T855" s="41"/>
      <c r="U855" s="42"/>
      <c r="V855" s="41"/>
      <c r="W855" s="41"/>
      <c r="X855" s="42"/>
      <c r="Y855" s="97"/>
      <c r="Z855" s="41"/>
      <c r="AA855" s="94"/>
    </row>
    <row r="856" spans="1:27" x14ac:dyDescent="0.2">
      <c r="A856" s="97"/>
      <c r="B856" s="41"/>
      <c r="C856" s="94"/>
      <c r="D856" s="140"/>
      <c r="E856" s="41"/>
      <c r="F856" s="126"/>
      <c r="G856" s="127"/>
      <c r="H856" s="41"/>
      <c r="I856" s="95"/>
      <c r="J856" s="41"/>
      <c r="K856" s="41"/>
      <c r="L856" s="95"/>
      <c r="M856" s="128"/>
      <c r="N856" s="41"/>
      <c r="O856" s="42"/>
      <c r="P856" s="52"/>
      <c r="Q856" s="41"/>
      <c r="R856" s="42"/>
      <c r="S856" s="129"/>
      <c r="T856" s="41"/>
      <c r="U856" s="42"/>
      <c r="V856" s="41"/>
      <c r="W856" s="41"/>
      <c r="X856" s="42"/>
      <c r="Y856" s="97"/>
      <c r="Z856" s="41"/>
      <c r="AA856" s="94"/>
    </row>
    <row r="857" spans="1:27" x14ac:dyDescent="0.2">
      <c r="A857" s="97"/>
      <c r="B857" s="41"/>
      <c r="C857" s="94"/>
      <c r="D857" s="140"/>
      <c r="E857" s="41"/>
      <c r="F857" s="126"/>
      <c r="G857" s="127"/>
      <c r="H857" s="41"/>
      <c r="I857" s="95"/>
      <c r="J857" s="41"/>
      <c r="K857" s="41"/>
      <c r="L857" s="95"/>
      <c r="M857" s="128"/>
      <c r="N857" s="41"/>
      <c r="O857" s="42"/>
      <c r="P857" s="52"/>
      <c r="Q857" s="41"/>
      <c r="R857" s="42"/>
      <c r="S857" s="129"/>
      <c r="T857" s="41"/>
      <c r="U857" s="42"/>
      <c r="V857" s="41"/>
      <c r="W857" s="41"/>
      <c r="X857" s="42"/>
      <c r="Y857" s="97"/>
      <c r="Z857" s="41"/>
      <c r="AA857" s="94"/>
    </row>
    <row r="858" spans="1:27" x14ac:dyDescent="0.2">
      <c r="A858" s="97"/>
      <c r="B858" s="41"/>
      <c r="C858" s="94"/>
      <c r="D858" s="140"/>
      <c r="E858" s="41"/>
      <c r="F858" s="126"/>
      <c r="G858" s="127"/>
      <c r="H858" s="41"/>
      <c r="I858" s="95"/>
      <c r="J858" s="41"/>
      <c r="K858" s="41"/>
      <c r="L858" s="95"/>
      <c r="M858" s="128"/>
      <c r="N858" s="41"/>
      <c r="O858" s="42"/>
      <c r="P858" s="52"/>
      <c r="Q858" s="41"/>
      <c r="R858" s="42"/>
      <c r="S858" s="129"/>
      <c r="T858" s="41"/>
      <c r="U858" s="42"/>
      <c r="V858" s="41"/>
      <c r="W858" s="41"/>
      <c r="X858" s="42"/>
      <c r="Y858" s="97"/>
      <c r="Z858" s="41"/>
      <c r="AA858" s="94"/>
    </row>
    <row r="859" spans="1:27" x14ac:dyDescent="0.2">
      <c r="A859" s="96"/>
      <c r="B859" s="44"/>
      <c r="C859" s="91"/>
      <c r="D859" s="139"/>
      <c r="E859" s="44"/>
      <c r="F859" s="122"/>
      <c r="G859" s="123"/>
      <c r="H859" s="44"/>
      <c r="I859" s="93"/>
      <c r="J859" s="44"/>
      <c r="K859" s="44"/>
      <c r="L859" s="93"/>
      <c r="M859" s="124"/>
      <c r="N859" s="44"/>
      <c r="O859" s="92"/>
      <c r="P859" s="110"/>
      <c r="Q859" s="44"/>
      <c r="R859" s="92"/>
      <c r="S859" s="125"/>
      <c r="T859" s="44"/>
      <c r="U859" s="92"/>
      <c r="V859" s="44"/>
      <c r="W859" s="44"/>
      <c r="X859" s="92"/>
      <c r="Y859" s="96"/>
      <c r="Z859" s="44"/>
      <c r="AA859" s="91"/>
    </row>
    <row r="860" spans="1:27" x14ac:dyDescent="0.2">
      <c r="A860" s="96"/>
      <c r="B860" s="44"/>
      <c r="C860" s="91"/>
      <c r="D860" s="139"/>
      <c r="E860" s="44"/>
      <c r="F860" s="122"/>
      <c r="G860" s="123"/>
      <c r="H860" s="44"/>
      <c r="I860" s="93"/>
      <c r="J860" s="44"/>
      <c r="K860" s="44"/>
      <c r="L860" s="93"/>
      <c r="M860" s="124"/>
      <c r="N860" s="44"/>
      <c r="O860" s="92"/>
      <c r="P860" s="110"/>
      <c r="Q860" s="44"/>
      <c r="R860" s="92"/>
      <c r="S860" s="125"/>
      <c r="T860" s="44"/>
      <c r="U860" s="92"/>
      <c r="V860" s="44"/>
      <c r="W860" s="44"/>
      <c r="X860" s="92"/>
      <c r="Y860" s="96"/>
      <c r="Z860" s="44"/>
      <c r="AA860" s="91"/>
    </row>
    <row r="861" spans="1:27" x14ac:dyDescent="0.2">
      <c r="A861" s="96"/>
      <c r="B861" s="44"/>
      <c r="C861" s="91"/>
      <c r="D861" s="139"/>
      <c r="E861" s="44"/>
      <c r="F861" s="122"/>
      <c r="G861" s="123"/>
      <c r="H861" s="44"/>
      <c r="I861" s="93"/>
      <c r="J861" s="44"/>
      <c r="K861" s="44"/>
      <c r="L861" s="93"/>
      <c r="M861" s="124"/>
      <c r="N861" s="44"/>
      <c r="O861" s="92"/>
      <c r="P861" s="110"/>
      <c r="Q861" s="44"/>
      <c r="R861" s="92"/>
      <c r="S861" s="125"/>
      <c r="T861" s="44"/>
      <c r="U861" s="92"/>
      <c r="V861" s="44"/>
      <c r="W861" s="44"/>
      <c r="X861" s="92"/>
      <c r="Y861" s="96"/>
      <c r="Z861" s="44"/>
      <c r="AA861" s="91"/>
    </row>
    <row r="862" spans="1:27" x14ac:dyDescent="0.2">
      <c r="A862" s="96"/>
      <c r="B862" s="44"/>
      <c r="C862" s="91"/>
      <c r="D862" s="139"/>
      <c r="E862" s="44"/>
      <c r="F862" s="122"/>
      <c r="G862" s="123"/>
      <c r="H862" s="44"/>
      <c r="I862" s="93"/>
      <c r="J862" s="44"/>
      <c r="K862" s="44"/>
      <c r="L862" s="93"/>
      <c r="M862" s="124"/>
      <c r="N862" s="44"/>
      <c r="O862" s="92"/>
      <c r="P862" s="110"/>
      <c r="Q862" s="44"/>
      <c r="R862" s="92"/>
      <c r="S862" s="125"/>
      <c r="T862" s="44"/>
      <c r="U862" s="92"/>
      <c r="V862" s="44"/>
      <c r="W862" s="44"/>
      <c r="X862" s="92"/>
      <c r="Y862" s="96"/>
      <c r="Z862" s="44"/>
      <c r="AA862" s="91"/>
    </row>
    <row r="863" spans="1:27" x14ac:dyDescent="0.2">
      <c r="A863" s="96"/>
      <c r="B863" s="44"/>
      <c r="C863" s="91"/>
      <c r="D863" s="139"/>
      <c r="E863" s="44"/>
      <c r="F863" s="122"/>
      <c r="G863" s="123"/>
      <c r="H863" s="44"/>
      <c r="I863" s="93"/>
      <c r="J863" s="44"/>
      <c r="K863" s="44"/>
      <c r="L863" s="93"/>
      <c r="M863" s="124"/>
      <c r="N863" s="44"/>
      <c r="O863" s="92"/>
      <c r="P863" s="110"/>
      <c r="Q863" s="44"/>
      <c r="R863" s="92"/>
      <c r="S863" s="125"/>
      <c r="T863" s="44"/>
      <c r="U863" s="92"/>
      <c r="V863" s="44"/>
      <c r="W863" s="44"/>
      <c r="X863" s="92"/>
      <c r="Y863" s="96"/>
      <c r="Z863" s="44"/>
      <c r="AA863" s="91"/>
    </row>
    <row r="864" spans="1:27" x14ac:dyDescent="0.2">
      <c r="A864" s="97"/>
      <c r="B864" s="41"/>
      <c r="C864" s="94"/>
      <c r="D864" s="140"/>
      <c r="E864" s="41"/>
      <c r="F864" s="126"/>
      <c r="G864" s="127"/>
      <c r="H864" s="41"/>
      <c r="I864" s="95"/>
      <c r="J864" s="41"/>
      <c r="K864" s="41"/>
      <c r="L864" s="95"/>
      <c r="M864" s="128"/>
      <c r="N864" s="41"/>
      <c r="O864" s="42"/>
      <c r="P864" s="52"/>
      <c r="Q864" s="41"/>
      <c r="R864" s="42"/>
      <c r="S864" s="129"/>
      <c r="T864" s="41"/>
      <c r="U864" s="42"/>
      <c r="V864" s="41"/>
      <c r="W864" s="41"/>
      <c r="X864" s="42"/>
      <c r="Y864" s="97"/>
      <c r="Z864" s="41"/>
      <c r="AA864" s="94"/>
    </row>
    <row r="865" spans="1:27" x14ac:dyDescent="0.2">
      <c r="A865" s="96"/>
      <c r="B865" s="44"/>
      <c r="C865" s="91"/>
      <c r="D865" s="139"/>
      <c r="E865" s="44"/>
      <c r="F865" s="122"/>
      <c r="G865" s="123"/>
      <c r="H865" s="44"/>
      <c r="I865" s="93"/>
      <c r="J865" s="44"/>
      <c r="K865" s="44"/>
      <c r="L865" s="93"/>
      <c r="M865" s="124"/>
      <c r="N865" s="44"/>
      <c r="O865" s="92"/>
      <c r="P865" s="110"/>
      <c r="Q865" s="44"/>
      <c r="R865" s="92"/>
      <c r="S865" s="125"/>
      <c r="T865" s="44"/>
      <c r="U865" s="92"/>
      <c r="V865" s="44"/>
      <c r="W865" s="44"/>
      <c r="X865" s="92"/>
      <c r="Y865" s="96"/>
      <c r="Z865" s="44"/>
      <c r="AA865" s="91"/>
    </row>
    <row r="866" spans="1:27" x14ac:dyDescent="0.2">
      <c r="A866" s="97"/>
      <c r="B866" s="41"/>
      <c r="C866" s="94"/>
      <c r="D866" s="140"/>
      <c r="E866" s="41"/>
      <c r="F866" s="126"/>
      <c r="G866" s="127"/>
      <c r="H866" s="41"/>
      <c r="I866" s="95"/>
      <c r="J866" s="41"/>
      <c r="K866" s="41"/>
      <c r="L866" s="95"/>
      <c r="M866" s="128"/>
      <c r="N866" s="41"/>
      <c r="O866" s="42"/>
      <c r="P866" s="52"/>
      <c r="Q866" s="41"/>
      <c r="R866" s="42"/>
      <c r="S866" s="129"/>
      <c r="T866" s="41"/>
      <c r="U866" s="42"/>
      <c r="V866" s="41"/>
      <c r="W866" s="41"/>
      <c r="X866" s="42"/>
      <c r="Y866" s="97"/>
      <c r="Z866" s="41"/>
      <c r="AA866" s="94"/>
    </row>
    <row r="867" spans="1:27" x14ac:dyDescent="0.2">
      <c r="A867" s="96"/>
      <c r="B867" s="44"/>
      <c r="C867" s="91"/>
      <c r="D867" s="139"/>
      <c r="E867" s="44"/>
      <c r="F867" s="122"/>
      <c r="G867" s="123"/>
      <c r="H867" s="44"/>
      <c r="I867" s="93"/>
      <c r="J867" s="44"/>
      <c r="K867" s="44"/>
      <c r="L867" s="93"/>
      <c r="M867" s="124"/>
      <c r="N867" s="44"/>
      <c r="O867" s="92"/>
      <c r="P867" s="110"/>
      <c r="Q867" s="44"/>
      <c r="R867" s="92"/>
      <c r="S867" s="125"/>
      <c r="T867" s="44"/>
      <c r="U867" s="92"/>
      <c r="V867" s="44"/>
      <c r="W867" s="44"/>
      <c r="X867" s="92"/>
      <c r="Y867" s="96"/>
      <c r="Z867" s="44"/>
      <c r="AA867" s="91"/>
    </row>
    <row r="868" spans="1:27" x14ac:dyDescent="0.2">
      <c r="A868" s="96"/>
      <c r="B868" s="44"/>
      <c r="C868" s="91"/>
      <c r="D868" s="139"/>
      <c r="E868" s="44"/>
      <c r="F868" s="122"/>
      <c r="G868" s="123"/>
      <c r="H868" s="44"/>
      <c r="I868" s="93"/>
      <c r="J868" s="44"/>
      <c r="K868" s="44"/>
      <c r="L868" s="93"/>
      <c r="M868" s="124"/>
      <c r="N868" s="44"/>
      <c r="O868" s="92"/>
      <c r="P868" s="110"/>
      <c r="Q868" s="44"/>
      <c r="R868" s="92"/>
      <c r="S868" s="125"/>
      <c r="T868" s="44"/>
      <c r="U868" s="92"/>
      <c r="V868" s="44"/>
      <c r="W868" s="44"/>
      <c r="X868" s="92"/>
      <c r="Y868" s="96"/>
      <c r="Z868" s="44"/>
      <c r="AA868" s="91"/>
    </row>
    <row r="869" spans="1:27" x14ac:dyDescent="0.2">
      <c r="A869" s="97"/>
      <c r="B869" s="41"/>
      <c r="C869" s="94"/>
      <c r="D869" s="140"/>
      <c r="E869" s="41"/>
      <c r="F869" s="126"/>
      <c r="G869" s="127"/>
      <c r="H869" s="41"/>
      <c r="I869" s="95"/>
      <c r="J869" s="41"/>
      <c r="K869" s="41"/>
      <c r="L869" s="95"/>
      <c r="M869" s="128"/>
      <c r="N869" s="41"/>
      <c r="O869" s="42"/>
      <c r="P869" s="52"/>
      <c r="Q869" s="41"/>
      <c r="R869" s="42"/>
      <c r="S869" s="129"/>
      <c r="T869" s="41"/>
      <c r="U869" s="42"/>
      <c r="V869" s="41"/>
      <c r="W869" s="41"/>
      <c r="X869" s="42"/>
      <c r="Y869" s="97"/>
      <c r="Z869" s="41"/>
      <c r="AA869" s="94"/>
    </row>
    <row r="870" spans="1:27" x14ac:dyDescent="0.2">
      <c r="A870" s="96"/>
      <c r="B870" s="44"/>
      <c r="C870" s="91"/>
      <c r="D870" s="139"/>
      <c r="E870" s="44"/>
      <c r="F870" s="122"/>
      <c r="G870" s="123"/>
      <c r="H870" s="44"/>
      <c r="I870" s="93"/>
      <c r="J870" s="44"/>
      <c r="K870" s="44"/>
      <c r="L870" s="93"/>
      <c r="M870" s="124"/>
      <c r="N870" s="44"/>
      <c r="O870" s="92"/>
      <c r="P870" s="110"/>
      <c r="Q870" s="44"/>
      <c r="R870" s="92"/>
      <c r="S870" s="125"/>
      <c r="T870" s="44"/>
      <c r="U870" s="92"/>
      <c r="V870" s="44"/>
      <c r="W870" s="44"/>
      <c r="X870" s="92"/>
      <c r="Y870" s="96"/>
      <c r="Z870" s="44"/>
      <c r="AA870" s="91"/>
    </row>
    <row r="871" spans="1:27" x14ac:dyDescent="0.2">
      <c r="A871" s="96"/>
      <c r="B871" s="44"/>
      <c r="C871" s="91"/>
      <c r="D871" s="139"/>
      <c r="E871" s="44"/>
      <c r="F871" s="122"/>
      <c r="G871" s="123"/>
      <c r="H871" s="44"/>
      <c r="I871" s="93"/>
      <c r="J871" s="44"/>
      <c r="K871" s="44"/>
      <c r="L871" s="93"/>
      <c r="M871" s="124"/>
      <c r="N871" s="44"/>
      <c r="O871" s="92"/>
      <c r="P871" s="110"/>
      <c r="Q871" s="44"/>
      <c r="R871" s="92"/>
      <c r="S871" s="125"/>
      <c r="T871" s="44"/>
      <c r="U871" s="92"/>
      <c r="V871" s="44"/>
      <c r="W871" s="44"/>
      <c r="X871" s="92"/>
      <c r="Y871" s="96"/>
      <c r="Z871" s="44"/>
      <c r="AA871" s="91"/>
    </row>
    <row r="872" spans="1:27" x14ac:dyDescent="0.2">
      <c r="A872" s="97"/>
      <c r="B872" s="41"/>
      <c r="C872" s="94"/>
      <c r="D872" s="140"/>
      <c r="E872" s="41"/>
      <c r="F872" s="126"/>
      <c r="G872" s="127"/>
      <c r="H872" s="41"/>
      <c r="I872" s="95"/>
      <c r="J872" s="41"/>
      <c r="K872" s="41"/>
      <c r="L872" s="95"/>
      <c r="M872" s="128"/>
      <c r="N872" s="41"/>
      <c r="O872" s="42"/>
      <c r="P872" s="52"/>
      <c r="Q872" s="41"/>
      <c r="R872" s="42"/>
      <c r="S872" s="129"/>
      <c r="T872" s="41"/>
      <c r="U872" s="42"/>
      <c r="V872" s="41"/>
      <c r="W872" s="41"/>
      <c r="X872" s="42"/>
      <c r="Y872" s="97"/>
      <c r="Z872" s="41"/>
      <c r="AA872" s="94"/>
    </row>
    <row r="873" spans="1:27" x14ac:dyDescent="0.2">
      <c r="A873" s="97"/>
      <c r="B873" s="41"/>
      <c r="C873" s="94"/>
      <c r="D873" s="140"/>
      <c r="E873" s="41"/>
      <c r="F873" s="126"/>
      <c r="G873" s="127"/>
      <c r="H873" s="41"/>
      <c r="I873" s="95"/>
      <c r="J873" s="41"/>
      <c r="K873" s="41"/>
      <c r="L873" s="95"/>
      <c r="M873" s="128"/>
      <c r="N873" s="41"/>
      <c r="O873" s="42"/>
      <c r="P873" s="52"/>
      <c r="Q873" s="41"/>
      <c r="R873" s="42"/>
      <c r="S873" s="129"/>
      <c r="T873" s="41"/>
      <c r="U873" s="42"/>
      <c r="V873" s="41"/>
      <c r="W873" s="41"/>
      <c r="X873" s="42"/>
      <c r="Y873" s="97"/>
      <c r="Z873" s="41"/>
      <c r="AA873" s="94"/>
    </row>
    <row r="874" spans="1:27" x14ac:dyDescent="0.2">
      <c r="A874" s="96"/>
      <c r="B874" s="44"/>
      <c r="C874" s="91"/>
      <c r="D874" s="139"/>
      <c r="E874" s="44"/>
      <c r="F874" s="122"/>
      <c r="G874" s="123"/>
      <c r="H874" s="44"/>
      <c r="I874" s="93"/>
      <c r="J874" s="44"/>
      <c r="K874" s="44"/>
      <c r="L874" s="93"/>
      <c r="M874" s="124"/>
      <c r="N874" s="44"/>
      <c r="O874" s="92"/>
      <c r="P874" s="110"/>
      <c r="Q874" s="44"/>
      <c r="R874" s="92"/>
      <c r="S874" s="125"/>
      <c r="T874" s="44"/>
      <c r="U874" s="92"/>
      <c r="V874" s="44"/>
      <c r="W874" s="44"/>
      <c r="X874" s="92"/>
      <c r="Y874" s="96"/>
      <c r="Z874" s="44"/>
      <c r="AA874" s="91"/>
    </row>
    <row r="875" spans="1:27" x14ac:dyDescent="0.2">
      <c r="A875" s="96"/>
      <c r="B875" s="44"/>
      <c r="C875" s="91"/>
      <c r="D875" s="139"/>
      <c r="E875" s="44"/>
      <c r="F875" s="122"/>
      <c r="G875" s="123"/>
      <c r="H875" s="44"/>
      <c r="I875" s="93"/>
      <c r="J875" s="44"/>
      <c r="K875" s="44"/>
      <c r="L875" s="93"/>
      <c r="M875" s="124"/>
      <c r="N875" s="44"/>
      <c r="O875" s="92"/>
      <c r="P875" s="110"/>
      <c r="Q875" s="44"/>
      <c r="R875" s="92"/>
      <c r="S875" s="125"/>
      <c r="T875" s="44"/>
      <c r="U875" s="92"/>
      <c r="V875" s="44"/>
      <c r="W875" s="44"/>
      <c r="X875" s="92"/>
      <c r="Y875" s="96"/>
      <c r="Z875" s="44"/>
      <c r="AA875" s="91"/>
    </row>
    <row r="876" spans="1:27" x14ac:dyDescent="0.2">
      <c r="A876" s="97"/>
      <c r="B876" s="41"/>
      <c r="C876" s="94"/>
      <c r="D876" s="140"/>
      <c r="E876" s="41"/>
      <c r="F876" s="126"/>
      <c r="G876" s="127"/>
      <c r="H876" s="41"/>
      <c r="I876" s="95"/>
      <c r="J876" s="41"/>
      <c r="K876" s="41"/>
      <c r="L876" s="95"/>
      <c r="M876" s="128"/>
      <c r="N876" s="41"/>
      <c r="O876" s="42"/>
      <c r="P876" s="52"/>
      <c r="Q876" s="41"/>
      <c r="R876" s="42"/>
      <c r="S876" s="129"/>
      <c r="T876" s="41"/>
      <c r="U876" s="42"/>
      <c r="V876" s="41"/>
      <c r="W876" s="41"/>
      <c r="X876" s="42"/>
      <c r="Y876" s="97"/>
      <c r="Z876" s="41"/>
      <c r="AA876" s="94"/>
    </row>
    <row r="877" spans="1:27" x14ac:dyDescent="0.2">
      <c r="A877" s="87"/>
      <c r="B877" s="87"/>
      <c r="C877" s="88"/>
      <c r="D877" s="138"/>
      <c r="E877" s="87"/>
      <c r="F877" s="118"/>
      <c r="G877" s="119"/>
      <c r="H877" s="87"/>
      <c r="I877" s="90"/>
      <c r="J877" s="87"/>
      <c r="K877" s="87"/>
      <c r="L877" s="90"/>
      <c r="M877" s="120"/>
      <c r="N877" s="87"/>
      <c r="O877" s="89"/>
      <c r="P877" s="130"/>
      <c r="Q877" s="87"/>
      <c r="R877" s="89"/>
      <c r="S877" s="121"/>
      <c r="T877" s="87"/>
      <c r="U877" s="89"/>
      <c r="V877" s="87"/>
      <c r="W877" s="87"/>
      <c r="X877" s="89"/>
      <c r="Y877" s="87"/>
      <c r="Z877" s="87"/>
      <c r="AA877" s="88"/>
    </row>
    <row r="878" spans="1:27" x14ac:dyDescent="0.2">
      <c r="A878" s="44"/>
      <c r="B878" s="44"/>
      <c r="C878" s="91"/>
      <c r="D878" s="139"/>
      <c r="E878" s="44"/>
      <c r="F878" s="122"/>
      <c r="G878" s="123"/>
      <c r="H878" s="44"/>
      <c r="I878" s="93"/>
      <c r="J878" s="44"/>
      <c r="K878" s="44"/>
      <c r="L878" s="93"/>
      <c r="M878" s="124"/>
      <c r="N878" s="44"/>
      <c r="O878" s="92"/>
      <c r="P878" s="110"/>
      <c r="Q878" s="44"/>
      <c r="R878" s="92"/>
      <c r="S878" s="125"/>
      <c r="T878" s="44"/>
      <c r="U878" s="92"/>
      <c r="V878" s="44"/>
      <c r="W878" s="44"/>
      <c r="X878" s="92"/>
      <c r="Y878" s="44"/>
      <c r="Z878" s="44"/>
      <c r="AA878" s="91"/>
    </row>
    <row r="879" spans="1:27" x14ac:dyDescent="0.2">
      <c r="A879" s="41"/>
      <c r="B879" s="41"/>
      <c r="C879" s="94"/>
      <c r="D879" s="140"/>
      <c r="E879" s="41"/>
      <c r="F879" s="126"/>
      <c r="G879" s="127"/>
      <c r="H879" s="41"/>
      <c r="I879" s="95"/>
      <c r="J879" s="41"/>
      <c r="K879" s="41"/>
      <c r="L879" s="95"/>
      <c r="M879" s="128"/>
      <c r="N879" s="41"/>
      <c r="O879" s="42"/>
      <c r="P879" s="52"/>
      <c r="Q879" s="41"/>
      <c r="R879" s="42"/>
      <c r="S879" s="129"/>
      <c r="T879" s="41"/>
      <c r="U879" s="42"/>
      <c r="V879" s="41"/>
      <c r="W879" s="41"/>
      <c r="X879" s="42"/>
      <c r="Y879" s="41"/>
      <c r="Z879" s="41"/>
      <c r="AA879" s="94"/>
    </row>
    <row r="880" spans="1:27" x14ac:dyDescent="0.2">
      <c r="A880" s="44"/>
      <c r="B880" s="44"/>
      <c r="C880" s="91"/>
      <c r="D880" s="139"/>
      <c r="E880" s="44"/>
      <c r="F880" s="122"/>
      <c r="G880" s="123"/>
      <c r="H880" s="44"/>
      <c r="I880" s="93"/>
      <c r="J880" s="44"/>
      <c r="K880" s="44"/>
      <c r="L880" s="93"/>
      <c r="M880" s="124"/>
      <c r="N880" s="44"/>
      <c r="O880" s="92"/>
      <c r="P880" s="110"/>
      <c r="Q880" s="44"/>
      <c r="R880" s="92"/>
      <c r="S880" s="125"/>
      <c r="T880" s="44"/>
      <c r="U880" s="92"/>
      <c r="V880" s="44"/>
      <c r="W880" s="44"/>
      <c r="X880" s="92"/>
      <c r="Y880" s="44"/>
      <c r="Z880" s="44"/>
      <c r="AA880" s="91"/>
    </row>
    <row r="881" spans="1:27" x14ac:dyDescent="0.2">
      <c r="A881" s="87"/>
      <c r="B881" s="87"/>
      <c r="C881" s="88"/>
      <c r="D881" s="138"/>
      <c r="E881" s="87"/>
      <c r="F881" s="118"/>
      <c r="G881" s="119"/>
      <c r="H881" s="87"/>
      <c r="I881" s="90"/>
      <c r="J881" s="87"/>
      <c r="K881" s="87"/>
      <c r="L881" s="90"/>
      <c r="M881" s="120"/>
      <c r="N881" s="87"/>
      <c r="O881" s="89"/>
      <c r="P881" s="87"/>
      <c r="Q881" s="87"/>
      <c r="R881" s="89"/>
      <c r="S881" s="121"/>
      <c r="T881" s="87"/>
      <c r="U881" s="89"/>
      <c r="V881" s="87"/>
      <c r="W881" s="87"/>
      <c r="X881" s="89"/>
      <c r="Y881" s="87"/>
      <c r="Z881" s="87"/>
      <c r="AA881" s="88"/>
    </row>
    <row r="882" spans="1:27" x14ac:dyDescent="0.2">
      <c r="A882" s="44"/>
      <c r="B882" s="44"/>
      <c r="C882" s="91"/>
      <c r="D882" s="139"/>
      <c r="E882" s="44"/>
      <c r="F882" s="122"/>
      <c r="G882" s="123"/>
      <c r="H882" s="44"/>
      <c r="I882" s="93"/>
      <c r="J882" s="44"/>
      <c r="K882" s="44"/>
      <c r="L882" s="93"/>
      <c r="M882" s="124"/>
      <c r="N882" s="44"/>
      <c r="O882" s="92"/>
      <c r="P882" s="110"/>
      <c r="Q882" s="44"/>
      <c r="R882" s="92"/>
      <c r="S882" s="125"/>
      <c r="T882" s="44"/>
      <c r="U882" s="92"/>
      <c r="V882" s="44"/>
      <c r="W882" s="44"/>
      <c r="X882" s="92"/>
      <c r="Y882" s="44"/>
      <c r="Z882" s="44"/>
      <c r="AA882" s="91"/>
    </row>
    <row r="883" spans="1:27" x14ac:dyDescent="0.2">
      <c r="A883" s="41"/>
      <c r="B883" s="41"/>
      <c r="C883" s="94"/>
      <c r="D883" s="140"/>
      <c r="E883" s="41"/>
      <c r="F883" s="126"/>
      <c r="G883" s="127"/>
      <c r="H883" s="41"/>
      <c r="I883" s="95"/>
      <c r="J883" s="41"/>
      <c r="K883" s="41"/>
      <c r="L883" s="95"/>
      <c r="M883" s="128"/>
      <c r="N883" s="41"/>
      <c r="O883" s="42"/>
      <c r="P883" s="52"/>
      <c r="Q883" s="41"/>
      <c r="R883" s="42"/>
      <c r="S883" s="129"/>
      <c r="T883" s="41"/>
      <c r="U883" s="42"/>
      <c r="V883" s="41"/>
      <c r="W883" s="41"/>
      <c r="X883" s="42"/>
      <c r="Y883" s="41"/>
      <c r="Z883" s="41"/>
      <c r="AA883" s="94"/>
    </row>
    <row r="884" spans="1:27" x14ac:dyDescent="0.2">
      <c r="A884" s="44"/>
      <c r="B884" s="44"/>
      <c r="C884" s="91"/>
      <c r="D884" s="139"/>
      <c r="E884" s="44"/>
      <c r="F884" s="122"/>
      <c r="G884" s="123"/>
      <c r="H884" s="44"/>
      <c r="I884" s="93"/>
      <c r="J884" s="44"/>
      <c r="K884" s="44"/>
      <c r="L884" s="93"/>
      <c r="M884" s="124"/>
      <c r="N884" s="44"/>
      <c r="O884" s="92"/>
      <c r="P884" s="110"/>
      <c r="Q884" s="44"/>
      <c r="R884" s="92"/>
      <c r="S884" s="125"/>
      <c r="T884" s="44"/>
      <c r="U884" s="92"/>
      <c r="V884" s="44"/>
      <c r="W884" s="44"/>
      <c r="X884" s="92"/>
      <c r="Y884" s="44"/>
      <c r="Z884" s="44"/>
      <c r="AA884" s="91"/>
    </row>
    <row r="885" spans="1:27" x14ac:dyDescent="0.2">
      <c r="A885" s="41"/>
      <c r="B885" s="41"/>
      <c r="C885" s="94"/>
      <c r="D885" s="140"/>
      <c r="E885" s="41"/>
      <c r="F885" s="126"/>
      <c r="G885" s="127"/>
      <c r="H885" s="41"/>
      <c r="I885" s="95"/>
      <c r="J885" s="41"/>
      <c r="K885" s="41"/>
      <c r="L885" s="95"/>
      <c r="M885" s="128"/>
      <c r="N885" s="41"/>
      <c r="O885" s="42"/>
      <c r="P885" s="52"/>
      <c r="Q885" s="41"/>
      <c r="R885" s="42"/>
      <c r="S885" s="129"/>
      <c r="T885" s="41"/>
      <c r="U885" s="42"/>
      <c r="V885" s="41"/>
      <c r="W885" s="41"/>
      <c r="X885" s="42"/>
      <c r="Y885" s="41"/>
      <c r="Z885" s="41"/>
      <c r="AA885" s="94"/>
    </row>
    <row r="886" spans="1:27" x14ac:dyDescent="0.2">
      <c r="A886" s="44"/>
      <c r="B886" s="44"/>
      <c r="C886" s="91"/>
      <c r="D886" s="139"/>
      <c r="E886" s="44"/>
      <c r="F886" s="122"/>
      <c r="G886" s="123"/>
      <c r="H886" s="44"/>
      <c r="I886" s="93"/>
      <c r="J886" s="44"/>
      <c r="K886" s="44"/>
      <c r="L886" s="93"/>
      <c r="M886" s="124"/>
      <c r="N886" s="44"/>
      <c r="O886" s="92"/>
      <c r="P886" s="110"/>
      <c r="Q886" s="44"/>
      <c r="R886" s="92"/>
      <c r="S886" s="125"/>
      <c r="T886" s="44"/>
      <c r="U886" s="92"/>
      <c r="V886" s="44"/>
      <c r="W886" s="44"/>
      <c r="X886" s="92"/>
      <c r="Y886" s="44"/>
      <c r="Z886" s="44"/>
      <c r="AA886" s="91"/>
    </row>
    <row r="887" spans="1:27" x14ac:dyDescent="0.2">
      <c r="A887" s="41"/>
      <c r="B887" s="41"/>
      <c r="C887" s="94"/>
      <c r="D887" s="140"/>
      <c r="E887" s="41"/>
      <c r="F887" s="126"/>
      <c r="G887" s="127"/>
      <c r="H887" s="41"/>
      <c r="I887" s="95"/>
      <c r="J887" s="41"/>
      <c r="K887" s="41"/>
      <c r="L887" s="95"/>
      <c r="M887" s="128"/>
      <c r="N887" s="41"/>
      <c r="O887" s="42"/>
      <c r="P887" s="52"/>
      <c r="Q887" s="41"/>
      <c r="R887" s="42"/>
      <c r="S887" s="129"/>
      <c r="T887" s="41"/>
      <c r="U887" s="42"/>
      <c r="V887" s="41"/>
      <c r="W887" s="41"/>
      <c r="X887" s="42"/>
      <c r="Y887" s="41"/>
      <c r="Z887" s="41"/>
      <c r="AA887" s="94"/>
    </row>
    <row r="888" spans="1:27" x14ac:dyDescent="0.2">
      <c r="A888" s="44"/>
      <c r="B888" s="44"/>
      <c r="C888" s="91"/>
      <c r="D888" s="139"/>
      <c r="E888" s="44"/>
      <c r="F888" s="122"/>
      <c r="G888" s="123"/>
      <c r="H888" s="44"/>
      <c r="I888" s="93"/>
      <c r="J888" s="44"/>
      <c r="K888" s="44"/>
      <c r="L888" s="93"/>
      <c r="M888" s="124"/>
      <c r="N888" s="44"/>
      <c r="O888" s="92"/>
      <c r="P888" s="110"/>
      <c r="Q888" s="44"/>
      <c r="R888" s="92"/>
      <c r="S888" s="125"/>
      <c r="T888" s="44"/>
      <c r="U888" s="92"/>
      <c r="V888" s="44"/>
      <c r="W888" s="44"/>
      <c r="X888" s="92"/>
      <c r="Y888" s="44"/>
      <c r="Z888" s="44"/>
      <c r="AA888" s="91"/>
    </row>
    <row r="889" spans="1:27" x14ac:dyDescent="0.2">
      <c r="A889" s="41"/>
      <c r="B889" s="41"/>
      <c r="C889" s="94"/>
      <c r="D889" s="140"/>
      <c r="E889" s="41"/>
      <c r="F889" s="126"/>
      <c r="G889" s="127"/>
      <c r="H889" s="41"/>
      <c r="I889" s="95"/>
      <c r="J889" s="41"/>
      <c r="K889" s="41"/>
      <c r="L889" s="95"/>
      <c r="M889" s="128"/>
      <c r="N889" s="41"/>
      <c r="O889" s="42"/>
      <c r="P889" s="52"/>
      <c r="Q889" s="41"/>
      <c r="R889" s="42"/>
      <c r="S889" s="129"/>
      <c r="T889" s="41"/>
      <c r="U889" s="42"/>
      <c r="V889" s="41"/>
      <c r="W889" s="41"/>
      <c r="X889" s="42"/>
      <c r="Y889" s="41"/>
      <c r="Z889" s="41"/>
      <c r="AA889" s="94"/>
    </row>
    <row r="890" spans="1:27" x14ac:dyDescent="0.2">
      <c r="A890" s="44"/>
      <c r="B890" s="44"/>
      <c r="C890" s="91"/>
      <c r="D890" s="139"/>
      <c r="E890" s="44"/>
      <c r="F890" s="122"/>
      <c r="G890" s="123"/>
      <c r="H890" s="44"/>
      <c r="I890" s="93"/>
      <c r="J890" s="44"/>
      <c r="K890" s="44"/>
      <c r="L890" s="93"/>
      <c r="M890" s="124"/>
      <c r="N890" s="44"/>
      <c r="O890" s="92"/>
      <c r="P890" s="110"/>
      <c r="Q890" s="44"/>
      <c r="R890" s="92"/>
      <c r="S890" s="125"/>
      <c r="T890" s="44"/>
      <c r="U890" s="92"/>
      <c r="V890" s="44"/>
      <c r="W890" s="44"/>
      <c r="X890" s="92"/>
      <c r="Y890" s="44"/>
      <c r="Z890" s="44"/>
      <c r="AA890" s="91"/>
    </row>
    <row r="891" spans="1:27" x14ac:dyDescent="0.2">
      <c r="A891" s="41"/>
      <c r="B891" s="41"/>
      <c r="C891" s="94"/>
      <c r="D891" s="140"/>
      <c r="E891" s="41"/>
      <c r="F891" s="126"/>
      <c r="G891" s="127"/>
      <c r="H891" s="41"/>
      <c r="I891" s="95"/>
      <c r="J891" s="41"/>
      <c r="K891" s="41"/>
      <c r="L891" s="95"/>
      <c r="M891" s="128"/>
      <c r="N891" s="41"/>
      <c r="O891" s="42"/>
      <c r="P891" s="52"/>
      <c r="Q891" s="41"/>
      <c r="R891" s="42"/>
      <c r="S891" s="129"/>
      <c r="T891" s="41"/>
      <c r="U891" s="42"/>
      <c r="V891" s="41"/>
      <c r="W891" s="41"/>
      <c r="X891" s="42"/>
      <c r="Y891" s="41"/>
      <c r="Z891" s="41"/>
      <c r="AA891" s="94"/>
    </row>
    <row r="892" spans="1:27" x14ac:dyDescent="0.2">
      <c r="A892" s="44"/>
      <c r="B892" s="44"/>
      <c r="C892" s="91"/>
      <c r="D892" s="139"/>
      <c r="E892" s="44"/>
      <c r="F892" s="122"/>
      <c r="G892" s="123"/>
      <c r="H892" s="44"/>
      <c r="I892" s="93"/>
      <c r="J892" s="44"/>
      <c r="K892" s="44"/>
      <c r="L892" s="93"/>
      <c r="M892" s="124"/>
      <c r="N892" s="44"/>
      <c r="O892" s="92"/>
      <c r="P892" s="110"/>
      <c r="Q892" s="44"/>
      <c r="R892" s="92"/>
      <c r="S892" s="125"/>
      <c r="T892" s="44"/>
      <c r="U892" s="92"/>
      <c r="V892" s="44"/>
      <c r="W892" s="44"/>
      <c r="X892" s="92"/>
      <c r="Y892" s="44"/>
      <c r="Z892" s="44"/>
      <c r="AA892" s="91"/>
    </row>
    <row r="893" spans="1:27" x14ac:dyDescent="0.2">
      <c r="A893" s="41"/>
      <c r="B893" s="41"/>
      <c r="C893" s="94"/>
      <c r="D893" s="140"/>
      <c r="E893" s="41"/>
      <c r="F893" s="126"/>
      <c r="G893" s="127"/>
      <c r="H893" s="41"/>
      <c r="I893" s="95"/>
      <c r="J893" s="41"/>
      <c r="K893" s="41"/>
      <c r="L893" s="95"/>
      <c r="M893" s="128"/>
      <c r="N893" s="41"/>
      <c r="O893" s="42"/>
      <c r="P893" s="52"/>
      <c r="Q893" s="41"/>
      <c r="R893" s="42"/>
      <c r="S893" s="129"/>
      <c r="T893" s="41"/>
      <c r="U893" s="42"/>
      <c r="V893" s="41"/>
      <c r="W893" s="41"/>
      <c r="X893" s="42"/>
      <c r="Y893" s="41"/>
      <c r="Z893" s="41"/>
      <c r="AA893" s="94"/>
    </row>
    <row r="894" spans="1:27" x14ac:dyDescent="0.2">
      <c r="A894" s="44"/>
      <c r="B894" s="44"/>
      <c r="C894" s="91"/>
      <c r="D894" s="139"/>
      <c r="E894" s="44"/>
      <c r="F894" s="122"/>
      <c r="G894" s="123"/>
      <c r="H894" s="44"/>
      <c r="I894" s="93"/>
      <c r="J894" s="44"/>
      <c r="K894" s="44"/>
      <c r="L894" s="93"/>
      <c r="M894" s="124"/>
      <c r="N894" s="44"/>
      <c r="O894" s="92"/>
      <c r="P894" s="110"/>
      <c r="Q894" s="44"/>
      <c r="R894" s="92"/>
      <c r="S894" s="125"/>
      <c r="T894" s="44"/>
      <c r="U894" s="92"/>
      <c r="V894" s="44"/>
      <c r="W894" s="44"/>
      <c r="X894" s="92"/>
      <c r="Y894" s="44"/>
      <c r="Z894" s="44"/>
      <c r="AA894" s="91"/>
    </row>
    <row r="895" spans="1:27" x14ac:dyDescent="0.2">
      <c r="A895" s="41"/>
      <c r="B895" s="41"/>
      <c r="C895" s="94"/>
      <c r="D895" s="140"/>
      <c r="E895" s="41"/>
      <c r="F895" s="126"/>
      <c r="G895" s="127"/>
      <c r="H895" s="41"/>
      <c r="I895" s="95"/>
      <c r="J895" s="41"/>
      <c r="K895" s="41"/>
      <c r="L895" s="95"/>
      <c r="M895" s="128"/>
      <c r="N895" s="41"/>
      <c r="O895" s="42"/>
      <c r="P895" s="52"/>
      <c r="Q895" s="41"/>
      <c r="R895" s="42"/>
      <c r="S895" s="129"/>
      <c r="T895" s="41"/>
      <c r="U895" s="42"/>
      <c r="V895" s="41"/>
      <c r="W895" s="41"/>
      <c r="X895" s="42"/>
      <c r="Y895" s="41"/>
      <c r="Z895" s="41"/>
      <c r="AA895" s="94"/>
    </row>
    <row r="896" spans="1:27" x14ac:dyDescent="0.2">
      <c r="A896" s="44"/>
      <c r="B896" s="44"/>
      <c r="C896" s="91"/>
      <c r="D896" s="139"/>
      <c r="E896" s="44"/>
      <c r="F896" s="122"/>
      <c r="G896" s="123"/>
      <c r="H896" s="44"/>
      <c r="I896" s="93"/>
      <c r="J896" s="44"/>
      <c r="K896" s="44"/>
      <c r="L896" s="93"/>
      <c r="M896" s="124"/>
      <c r="N896" s="44"/>
      <c r="O896" s="92"/>
      <c r="P896" s="110"/>
      <c r="Q896" s="44"/>
      <c r="R896" s="92"/>
      <c r="S896" s="125"/>
      <c r="T896" s="44"/>
      <c r="U896" s="92"/>
      <c r="V896" s="44"/>
      <c r="W896" s="44"/>
      <c r="X896" s="92"/>
      <c r="Y896" s="44"/>
      <c r="Z896" s="44"/>
      <c r="AA896" s="91"/>
    </row>
    <row r="897" spans="1:27" x14ac:dyDescent="0.2">
      <c r="A897" s="41"/>
      <c r="B897" s="41"/>
      <c r="C897" s="94"/>
      <c r="D897" s="140"/>
      <c r="E897" s="41"/>
      <c r="F897" s="126"/>
      <c r="G897" s="127"/>
      <c r="H897" s="41"/>
      <c r="I897" s="95"/>
      <c r="J897" s="41"/>
      <c r="K897" s="41"/>
      <c r="L897" s="95"/>
      <c r="M897" s="128"/>
      <c r="N897" s="41"/>
      <c r="O897" s="42"/>
      <c r="P897" s="52"/>
      <c r="Q897" s="41"/>
      <c r="R897" s="42"/>
      <c r="S897" s="129"/>
      <c r="T897" s="41"/>
      <c r="U897" s="42"/>
      <c r="V897" s="41"/>
      <c r="W897" s="41"/>
      <c r="X897" s="42"/>
      <c r="Y897" s="41"/>
      <c r="Z897" s="41"/>
      <c r="AA897" s="94"/>
    </row>
    <row r="898" spans="1:27" x14ac:dyDescent="0.2">
      <c r="A898" s="44"/>
      <c r="B898" s="44"/>
      <c r="C898" s="91"/>
      <c r="D898" s="139"/>
      <c r="E898" s="44"/>
      <c r="F898" s="122"/>
      <c r="G898" s="123"/>
      <c r="H898" s="44"/>
      <c r="I898" s="93"/>
      <c r="J898" s="44"/>
      <c r="K898" s="44"/>
      <c r="L898" s="93"/>
      <c r="M898" s="124"/>
      <c r="N898" s="44"/>
      <c r="O898" s="92"/>
      <c r="P898" s="110"/>
      <c r="Q898" s="44"/>
      <c r="R898" s="92"/>
      <c r="S898" s="125"/>
      <c r="T898" s="44"/>
      <c r="U898" s="92"/>
      <c r="V898" s="44"/>
      <c r="W898" s="44"/>
      <c r="X898" s="92"/>
      <c r="Y898" s="44"/>
      <c r="Z898" s="44"/>
      <c r="AA898" s="91"/>
    </row>
    <row r="899" spans="1:27" x14ac:dyDescent="0.2">
      <c r="A899" s="41"/>
      <c r="B899" s="41"/>
      <c r="C899" s="94"/>
      <c r="D899" s="140"/>
      <c r="E899" s="41"/>
      <c r="F899" s="127"/>
      <c r="G899" s="127"/>
      <c r="H899" s="41"/>
      <c r="I899" s="95"/>
      <c r="J899" s="41"/>
      <c r="K899" s="41"/>
      <c r="L899" s="95"/>
      <c r="M899" s="128"/>
      <c r="N899" s="41"/>
      <c r="O899" s="42"/>
      <c r="P899" s="52"/>
      <c r="Q899" s="41"/>
      <c r="R899" s="42"/>
      <c r="S899" s="129"/>
      <c r="T899" s="41"/>
      <c r="U899" s="42"/>
      <c r="V899" s="41"/>
      <c r="W899" s="41"/>
      <c r="X899" s="42"/>
      <c r="Y899" s="41"/>
      <c r="Z899" s="41"/>
      <c r="AA899" s="94"/>
    </row>
    <row r="900" spans="1:27" x14ac:dyDescent="0.2">
      <c r="A900" s="44"/>
      <c r="B900" s="44"/>
      <c r="C900" s="91"/>
      <c r="D900" s="139"/>
      <c r="E900" s="44"/>
      <c r="F900" s="122"/>
      <c r="G900" s="123"/>
      <c r="H900" s="44"/>
      <c r="I900" s="93"/>
      <c r="J900" s="44"/>
      <c r="K900" s="44"/>
      <c r="L900" s="93"/>
      <c r="M900" s="124"/>
      <c r="N900" s="44"/>
      <c r="O900" s="92"/>
      <c r="P900" s="110"/>
      <c r="Q900" s="44"/>
      <c r="R900" s="92"/>
      <c r="S900" s="125"/>
      <c r="T900" s="44"/>
      <c r="U900" s="92"/>
      <c r="V900" s="44"/>
      <c r="W900" s="44"/>
      <c r="X900" s="92"/>
      <c r="Y900" s="44"/>
      <c r="Z900" s="44"/>
      <c r="AA900" s="91"/>
    </row>
    <row r="901" spans="1:27" x14ac:dyDescent="0.2">
      <c r="A901" s="41"/>
      <c r="B901" s="41"/>
      <c r="C901" s="94"/>
      <c r="D901" s="140"/>
      <c r="E901" s="41"/>
      <c r="F901" s="126"/>
      <c r="G901" s="127"/>
      <c r="H901" s="41"/>
      <c r="I901" s="95"/>
      <c r="J901" s="41"/>
      <c r="K901" s="41"/>
      <c r="L901" s="95"/>
      <c r="M901" s="128"/>
      <c r="N901" s="41"/>
      <c r="O901" s="42"/>
      <c r="P901" s="52"/>
      <c r="Q901" s="41"/>
      <c r="R901" s="42"/>
      <c r="S901" s="129"/>
      <c r="T901" s="41"/>
      <c r="U901" s="42"/>
      <c r="V901" s="41"/>
      <c r="W901" s="41"/>
      <c r="X901" s="42"/>
      <c r="Y901" s="41"/>
      <c r="Z901" s="41"/>
      <c r="AA901" s="94"/>
    </row>
    <row r="902" spans="1:27" x14ac:dyDescent="0.2">
      <c r="A902" s="44"/>
      <c r="B902" s="44"/>
      <c r="C902" s="91"/>
      <c r="D902" s="139"/>
      <c r="E902" s="44"/>
      <c r="F902" s="122"/>
      <c r="G902" s="123"/>
      <c r="H902" s="44"/>
      <c r="I902" s="93"/>
      <c r="J902" s="44"/>
      <c r="K902" s="44"/>
      <c r="L902" s="93"/>
      <c r="M902" s="124"/>
      <c r="N902" s="44"/>
      <c r="O902" s="92"/>
      <c r="P902" s="110"/>
      <c r="Q902" s="44"/>
      <c r="R902" s="92"/>
      <c r="S902" s="125"/>
      <c r="T902" s="44"/>
      <c r="U902" s="92"/>
      <c r="V902" s="44"/>
      <c r="W902" s="44"/>
      <c r="X902" s="92"/>
      <c r="Y902" s="44"/>
      <c r="Z902" s="44"/>
      <c r="AA902" s="91"/>
    </row>
    <row r="903" spans="1:27" x14ac:dyDescent="0.2">
      <c r="A903" s="41"/>
      <c r="B903" s="41"/>
      <c r="C903" s="94"/>
      <c r="D903" s="140"/>
      <c r="E903" s="41"/>
      <c r="F903" s="126"/>
      <c r="G903" s="127"/>
      <c r="H903" s="41"/>
      <c r="I903" s="95"/>
      <c r="J903" s="41"/>
      <c r="K903" s="41"/>
      <c r="L903" s="95"/>
      <c r="M903" s="128"/>
      <c r="N903" s="41"/>
      <c r="O903" s="42"/>
      <c r="P903" s="52"/>
      <c r="Q903" s="41"/>
      <c r="R903" s="42"/>
      <c r="S903" s="129"/>
      <c r="T903" s="41"/>
      <c r="U903" s="42"/>
      <c r="V903" s="41"/>
      <c r="W903" s="41"/>
      <c r="X903" s="42"/>
      <c r="Y903" s="41"/>
      <c r="Z903" s="41"/>
      <c r="AA903" s="94"/>
    </row>
    <row r="904" spans="1:27" x14ac:dyDescent="0.2">
      <c r="A904" s="44"/>
      <c r="B904" s="44"/>
      <c r="C904" s="91"/>
      <c r="D904" s="139"/>
      <c r="E904" s="44"/>
      <c r="F904" s="122"/>
      <c r="G904" s="123"/>
      <c r="H904" s="44"/>
      <c r="I904" s="93"/>
      <c r="J904" s="44"/>
      <c r="K904" s="44"/>
      <c r="L904" s="93"/>
      <c r="M904" s="124"/>
      <c r="N904" s="44"/>
      <c r="O904" s="92"/>
      <c r="P904" s="110"/>
      <c r="Q904" s="44"/>
      <c r="R904" s="92"/>
      <c r="S904" s="125"/>
      <c r="T904" s="44"/>
      <c r="U904" s="92"/>
      <c r="V904" s="44"/>
      <c r="W904" s="44"/>
      <c r="X904" s="92"/>
      <c r="Y904" s="44"/>
      <c r="Z904" s="44"/>
      <c r="AA904" s="91"/>
    </row>
    <row r="905" spans="1:27" x14ac:dyDescent="0.2">
      <c r="A905" s="41"/>
      <c r="B905" s="41"/>
      <c r="C905" s="94"/>
      <c r="D905" s="140"/>
      <c r="E905" s="41"/>
      <c r="F905" s="126"/>
      <c r="G905" s="127"/>
      <c r="H905" s="41"/>
      <c r="I905" s="95"/>
      <c r="J905" s="41"/>
      <c r="K905" s="41"/>
      <c r="L905" s="95"/>
      <c r="M905" s="128"/>
      <c r="N905" s="41"/>
      <c r="O905" s="42"/>
      <c r="P905" s="52"/>
      <c r="Q905" s="41"/>
      <c r="R905" s="42"/>
      <c r="S905" s="129"/>
      <c r="T905" s="41"/>
      <c r="U905" s="42"/>
      <c r="V905" s="41"/>
      <c r="W905" s="41"/>
      <c r="X905" s="42"/>
      <c r="Y905" s="41"/>
      <c r="Z905" s="41"/>
      <c r="AA905" s="94"/>
    </row>
    <row r="906" spans="1:27" x14ac:dyDescent="0.2">
      <c r="A906" s="44"/>
      <c r="B906" s="44"/>
      <c r="C906" s="91"/>
      <c r="D906" s="139"/>
      <c r="E906" s="44"/>
      <c r="F906" s="122"/>
      <c r="G906" s="123"/>
      <c r="H906" s="44"/>
      <c r="I906" s="93"/>
      <c r="J906" s="44"/>
      <c r="K906" s="44"/>
      <c r="L906" s="93"/>
      <c r="M906" s="124"/>
      <c r="N906" s="44"/>
      <c r="O906" s="92"/>
      <c r="P906" s="110"/>
      <c r="Q906" s="44"/>
      <c r="R906" s="92"/>
      <c r="S906" s="125"/>
      <c r="T906" s="44"/>
      <c r="U906" s="92"/>
      <c r="V906" s="44"/>
      <c r="W906" s="44"/>
      <c r="X906" s="92"/>
      <c r="Y906" s="44"/>
      <c r="Z906" s="44"/>
      <c r="AA906" s="91"/>
    </row>
    <row r="907" spans="1:27" x14ac:dyDescent="0.2">
      <c r="A907" s="96"/>
      <c r="B907" s="44"/>
      <c r="C907" s="91"/>
      <c r="D907" s="139"/>
      <c r="E907" s="44"/>
      <c r="F907" s="122"/>
      <c r="G907" s="123"/>
      <c r="H907" s="44"/>
      <c r="I907" s="93"/>
      <c r="J907" s="44"/>
      <c r="K907" s="44"/>
      <c r="L907" s="93"/>
      <c r="M907" s="124"/>
      <c r="N907" s="44"/>
      <c r="O907" s="92"/>
      <c r="P907" s="110"/>
      <c r="Q907" s="44"/>
      <c r="R907" s="92"/>
      <c r="S907" s="125"/>
      <c r="T907" s="44"/>
      <c r="U907" s="92"/>
      <c r="V907" s="44"/>
      <c r="W907" s="44"/>
      <c r="X907" s="92"/>
      <c r="Y907" s="96"/>
      <c r="Z907" s="44"/>
      <c r="AA907" s="91"/>
    </row>
    <row r="908" spans="1:27" x14ac:dyDescent="0.2">
      <c r="A908" s="97"/>
      <c r="B908" s="41"/>
      <c r="C908" s="94"/>
      <c r="D908" s="140"/>
      <c r="E908" s="41"/>
      <c r="F908" s="126"/>
      <c r="G908" s="127"/>
      <c r="H908" s="41"/>
      <c r="I908" s="95"/>
      <c r="J908" s="41"/>
      <c r="K908" s="41"/>
      <c r="L908" s="95"/>
      <c r="M908" s="128"/>
      <c r="N908" s="41"/>
      <c r="O908" s="42"/>
      <c r="P908" s="52"/>
      <c r="Q908" s="41"/>
      <c r="R908" s="42"/>
      <c r="S908" s="129"/>
      <c r="T908" s="41"/>
      <c r="U908" s="42"/>
      <c r="V908" s="41"/>
      <c r="W908" s="41"/>
      <c r="X908" s="42"/>
      <c r="Y908" s="97"/>
      <c r="Z908" s="41"/>
      <c r="AA908" s="94"/>
    </row>
    <row r="909" spans="1:27" x14ac:dyDescent="0.2">
      <c r="A909" s="96"/>
      <c r="B909" s="44"/>
      <c r="C909" s="91"/>
      <c r="D909" s="139"/>
      <c r="E909" s="44"/>
      <c r="F909" s="122"/>
      <c r="G909" s="123"/>
      <c r="H909" s="44"/>
      <c r="I909" s="93"/>
      <c r="J909" s="44"/>
      <c r="K909" s="44"/>
      <c r="L909" s="93"/>
      <c r="M909" s="124"/>
      <c r="N909" s="44"/>
      <c r="O909" s="92"/>
      <c r="P909" s="110"/>
      <c r="Q909" s="44"/>
      <c r="R909" s="92"/>
      <c r="S909" s="125"/>
      <c r="T909" s="44"/>
      <c r="U909" s="92"/>
      <c r="V909" s="44"/>
      <c r="W909" s="44"/>
      <c r="X909" s="92"/>
      <c r="Y909" s="96"/>
      <c r="Z909" s="44"/>
      <c r="AA909" s="91"/>
    </row>
    <row r="910" spans="1:27" x14ac:dyDescent="0.2">
      <c r="A910" s="97"/>
      <c r="B910" s="41"/>
      <c r="C910" s="94"/>
      <c r="D910" s="140"/>
      <c r="E910" s="41"/>
      <c r="F910" s="126"/>
      <c r="G910" s="127"/>
      <c r="H910" s="41"/>
      <c r="I910" s="95"/>
      <c r="J910" s="41"/>
      <c r="K910" s="41"/>
      <c r="L910" s="95"/>
      <c r="M910" s="128"/>
      <c r="N910" s="41"/>
      <c r="O910" s="42"/>
      <c r="P910" s="52"/>
      <c r="Q910" s="41"/>
      <c r="R910" s="42"/>
      <c r="S910" s="129"/>
      <c r="T910" s="41"/>
      <c r="U910" s="42"/>
      <c r="V910" s="41"/>
      <c r="W910" s="41"/>
      <c r="X910" s="42"/>
      <c r="Y910" s="97"/>
      <c r="Z910" s="41"/>
      <c r="AA910" s="94"/>
    </row>
    <row r="911" spans="1:27" x14ac:dyDescent="0.2">
      <c r="A911" s="97"/>
      <c r="B911" s="41"/>
      <c r="C911" s="94"/>
      <c r="D911" s="140"/>
      <c r="E911" s="41"/>
      <c r="F911" s="126"/>
      <c r="G911" s="127"/>
      <c r="H911" s="41"/>
      <c r="I911" s="95"/>
      <c r="J911" s="41"/>
      <c r="K911" s="41"/>
      <c r="L911" s="95"/>
      <c r="M911" s="128"/>
      <c r="N911" s="41"/>
      <c r="O911" s="42"/>
      <c r="P911" s="52"/>
      <c r="Q911" s="41"/>
      <c r="R911" s="42"/>
      <c r="S911" s="129"/>
      <c r="T911" s="41"/>
      <c r="U911" s="42"/>
      <c r="V911" s="41"/>
      <c r="W911" s="41"/>
      <c r="X911" s="42"/>
      <c r="Y911" s="97"/>
      <c r="Z911" s="41"/>
      <c r="AA911" s="94"/>
    </row>
    <row r="912" spans="1:27" x14ac:dyDescent="0.2">
      <c r="A912" s="97"/>
      <c r="B912" s="41"/>
      <c r="C912" s="94"/>
      <c r="D912" s="140"/>
      <c r="E912" s="41"/>
      <c r="F912" s="126"/>
      <c r="G912" s="127"/>
      <c r="H912" s="41"/>
      <c r="I912" s="95"/>
      <c r="J912" s="41"/>
      <c r="K912" s="41"/>
      <c r="L912" s="95"/>
      <c r="M912" s="128"/>
      <c r="N912" s="41"/>
      <c r="O912" s="42"/>
      <c r="P912" s="52"/>
      <c r="Q912" s="41"/>
      <c r="R912" s="42"/>
      <c r="S912" s="129"/>
      <c r="T912" s="41"/>
      <c r="U912" s="42"/>
      <c r="V912" s="41"/>
      <c r="W912" s="41"/>
      <c r="X912" s="42"/>
      <c r="Y912" s="97"/>
      <c r="Z912" s="41"/>
      <c r="AA912" s="94"/>
    </row>
    <row r="913" spans="1:27" x14ac:dyDescent="0.2">
      <c r="A913" s="97"/>
      <c r="B913" s="41"/>
      <c r="C913" s="94"/>
      <c r="D913" s="140"/>
      <c r="E913" s="41"/>
      <c r="F913" s="126"/>
      <c r="G913" s="127"/>
      <c r="H913" s="41"/>
      <c r="I913" s="95"/>
      <c r="J913" s="41"/>
      <c r="K913" s="41"/>
      <c r="L913" s="95"/>
      <c r="M913" s="128"/>
      <c r="N913" s="41"/>
      <c r="O913" s="42"/>
      <c r="P913" s="52"/>
      <c r="Q913" s="41"/>
      <c r="R913" s="42"/>
      <c r="S913" s="129"/>
      <c r="T913" s="41"/>
      <c r="U913" s="42"/>
      <c r="V913" s="41"/>
      <c r="W913" s="41"/>
      <c r="X913" s="42"/>
      <c r="Y913" s="97"/>
      <c r="Z913" s="41"/>
      <c r="AA913" s="94"/>
    </row>
    <row r="914" spans="1:27" x14ac:dyDescent="0.2">
      <c r="A914" s="96"/>
      <c r="B914" s="44"/>
      <c r="C914" s="91"/>
      <c r="D914" s="139"/>
      <c r="E914" s="44"/>
      <c r="F914" s="122"/>
      <c r="G914" s="123"/>
      <c r="H914" s="44"/>
      <c r="I914" s="93"/>
      <c r="J914" s="44"/>
      <c r="K914" s="44"/>
      <c r="L914" s="93"/>
      <c r="M914" s="124"/>
      <c r="N914" s="44"/>
      <c r="O914" s="92"/>
      <c r="P914" s="110"/>
      <c r="Q914" s="44"/>
      <c r="R914" s="92"/>
      <c r="S914" s="125"/>
      <c r="T914" s="44"/>
      <c r="U914" s="92"/>
      <c r="V914" s="44"/>
      <c r="W914" s="44"/>
      <c r="X914" s="92"/>
      <c r="Y914" s="96"/>
      <c r="Z914" s="44"/>
      <c r="AA914" s="91"/>
    </row>
    <row r="915" spans="1:27" x14ac:dyDescent="0.2">
      <c r="A915" s="96"/>
      <c r="B915" s="44"/>
      <c r="C915" s="91"/>
      <c r="D915" s="139"/>
      <c r="E915" s="44"/>
      <c r="F915" s="122"/>
      <c r="G915" s="123"/>
      <c r="H915" s="44"/>
      <c r="I915" s="93"/>
      <c r="J915" s="44"/>
      <c r="K915" s="44"/>
      <c r="L915" s="93"/>
      <c r="M915" s="124"/>
      <c r="N915" s="44"/>
      <c r="O915" s="92"/>
      <c r="P915" s="110"/>
      <c r="Q915" s="44"/>
      <c r="R915" s="92"/>
      <c r="S915" s="125"/>
      <c r="T915" s="44"/>
      <c r="U915" s="92"/>
      <c r="V915" s="44"/>
      <c r="W915" s="44"/>
      <c r="X915" s="92"/>
      <c r="Y915" s="96"/>
      <c r="Z915" s="44"/>
      <c r="AA915" s="91"/>
    </row>
    <row r="916" spans="1:27" x14ac:dyDescent="0.2">
      <c r="A916" s="96"/>
      <c r="B916" s="44"/>
      <c r="C916" s="91"/>
      <c r="D916" s="139"/>
      <c r="E916" s="44"/>
      <c r="F916" s="122"/>
      <c r="G916" s="123"/>
      <c r="H916" s="44"/>
      <c r="I916" s="93"/>
      <c r="J916" s="44"/>
      <c r="K916" s="44"/>
      <c r="L916" s="93"/>
      <c r="M916" s="124"/>
      <c r="N916" s="44"/>
      <c r="O916" s="92"/>
      <c r="P916" s="110"/>
      <c r="Q916" s="44"/>
      <c r="R916" s="92"/>
      <c r="S916" s="125"/>
      <c r="T916" s="44"/>
      <c r="U916" s="92"/>
      <c r="V916" s="44"/>
      <c r="W916" s="44"/>
      <c r="X916" s="92"/>
      <c r="Y916" s="96"/>
      <c r="Z916" s="44"/>
      <c r="AA916" s="91"/>
    </row>
    <row r="917" spans="1:27" x14ac:dyDescent="0.2">
      <c r="A917" s="96"/>
      <c r="B917" s="44"/>
      <c r="C917" s="91"/>
      <c r="D917" s="139"/>
      <c r="E917" s="44"/>
      <c r="F917" s="122"/>
      <c r="G917" s="123"/>
      <c r="H917" s="44"/>
      <c r="I917" s="93"/>
      <c r="J917" s="44"/>
      <c r="K917" s="44"/>
      <c r="L917" s="93"/>
      <c r="M917" s="124"/>
      <c r="N917" s="44"/>
      <c r="O917" s="92"/>
      <c r="P917" s="110"/>
      <c r="Q917" s="44"/>
      <c r="R917" s="92"/>
      <c r="S917" s="125"/>
      <c r="T917" s="44"/>
      <c r="U917" s="92"/>
      <c r="V917" s="44"/>
      <c r="W917" s="44"/>
      <c r="X917" s="92"/>
      <c r="Y917" s="96"/>
      <c r="Z917" s="44"/>
      <c r="AA917" s="91"/>
    </row>
    <row r="918" spans="1:27" x14ac:dyDescent="0.2">
      <c r="A918" s="96"/>
      <c r="B918" s="44"/>
      <c r="C918" s="91"/>
      <c r="D918" s="139"/>
      <c r="E918" s="44"/>
      <c r="F918" s="122"/>
      <c r="G918" s="123"/>
      <c r="H918" s="44"/>
      <c r="I918" s="93"/>
      <c r="J918" s="44"/>
      <c r="K918" s="44"/>
      <c r="L918" s="93"/>
      <c r="M918" s="124"/>
      <c r="N918" s="44"/>
      <c r="O918" s="92"/>
      <c r="P918" s="110"/>
      <c r="Q918" s="44"/>
      <c r="R918" s="92"/>
      <c r="S918" s="125"/>
      <c r="T918" s="44"/>
      <c r="U918" s="92"/>
      <c r="V918" s="44"/>
      <c r="W918" s="44"/>
      <c r="X918" s="92"/>
      <c r="Y918" s="96"/>
      <c r="Z918" s="44"/>
      <c r="AA918" s="91"/>
    </row>
    <row r="919" spans="1:27" x14ac:dyDescent="0.2">
      <c r="A919" s="97"/>
      <c r="B919" s="41"/>
      <c r="C919" s="94"/>
      <c r="D919" s="140"/>
      <c r="E919" s="41"/>
      <c r="F919" s="126"/>
      <c r="G919" s="127"/>
      <c r="H919" s="41"/>
      <c r="I919" s="95"/>
      <c r="J919" s="41"/>
      <c r="K919" s="41"/>
      <c r="L919" s="95"/>
      <c r="M919" s="128"/>
      <c r="N919" s="41"/>
      <c r="O919" s="42"/>
      <c r="P919" s="52"/>
      <c r="Q919" s="41"/>
      <c r="R919" s="42"/>
      <c r="S919" s="129"/>
      <c r="T919" s="41"/>
      <c r="U919" s="42"/>
      <c r="V919" s="41"/>
      <c r="W919" s="41"/>
      <c r="X919" s="42"/>
      <c r="Y919" s="97"/>
      <c r="Z919" s="41"/>
      <c r="AA919" s="94"/>
    </row>
    <row r="920" spans="1:27" x14ac:dyDescent="0.2">
      <c r="A920" s="96"/>
      <c r="B920" s="44"/>
      <c r="C920" s="91"/>
      <c r="D920" s="139"/>
      <c r="E920" s="44"/>
      <c r="F920" s="122"/>
      <c r="G920" s="123"/>
      <c r="H920" s="44"/>
      <c r="I920" s="93"/>
      <c r="J920" s="44"/>
      <c r="K920" s="44"/>
      <c r="L920" s="93"/>
      <c r="M920" s="124"/>
      <c r="N920" s="44"/>
      <c r="O920" s="92"/>
      <c r="P920" s="110"/>
      <c r="Q920" s="44"/>
      <c r="R920" s="92"/>
      <c r="S920" s="125"/>
      <c r="T920" s="44"/>
      <c r="U920" s="92"/>
      <c r="V920" s="44"/>
      <c r="W920" s="44"/>
      <c r="X920" s="92"/>
      <c r="Y920" s="96"/>
      <c r="Z920" s="44"/>
      <c r="AA920" s="91"/>
    </row>
    <row r="921" spans="1:27" x14ac:dyDescent="0.2">
      <c r="A921" s="97"/>
      <c r="B921" s="41"/>
      <c r="C921" s="94"/>
      <c r="D921" s="140"/>
      <c r="E921" s="41"/>
      <c r="F921" s="126"/>
      <c r="G921" s="127"/>
      <c r="H921" s="41"/>
      <c r="I921" s="95"/>
      <c r="J921" s="41"/>
      <c r="K921" s="41"/>
      <c r="L921" s="95"/>
      <c r="M921" s="128"/>
      <c r="N921" s="41"/>
      <c r="O921" s="42"/>
      <c r="P921" s="52"/>
      <c r="Q921" s="41"/>
      <c r="R921" s="42"/>
      <c r="S921" s="129"/>
      <c r="T921" s="41"/>
      <c r="U921" s="42"/>
      <c r="V921" s="41"/>
      <c r="W921" s="41"/>
      <c r="X921" s="42"/>
      <c r="Y921" s="97"/>
      <c r="Z921" s="41"/>
      <c r="AA921" s="94"/>
    </row>
    <row r="922" spans="1:27" x14ac:dyDescent="0.2">
      <c r="A922" s="96"/>
      <c r="B922" s="44"/>
      <c r="C922" s="91"/>
      <c r="D922" s="139"/>
      <c r="E922" s="44"/>
      <c r="F922" s="122"/>
      <c r="G922" s="123"/>
      <c r="H922" s="44"/>
      <c r="I922" s="93"/>
      <c r="J922" s="44"/>
      <c r="K922" s="44"/>
      <c r="L922" s="93"/>
      <c r="M922" s="124"/>
      <c r="N922" s="44"/>
      <c r="O922" s="92"/>
      <c r="P922" s="110"/>
      <c r="Q922" s="44"/>
      <c r="R922" s="92"/>
      <c r="S922" s="125"/>
      <c r="T922" s="44"/>
      <c r="U922" s="92"/>
      <c r="V922" s="44"/>
      <c r="W922" s="44"/>
      <c r="X922" s="92"/>
      <c r="Y922" s="96"/>
      <c r="Z922" s="44"/>
      <c r="AA922" s="91"/>
    </row>
    <row r="923" spans="1:27" x14ac:dyDescent="0.2">
      <c r="A923" s="96"/>
      <c r="B923" s="44"/>
      <c r="C923" s="91"/>
      <c r="D923" s="139"/>
      <c r="E923" s="44"/>
      <c r="F923" s="122"/>
      <c r="G923" s="123"/>
      <c r="H923" s="44"/>
      <c r="I923" s="93"/>
      <c r="J923" s="44"/>
      <c r="K923" s="44"/>
      <c r="L923" s="93"/>
      <c r="M923" s="124"/>
      <c r="N923" s="44"/>
      <c r="O923" s="92"/>
      <c r="P923" s="110"/>
      <c r="Q923" s="44"/>
      <c r="R923" s="92"/>
      <c r="S923" s="125"/>
      <c r="T923" s="44"/>
      <c r="U923" s="92"/>
      <c r="V923" s="44"/>
      <c r="W923" s="44"/>
      <c r="X923" s="92"/>
      <c r="Y923" s="96"/>
      <c r="Z923" s="44"/>
      <c r="AA923" s="91"/>
    </row>
    <row r="924" spans="1:27" x14ac:dyDescent="0.2">
      <c r="A924" s="97"/>
      <c r="B924" s="41"/>
      <c r="C924" s="94"/>
      <c r="D924" s="140"/>
      <c r="E924" s="41"/>
      <c r="F924" s="126"/>
      <c r="G924" s="127"/>
      <c r="H924" s="41"/>
      <c r="I924" s="95"/>
      <c r="J924" s="41"/>
      <c r="K924" s="41"/>
      <c r="L924" s="95"/>
      <c r="M924" s="128"/>
      <c r="N924" s="41"/>
      <c r="O924" s="42"/>
      <c r="P924" s="52"/>
      <c r="Q924" s="41"/>
      <c r="R924" s="42"/>
      <c r="S924" s="129"/>
      <c r="T924" s="41"/>
      <c r="U924" s="42"/>
      <c r="V924" s="41"/>
      <c r="W924" s="41"/>
      <c r="X924" s="42"/>
      <c r="Y924" s="97"/>
      <c r="Z924" s="41"/>
      <c r="AA924" s="94"/>
    </row>
    <row r="925" spans="1:27" x14ac:dyDescent="0.2">
      <c r="A925" s="96"/>
      <c r="B925" s="44"/>
      <c r="C925" s="91"/>
      <c r="D925" s="139"/>
      <c r="E925" s="44"/>
      <c r="F925" s="122"/>
      <c r="G925" s="123"/>
      <c r="H925" s="44"/>
      <c r="I925" s="93"/>
      <c r="J925" s="44"/>
      <c r="K925" s="44"/>
      <c r="L925" s="93"/>
      <c r="M925" s="124"/>
      <c r="N925" s="44"/>
      <c r="O925" s="92"/>
      <c r="P925" s="110"/>
      <c r="Q925" s="44"/>
      <c r="R925" s="92"/>
      <c r="S925" s="125"/>
      <c r="T925" s="44"/>
      <c r="U925" s="92"/>
      <c r="V925" s="44"/>
      <c r="W925" s="44"/>
      <c r="X925" s="92"/>
      <c r="Y925" s="96"/>
      <c r="Z925" s="44"/>
      <c r="AA925" s="91"/>
    </row>
    <row r="926" spans="1:27" x14ac:dyDescent="0.2">
      <c r="A926" s="96"/>
      <c r="B926" s="44"/>
      <c r="C926" s="91"/>
      <c r="D926" s="139"/>
      <c r="E926" s="44"/>
      <c r="F926" s="122"/>
      <c r="G926" s="123"/>
      <c r="H926" s="44"/>
      <c r="I926" s="93"/>
      <c r="J926" s="44"/>
      <c r="K926" s="44"/>
      <c r="L926" s="93"/>
      <c r="M926" s="124"/>
      <c r="N926" s="44"/>
      <c r="O926" s="92"/>
      <c r="P926" s="110"/>
      <c r="Q926" s="44"/>
      <c r="R926" s="92"/>
      <c r="S926" s="125"/>
      <c r="T926" s="44"/>
      <c r="U926" s="92"/>
      <c r="V926" s="44"/>
      <c r="W926" s="44"/>
      <c r="X926" s="92"/>
      <c r="Y926" s="96"/>
      <c r="Z926" s="44"/>
      <c r="AA926" s="91"/>
    </row>
    <row r="927" spans="1:27" x14ac:dyDescent="0.2">
      <c r="A927" s="97"/>
      <c r="B927" s="41"/>
      <c r="C927" s="94"/>
      <c r="D927" s="140"/>
      <c r="E927" s="41"/>
      <c r="F927" s="126"/>
      <c r="G927" s="127"/>
      <c r="H927" s="41"/>
      <c r="I927" s="95"/>
      <c r="J927" s="41"/>
      <c r="K927" s="41"/>
      <c r="L927" s="95"/>
      <c r="M927" s="128"/>
      <c r="N927" s="41"/>
      <c r="O927" s="42"/>
      <c r="P927" s="52"/>
      <c r="Q927" s="41"/>
      <c r="R927" s="42"/>
      <c r="S927" s="129"/>
      <c r="T927" s="41"/>
      <c r="U927" s="42"/>
      <c r="V927" s="41"/>
      <c r="W927" s="41"/>
      <c r="X927" s="42"/>
      <c r="Y927" s="97"/>
      <c r="Z927" s="41"/>
      <c r="AA927" s="94"/>
    </row>
    <row r="928" spans="1:27" x14ac:dyDescent="0.2">
      <c r="A928" s="97"/>
      <c r="B928" s="41"/>
      <c r="C928" s="94"/>
      <c r="D928" s="140"/>
      <c r="E928" s="41"/>
      <c r="F928" s="126"/>
      <c r="G928" s="127"/>
      <c r="H928" s="41"/>
      <c r="I928" s="95"/>
      <c r="J928" s="41"/>
      <c r="K928" s="41"/>
      <c r="L928" s="95"/>
      <c r="M928" s="128"/>
      <c r="N928" s="41"/>
      <c r="O928" s="42"/>
      <c r="P928" s="52"/>
      <c r="Q928" s="41"/>
      <c r="R928" s="42"/>
      <c r="S928" s="129"/>
      <c r="T928" s="41"/>
      <c r="U928" s="42"/>
      <c r="V928" s="41"/>
      <c r="W928" s="41"/>
      <c r="X928" s="42"/>
      <c r="Y928" s="97"/>
      <c r="Z928" s="41"/>
      <c r="AA928" s="94"/>
    </row>
    <row r="929" spans="1:27" x14ac:dyDescent="0.2">
      <c r="A929" s="96"/>
      <c r="B929" s="44"/>
      <c r="C929" s="91"/>
      <c r="D929" s="139"/>
      <c r="E929" s="44"/>
      <c r="F929" s="122"/>
      <c r="G929" s="123"/>
      <c r="H929" s="44"/>
      <c r="I929" s="93"/>
      <c r="J929" s="44"/>
      <c r="K929" s="44"/>
      <c r="L929" s="93"/>
      <c r="M929" s="124"/>
      <c r="N929" s="44"/>
      <c r="O929" s="92"/>
      <c r="P929" s="110"/>
      <c r="Q929" s="44"/>
      <c r="R929" s="92"/>
      <c r="S929" s="125"/>
      <c r="T929" s="44"/>
      <c r="U929" s="92"/>
      <c r="V929" s="44"/>
      <c r="W929" s="44"/>
      <c r="X929" s="92"/>
      <c r="Y929" s="96"/>
      <c r="Z929" s="44"/>
      <c r="AA929" s="91"/>
    </row>
    <row r="930" spans="1:27" x14ac:dyDescent="0.2">
      <c r="A930" s="96"/>
      <c r="B930" s="44"/>
      <c r="C930" s="91"/>
      <c r="D930" s="139"/>
      <c r="E930" s="44"/>
      <c r="F930" s="122"/>
      <c r="G930" s="123"/>
      <c r="H930" s="44"/>
      <c r="I930" s="93"/>
      <c r="J930" s="44"/>
      <c r="K930" s="44"/>
      <c r="L930" s="93"/>
      <c r="M930" s="124"/>
      <c r="N930" s="44"/>
      <c r="O930" s="92"/>
      <c r="P930" s="110"/>
      <c r="Q930" s="44"/>
      <c r="R930" s="92"/>
      <c r="S930" s="125"/>
      <c r="T930" s="44"/>
      <c r="U930" s="92"/>
      <c r="V930" s="44"/>
      <c r="W930" s="44"/>
      <c r="X930" s="92"/>
      <c r="Y930" s="96"/>
      <c r="Z930" s="44"/>
      <c r="AA930" s="91"/>
    </row>
    <row r="931" spans="1:27" x14ac:dyDescent="0.2">
      <c r="A931" s="97"/>
      <c r="B931" s="41"/>
      <c r="C931" s="94"/>
      <c r="D931" s="140"/>
      <c r="E931" s="41"/>
      <c r="F931" s="126"/>
      <c r="G931" s="127"/>
      <c r="H931" s="41"/>
      <c r="I931" s="95"/>
      <c r="J931" s="41"/>
      <c r="K931" s="41"/>
      <c r="L931" s="95"/>
      <c r="M931" s="128"/>
      <c r="N931" s="41"/>
      <c r="O931" s="42"/>
      <c r="P931" s="52"/>
      <c r="Q931" s="41"/>
      <c r="R931" s="42"/>
      <c r="S931" s="129"/>
      <c r="T931" s="41"/>
      <c r="U931" s="42"/>
      <c r="V931" s="41"/>
      <c r="W931" s="41"/>
      <c r="X931" s="42"/>
      <c r="Y931" s="97"/>
      <c r="Z931" s="41"/>
      <c r="AA931" s="94"/>
    </row>
    <row r="932" spans="1:27" x14ac:dyDescent="0.2">
      <c r="A932" s="87"/>
      <c r="B932" s="87"/>
      <c r="C932" s="88"/>
      <c r="D932" s="138"/>
      <c r="E932" s="87"/>
      <c r="F932" s="118"/>
      <c r="G932" s="119"/>
      <c r="H932" s="87"/>
      <c r="I932" s="90"/>
      <c r="J932" s="87"/>
      <c r="K932" s="87"/>
      <c r="L932" s="90"/>
      <c r="M932" s="120"/>
      <c r="N932" s="87"/>
      <c r="O932" s="89"/>
      <c r="P932" s="130"/>
      <c r="Q932" s="87"/>
      <c r="R932" s="89"/>
      <c r="S932" s="121"/>
      <c r="T932" s="87"/>
      <c r="U932" s="89"/>
      <c r="V932" s="87"/>
      <c r="W932" s="87"/>
      <c r="X932" s="89"/>
      <c r="Y932" s="87"/>
      <c r="Z932" s="87"/>
      <c r="AA932" s="88"/>
    </row>
    <row r="933" spans="1:27" x14ac:dyDescent="0.2">
      <c r="A933" s="44"/>
      <c r="B933" s="44"/>
      <c r="C933" s="91"/>
      <c r="D933" s="139"/>
      <c r="E933" s="44"/>
      <c r="F933" s="122"/>
      <c r="G933" s="123"/>
      <c r="H933" s="44"/>
      <c r="I933" s="93"/>
      <c r="J933" s="44"/>
      <c r="K933" s="44"/>
      <c r="L933" s="93"/>
      <c r="M933" s="124"/>
      <c r="N933" s="44"/>
      <c r="O933" s="92"/>
      <c r="P933" s="110"/>
      <c r="Q933" s="44"/>
      <c r="R933" s="92"/>
      <c r="S933" s="125"/>
      <c r="T933" s="44"/>
      <c r="U933" s="92"/>
      <c r="V933" s="44"/>
      <c r="W933" s="44"/>
      <c r="X933" s="92"/>
      <c r="Y933" s="44"/>
      <c r="Z933" s="44"/>
      <c r="AA933" s="91"/>
    </row>
    <row r="934" spans="1:27" x14ac:dyDescent="0.2">
      <c r="A934" s="41"/>
      <c r="B934" s="41"/>
      <c r="C934" s="94"/>
      <c r="D934" s="140"/>
      <c r="E934" s="41"/>
      <c r="F934" s="126"/>
      <c r="G934" s="127"/>
      <c r="H934" s="41"/>
      <c r="I934" s="95"/>
      <c r="J934" s="41"/>
      <c r="K934" s="41"/>
      <c r="L934" s="95"/>
      <c r="M934" s="128"/>
      <c r="N934" s="41"/>
      <c r="O934" s="42"/>
      <c r="P934" s="52"/>
      <c r="Q934" s="41"/>
      <c r="R934" s="42"/>
      <c r="S934" s="129"/>
      <c r="T934" s="41"/>
      <c r="U934" s="42"/>
      <c r="V934" s="41"/>
      <c r="W934" s="41"/>
      <c r="X934" s="42"/>
      <c r="Y934" s="41"/>
      <c r="Z934" s="41"/>
      <c r="AA934" s="94"/>
    </row>
    <row r="935" spans="1:27" x14ac:dyDescent="0.2">
      <c r="A935" s="44"/>
      <c r="B935" s="44"/>
      <c r="C935" s="91"/>
      <c r="D935" s="139"/>
      <c r="E935" s="44"/>
      <c r="F935" s="122"/>
      <c r="G935" s="123"/>
      <c r="H935" s="44"/>
      <c r="I935" s="93"/>
      <c r="J935" s="44"/>
      <c r="K935" s="44"/>
      <c r="L935" s="93"/>
      <c r="M935" s="124"/>
      <c r="N935" s="44"/>
      <c r="O935" s="92"/>
      <c r="P935" s="110"/>
      <c r="Q935" s="44"/>
      <c r="R935" s="92"/>
      <c r="S935" s="125"/>
      <c r="T935" s="44"/>
      <c r="U935" s="92"/>
      <c r="V935" s="44"/>
      <c r="W935" s="44"/>
      <c r="X935" s="92"/>
      <c r="Y935" s="44"/>
      <c r="Z935" s="44"/>
      <c r="AA935" s="91"/>
    </row>
    <row r="936" spans="1:27" x14ac:dyDescent="0.2">
      <c r="A936" s="87"/>
      <c r="B936" s="87"/>
      <c r="C936" s="88"/>
      <c r="D936" s="138"/>
      <c r="E936" s="87"/>
      <c r="F936" s="118"/>
      <c r="G936" s="119"/>
      <c r="H936" s="87"/>
      <c r="I936" s="90"/>
      <c r="J936" s="87"/>
      <c r="K936" s="87"/>
      <c r="L936" s="90"/>
      <c r="M936" s="120"/>
      <c r="N936" s="87"/>
      <c r="O936" s="89"/>
      <c r="P936" s="87"/>
      <c r="Q936" s="87"/>
      <c r="R936" s="89"/>
      <c r="S936" s="121"/>
      <c r="T936" s="87"/>
      <c r="U936" s="89"/>
      <c r="V936" s="87"/>
      <c r="W936" s="87"/>
      <c r="X936" s="89"/>
      <c r="Y936" s="87"/>
      <c r="Z936" s="87"/>
      <c r="AA936" s="88"/>
    </row>
    <row r="937" spans="1:27" x14ac:dyDescent="0.2">
      <c r="A937" s="44"/>
      <c r="B937" s="44"/>
      <c r="C937" s="91"/>
      <c r="D937" s="139"/>
      <c r="E937" s="44"/>
      <c r="F937" s="122"/>
      <c r="G937" s="123"/>
      <c r="H937" s="44"/>
      <c r="I937" s="93"/>
      <c r="J937" s="44"/>
      <c r="K937" s="44"/>
      <c r="L937" s="93"/>
      <c r="M937" s="124"/>
      <c r="N937" s="44"/>
      <c r="O937" s="92"/>
      <c r="P937" s="110"/>
      <c r="Q937" s="44"/>
      <c r="R937" s="92"/>
      <c r="S937" s="125"/>
      <c r="T937" s="44"/>
      <c r="U937" s="92"/>
      <c r="V937" s="44"/>
      <c r="W937" s="44"/>
      <c r="X937" s="92"/>
      <c r="Y937" s="44"/>
      <c r="Z937" s="44"/>
      <c r="AA937" s="91"/>
    </row>
    <row r="938" spans="1:27" x14ac:dyDescent="0.2">
      <c r="A938" s="41"/>
      <c r="B938" s="41"/>
      <c r="C938" s="94"/>
      <c r="D938" s="140"/>
      <c r="E938" s="41"/>
      <c r="F938" s="126"/>
      <c r="G938" s="127"/>
      <c r="H938" s="41"/>
      <c r="I938" s="95"/>
      <c r="J938" s="41"/>
      <c r="K938" s="41"/>
      <c r="L938" s="95"/>
      <c r="M938" s="128"/>
      <c r="N938" s="41"/>
      <c r="O938" s="42"/>
      <c r="P938" s="52"/>
      <c r="Q938" s="41"/>
      <c r="R938" s="42"/>
      <c r="S938" s="129"/>
      <c r="T938" s="41"/>
      <c r="U938" s="42"/>
      <c r="V938" s="41"/>
      <c r="W938" s="41"/>
      <c r="X938" s="42"/>
      <c r="Y938" s="41"/>
      <c r="Z938" s="41"/>
      <c r="AA938" s="94"/>
    </row>
    <row r="939" spans="1:27" x14ac:dyDescent="0.2">
      <c r="A939" s="44"/>
      <c r="B939" s="44"/>
      <c r="C939" s="91"/>
      <c r="D939" s="139"/>
      <c r="E939" s="44"/>
      <c r="F939" s="122"/>
      <c r="G939" s="123"/>
      <c r="H939" s="44"/>
      <c r="I939" s="93"/>
      <c r="J939" s="44"/>
      <c r="K939" s="44"/>
      <c r="L939" s="93"/>
      <c r="M939" s="124"/>
      <c r="N939" s="44"/>
      <c r="O939" s="92"/>
      <c r="P939" s="110"/>
      <c r="Q939" s="44"/>
      <c r="R939" s="92"/>
      <c r="S939" s="125"/>
      <c r="T939" s="44"/>
      <c r="U939" s="92"/>
      <c r="V939" s="44"/>
      <c r="W939" s="44"/>
      <c r="X939" s="92"/>
      <c r="Y939" s="44"/>
      <c r="Z939" s="44"/>
      <c r="AA939" s="91"/>
    </row>
    <row r="940" spans="1:27" x14ac:dyDescent="0.2">
      <c r="A940" s="41"/>
      <c r="B940" s="41"/>
      <c r="C940" s="94"/>
      <c r="D940" s="140"/>
      <c r="E940" s="41"/>
      <c r="F940" s="126"/>
      <c r="G940" s="127"/>
      <c r="H940" s="41"/>
      <c r="I940" s="95"/>
      <c r="J940" s="41"/>
      <c r="K940" s="41"/>
      <c r="L940" s="95"/>
      <c r="M940" s="128"/>
      <c r="N940" s="41"/>
      <c r="O940" s="42"/>
      <c r="P940" s="52"/>
      <c r="Q940" s="41"/>
      <c r="R940" s="42"/>
      <c r="S940" s="129"/>
      <c r="T940" s="41"/>
      <c r="U940" s="42"/>
      <c r="V940" s="41"/>
      <c r="W940" s="41"/>
      <c r="X940" s="42"/>
      <c r="Y940" s="41"/>
      <c r="Z940" s="41"/>
      <c r="AA940" s="94"/>
    </row>
    <row r="941" spans="1:27" x14ac:dyDescent="0.2">
      <c r="A941" s="44"/>
      <c r="B941" s="44"/>
      <c r="C941" s="91"/>
      <c r="D941" s="139"/>
      <c r="E941" s="44"/>
      <c r="F941" s="122"/>
      <c r="G941" s="123"/>
      <c r="H941" s="44"/>
      <c r="I941" s="93"/>
      <c r="J941" s="44"/>
      <c r="K941" s="44"/>
      <c r="L941" s="93"/>
      <c r="M941" s="124"/>
      <c r="N941" s="44"/>
      <c r="O941" s="92"/>
      <c r="P941" s="110"/>
      <c r="Q941" s="44"/>
      <c r="R941" s="92"/>
      <c r="S941" s="125"/>
      <c r="T941" s="44"/>
      <c r="U941" s="92"/>
      <c r="V941" s="44"/>
      <c r="W941" s="44"/>
      <c r="X941" s="92"/>
      <c r="Y941" s="44"/>
      <c r="Z941" s="44"/>
      <c r="AA941" s="91"/>
    </row>
    <row r="942" spans="1:27" x14ac:dyDescent="0.2">
      <c r="A942" s="41"/>
      <c r="B942" s="41"/>
      <c r="C942" s="94"/>
      <c r="D942" s="140"/>
      <c r="E942" s="41"/>
      <c r="F942" s="126"/>
      <c r="G942" s="127"/>
      <c r="H942" s="41"/>
      <c r="I942" s="95"/>
      <c r="J942" s="41"/>
      <c r="K942" s="41"/>
      <c r="L942" s="95"/>
      <c r="M942" s="128"/>
      <c r="N942" s="41"/>
      <c r="O942" s="42"/>
      <c r="P942" s="52"/>
      <c r="Q942" s="41"/>
      <c r="R942" s="42"/>
      <c r="S942" s="129"/>
      <c r="T942" s="41"/>
      <c r="U942" s="42"/>
      <c r="V942" s="41"/>
      <c r="W942" s="41"/>
      <c r="X942" s="42"/>
      <c r="Y942" s="41"/>
      <c r="Z942" s="41"/>
      <c r="AA942" s="94"/>
    </row>
    <row r="943" spans="1:27" x14ac:dyDescent="0.2">
      <c r="A943" s="44"/>
      <c r="B943" s="44"/>
      <c r="C943" s="91"/>
      <c r="D943" s="139"/>
      <c r="E943" s="44"/>
      <c r="F943" s="122"/>
      <c r="G943" s="123"/>
      <c r="H943" s="44"/>
      <c r="I943" s="93"/>
      <c r="J943" s="44"/>
      <c r="K943" s="44"/>
      <c r="L943" s="93"/>
      <c r="M943" s="124"/>
      <c r="N943" s="44"/>
      <c r="O943" s="92"/>
      <c r="P943" s="110"/>
      <c r="Q943" s="44"/>
      <c r="R943" s="92"/>
      <c r="S943" s="125"/>
      <c r="T943" s="44"/>
      <c r="U943" s="92"/>
      <c r="V943" s="44"/>
      <c r="W943" s="44"/>
      <c r="X943" s="92"/>
      <c r="Y943" s="44"/>
      <c r="Z943" s="44"/>
      <c r="AA943" s="91"/>
    </row>
    <row r="944" spans="1:27" x14ac:dyDescent="0.2">
      <c r="A944" s="41"/>
      <c r="B944" s="41"/>
      <c r="C944" s="94"/>
      <c r="D944" s="140"/>
      <c r="E944" s="41"/>
      <c r="F944" s="126"/>
      <c r="G944" s="127"/>
      <c r="H944" s="41"/>
      <c r="I944" s="95"/>
      <c r="J944" s="41"/>
      <c r="K944" s="41"/>
      <c r="L944" s="95"/>
      <c r="M944" s="128"/>
      <c r="N944" s="41"/>
      <c r="O944" s="42"/>
      <c r="P944" s="52"/>
      <c r="Q944" s="41"/>
      <c r="R944" s="42"/>
      <c r="S944" s="129"/>
      <c r="T944" s="41"/>
      <c r="U944" s="42"/>
      <c r="V944" s="41"/>
      <c r="W944" s="41"/>
      <c r="X944" s="42"/>
      <c r="Y944" s="41"/>
      <c r="Z944" s="41"/>
      <c r="AA944" s="94"/>
    </row>
    <row r="945" spans="1:27" x14ac:dyDescent="0.2">
      <c r="A945" s="44"/>
      <c r="B945" s="44"/>
      <c r="C945" s="91"/>
      <c r="D945" s="139"/>
      <c r="E945" s="44"/>
      <c r="F945" s="122"/>
      <c r="G945" s="123"/>
      <c r="H945" s="44"/>
      <c r="I945" s="93"/>
      <c r="J945" s="44"/>
      <c r="K945" s="44"/>
      <c r="L945" s="93"/>
      <c r="M945" s="124"/>
      <c r="N945" s="44"/>
      <c r="O945" s="92"/>
      <c r="P945" s="110"/>
      <c r="Q945" s="44"/>
      <c r="R945" s="92"/>
      <c r="S945" s="125"/>
      <c r="T945" s="44"/>
      <c r="U945" s="92"/>
      <c r="V945" s="44"/>
      <c r="W945" s="44"/>
      <c r="X945" s="92"/>
      <c r="Y945" s="44"/>
      <c r="Z945" s="44"/>
      <c r="AA945" s="91"/>
    </row>
    <row r="946" spans="1:27" x14ac:dyDescent="0.2">
      <c r="A946" s="41"/>
      <c r="B946" s="41"/>
      <c r="C946" s="94"/>
      <c r="D946" s="140"/>
      <c r="E946" s="41"/>
      <c r="F946" s="126"/>
      <c r="G946" s="127"/>
      <c r="H946" s="41"/>
      <c r="I946" s="95"/>
      <c r="J946" s="41"/>
      <c r="K946" s="41"/>
      <c r="L946" s="95"/>
      <c r="M946" s="128"/>
      <c r="N946" s="41"/>
      <c r="O946" s="42"/>
      <c r="P946" s="52"/>
      <c r="Q946" s="41"/>
      <c r="R946" s="42"/>
      <c r="S946" s="129"/>
      <c r="T946" s="41"/>
      <c r="U946" s="42"/>
      <c r="V946" s="41"/>
      <c r="W946" s="41"/>
      <c r="X946" s="42"/>
      <c r="Y946" s="41"/>
      <c r="Z946" s="41"/>
      <c r="AA946" s="94"/>
    </row>
    <row r="947" spans="1:27" x14ac:dyDescent="0.2">
      <c r="A947" s="44"/>
      <c r="B947" s="44"/>
      <c r="C947" s="91"/>
      <c r="D947" s="139"/>
      <c r="E947" s="44"/>
      <c r="F947" s="122"/>
      <c r="G947" s="123"/>
      <c r="H947" s="44"/>
      <c r="I947" s="93"/>
      <c r="J947" s="44"/>
      <c r="K947" s="44"/>
      <c r="L947" s="93"/>
      <c r="M947" s="124"/>
      <c r="N947" s="44"/>
      <c r="O947" s="92"/>
      <c r="P947" s="110"/>
      <c r="Q947" s="44"/>
      <c r="R947" s="92"/>
      <c r="S947" s="125"/>
      <c r="T947" s="44"/>
      <c r="U947" s="92"/>
      <c r="V947" s="44"/>
      <c r="W947" s="44"/>
      <c r="X947" s="92"/>
      <c r="Y947" s="44"/>
      <c r="Z947" s="44"/>
      <c r="AA947" s="91"/>
    </row>
    <row r="948" spans="1:27" x14ac:dyDescent="0.2">
      <c r="A948" s="41"/>
      <c r="B948" s="41"/>
      <c r="C948" s="94"/>
      <c r="D948" s="140"/>
      <c r="E948" s="41"/>
      <c r="F948" s="126"/>
      <c r="G948" s="127"/>
      <c r="H948" s="41"/>
      <c r="I948" s="95"/>
      <c r="J948" s="41"/>
      <c r="K948" s="41"/>
      <c r="L948" s="95"/>
      <c r="M948" s="128"/>
      <c r="N948" s="41"/>
      <c r="O948" s="42"/>
      <c r="P948" s="52"/>
      <c r="Q948" s="41"/>
      <c r="R948" s="42"/>
      <c r="S948" s="129"/>
      <c r="T948" s="41"/>
      <c r="U948" s="42"/>
      <c r="V948" s="41"/>
      <c r="W948" s="41"/>
      <c r="X948" s="42"/>
      <c r="Y948" s="41"/>
      <c r="Z948" s="41"/>
      <c r="AA948" s="94"/>
    </row>
    <row r="949" spans="1:27" x14ac:dyDescent="0.2">
      <c r="A949" s="44"/>
      <c r="B949" s="44"/>
      <c r="C949" s="91"/>
      <c r="D949" s="139"/>
      <c r="E949" s="44"/>
      <c r="F949" s="122"/>
      <c r="G949" s="123"/>
      <c r="H949" s="44"/>
      <c r="I949" s="93"/>
      <c r="J949" s="44"/>
      <c r="K949" s="44"/>
      <c r="L949" s="93"/>
      <c r="M949" s="124"/>
      <c r="N949" s="44"/>
      <c r="O949" s="92"/>
      <c r="P949" s="110"/>
      <c r="Q949" s="44"/>
      <c r="R949" s="92"/>
      <c r="S949" s="125"/>
      <c r="T949" s="44"/>
      <c r="U949" s="92"/>
      <c r="V949" s="44"/>
      <c r="W949" s="44"/>
      <c r="X949" s="92"/>
      <c r="Y949" s="44"/>
      <c r="Z949" s="44"/>
      <c r="AA949" s="91"/>
    </row>
    <row r="950" spans="1:27" x14ac:dyDescent="0.2">
      <c r="A950" s="41"/>
      <c r="B950" s="41"/>
      <c r="C950" s="94"/>
      <c r="D950" s="140"/>
      <c r="E950" s="41"/>
      <c r="F950" s="126"/>
      <c r="G950" s="127"/>
      <c r="H950" s="41"/>
      <c r="I950" s="95"/>
      <c r="J950" s="41"/>
      <c r="K950" s="41"/>
      <c r="L950" s="95"/>
      <c r="M950" s="128"/>
      <c r="N950" s="41"/>
      <c r="O950" s="42"/>
      <c r="P950" s="52"/>
      <c r="Q950" s="41"/>
      <c r="R950" s="42"/>
      <c r="S950" s="129"/>
      <c r="T950" s="41"/>
      <c r="U950" s="42"/>
      <c r="V950" s="41"/>
      <c r="W950" s="41"/>
      <c r="X950" s="42"/>
      <c r="Y950" s="41"/>
      <c r="Z950" s="41"/>
      <c r="AA950" s="94"/>
    </row>
    <row r="951" spans="1:27" x14ac:dyDescent="0.2">
      <c r="A951" s="44"/>
      <c r="B951" s="44"/>
      <c r="C951" s="91"/>
      <c r="D951" s="139"/>
      <c r="E951" s="44"/>
      <c r="F951" s="122"/>
      <c r="G951" s="123"/>
      <c r="H951" s="44"/>
      <c r="I951" s="93"/>
      <c r="J951" s="44"/>
      <c r="K951" s="44"/>
      <c r="L951" s="93"/>
      <c r="M951" s="124"/>
      <c r="N951" s="44"/>
      <c r="O951" s="92"/>
      <c r="P951" s="110"/>
      <c r="Q951" s="44"/>
      <c r="R951" s="92"/>
      <c r="S951" s="125"/>
      <c r="T951" s="44"/>
      <c r="U951" s="92"/>
      <c r="V951" s="44"/>
      <c r="W951" s="44"/>
      <c r="X951" s="92"/>
      <c r="Y951" s="44"/>
      <c r="Z951" s="44"/>
      <c r="AA951" s="91"/>
    </row>
    <row r="952" spans="1:27" x14ac:dyDescent="0.2">
      <c r="A952" s="41"/>
      <c r="B952" s="41"/>
      <c r="C952" s="94"/>
      <c r="D952" s="140"/>
      <c r="E952" s="41"/>
      <c r="F952" s="126"/>
      <c r="G952" s="127"/>
      <c r="H952" s="41"/>
      <c r="I952" s="95"/>
      <c r="J952" s="41"/>
      <c r="K952" s="41"/>
      <c r="L952" s="95"/>
      <c r="M952" s="128"/>
      <c r="N952" s="41"/>
      <c r="O952" s="42"/>
      <c r="P952" s="52"/>
      <c r="Q952" s="41"/>
      <c r="R952" s="42"/>
      <c r="S952" s="129"/>
      <c r="T952" s="41"/>
      <c r="U952" s="42"/>
      <c r="V952" s="41"/>
      <c r="W952" s="41"/>
      <c r="X952" s="42"/>
      <c r="Y952" s="41"/>
      <c r="Z952" s="41"/>
      <c r="AA952" s="94"/>
    </row>
    <row r="953" spans="1:27" x14ac:dyDescent="0.2">
      <c r="A953" s="44"/>
      <c r="B953" s="44"/>
      <c r="C953" s="91"/>
      <c r="D953" s="139"/>
      <c r="E953" s="44"/>
      <c r="F953" s="122"/>
      <c r="G953" s="123"/>
      <c r="H953" s="44"/>
      <c r="I953" s="93"/>
      <c r="J953" s="44"/>
      <c r="K953" s="44"/>
      <c r="L953" s="93"/>
      <c r="M953" s="124"/>
      <c r="N953" s="44"/>
      <c r="O953" s="92"/>
      <c r="P953" s="110"/>
      <c r="Q953" s="44"/>
      <c r="R953" s="92"/>
      <c r="S953" s="125"/>
      <c r="T953" s="44"/>
      <c r="U953" s="92"/>
      <c r="V953" s="44"/>
      <c r="W953" s="44"/>
      <c r="X953" s="92"/>
      <c r="Y953" s="44"/>
      <c r="Z953" s="44"/>
      <c r="AA953" s="91"/>
    </row>
    <row r="954" spans="1:27" x14ac:dyDescent="0.2">
      <c r="A954" s="41"/>
      <c r="B954" s="41"/>
      <c r="C954" s="94"/>
      <c r="D954" s="140"/>
      <c r="E954" s="41"/>
      <c r="F954" s="127"/>
      <c r="G954" s="127"/>
      <c r="H954" s="41"/>
      <c r="I954" s="95"/>
      <c r="J954" s="41"/>
      <c r="K954" s="41"/>
      <c r="L954" s="95"/>
      <c r="M954" s="128"/>
      <c r="N954" s="41"/>
      <c r="O954" s="42"/>
      <c r="P954" s="52"/>
      <c r="Q954" s="41"/>
      <c r="R954" s="42"/>
      <c r="S954" s="129"/>
      <c r="T954" s="41"/>
      <c r="U954" s="42"/>
      <c r="V954" s="41"/>
      <c r="W954" s="41"/>
      <c r="X954" s="42"/>
      <c r="Y954" s="41"/>
      <c r="Z954" s="41"/>
      <c r="AA954" s="94"/>
    </row>
    <row r="955" spans="1:27" x14ac:dyDescent="0.2">
      <c r="A955" s="44"/>
      <c r="B955" s="44"/>
      <c r="C955" s="91"/>
      <c r="D955" s="139"/>
      <c r="E955" s="44"/>
      <c r="F955" s="122"/>
      <c r="G955" s="123"/>
      <c r="H955" s="44"/>
      <c r="I955" s="93"/>
      <c r="J955" s="44"/>
      <c r="K955" s="44"/>
      <c r="L955" s="93"/>
      <c r="M955" s="124"/>
      <c r="N955" s="44"/>
      <c r="O955" s="92"/>
      <c r="P955" s="110"/>
      <c r="Q955" s="44"/>
      <c r="R955" s="92"/>
      <c r="S955" s="125"/>
      <c r="T955" s="44"/>
      <c r="U955" s="92"/>
      <c r="V955" s="44"/>
      <c r="W955" s="44"/>
      <c r="X955" s="92"/>
      <c r="Y955" s="44"/>
      <c r="Z955" s="44"/>
      <c r="AA955" s="91"/>
    </row>
    <row r="956" spans="1:27" x14ac:dyDescent="0.2">
      <c r="A956" s="41"/>
      <c r="B956" s="41"/>
      <c r="C956" s="94"/>
      <c r="D956" s="140"/>
      <c r="E956" s="41"/>
      <c r="F956" s="126"/>
      <c r="G956" s="127"/>
      <c r="H956" s="41"/>
      <c r="I956" s="95"/>
      <c r="J956" s="41"/>
      <c r="K956" s="41"/>
      <c r="L956" s="95"/>
      <c r="M956" s="128"/>
      <c r="N956" s="41"/>
      <c r="O956" s="42"/>
      <c r="P956" s="52"/>
      <c r="Q956" s="41"/>
      <c r="R956" s="42"/>
      <c r="S956" s="129"/>
      <c r="T956" s="41"/>
      <c r="U956" s="42"/>
      <c r="V956" s="41"/>
      <c r="W956" s="41"/>
      <c r="X956" s="42"/>
      <c r="Y956" s="41"/>
      <c r="Z956" s="41"/>
      <c r="AA956" s="94"/>
    </row>
    <row r="957" spans="1:27" x14ac:dyDescent="0.2">
      <c r="A957" s="44"/>
      <c r="B957" s="44"/>
      <c r="C957" s="91"/>
      <c r="D957" s="139"/>
      <c r="E957" s="44"/>
      <c r="F957" s="122"/>
      <c r="G957" s="123"/>
      <c r="H957" s="44"/>
      <c r="I957" s="93"/>
      <c r="J957" s="44"/>
      <c r="K957" s="44"/>
      <c r="L957" s="93"/>
      <c r="M957" s="124"/>
      <c r="N957" s="44"/>
      <c r="O957" s="92"/>
      <c r="P957" s="110"/>
      <c r="Q957" s="44"/>
      <c r="R957" s="92"/>
      <c r="S957" s="125"/>
      <c r="T957" s="44"/>
      <c r="U957" s="92"/>
      <c r="V957" s="44"/>
      <c r="W957" s="44"/>
      <c r="X957" s="92"/>
      <c r="Y957" s="44"/>
      <c r="Z957" s="44"/>
      <c r="AA957" s="91"/>
    </row>
    <row r="958" spans="1:27" x14ac:dyDescent="0.2">
      <c r="A958" s="41"/>
      <c r="B958" s="41"/>
      <c r="C958" s="94"/>
      <c r="D958" s="140"/>
      <c r="E958" s="41"/>
      <c r="F958" s="126"/>
      <c r="G958" s="127"/>
      <c r="H958" s="41"/>
      <c r="I958" s="95"/>
      <c r="J958" s="41"/>
      <c r="K958" s="41"/>
      <c r="L958" s="95"/>
      <c r="M958" s="128"/>
      <c r="N958" s="41"/>
      <c r="O958" s="42"/>
      <c r="P958" s="52"/>
      <c r="Q958" s="41"/>
      <c r="R958" s="42"/>
      <c r="S958" s="129"/>
      <c r="T958" s="41"/>
      <c r="U958" s="42"/>
      <c r="V958" s="41"/>
      <c r="W958" s="41"/>
      <c r="X958" s="42"/>
      <c r="Y958" s="41"/>
      <c r="Z958" s="41"/>
      <c r="AA958" s="94"/>
    </row>
    <row r="959" spans="1:27" x14ac:dyDescent="0.2">
      <c r="A959" s="44"/>
      <c r="B959" s="44"/>
      <c r="C959" s="91"/>
      <c r="D959" s="139"/>
      <c r="E959" s="44"/>
      <c r="F959" s="122"/>
      <c r="G959" s="123"/>
      <c r="H959" s="44"/>
      <c r="I959" s="93"/>
      <c r="J959" s="44"/>
      <c r="K959" s="44"/>
      <c r="L959" s="93"/>
      <c r="M959" s="124"/>
      <c r="N959" s="44"/>
      <c r="O959" s="92"/>
      <c r="P959" s="110"/>
      <c r="Q959" s="44"/>
      <c r="R959" s="92"/>
      <c r="S959" s="125"/>
      <c r="T959" s="44"/>
      <c r="U959" s="92"/>
      <c r="V959" s="44"/>
      <c r="W959" s="44"/>
      <c r="X959" s="92"/>
      <c r="Y959" s="44"/>
      <c r="Z959" s="44"/>
      <c r="AA959" s="91"/>
    </row>
    <row r="960" spans="1:27" x14ac:dyDescent="0.2">
      <c r="A960" s="41"/>
      <c r="B960" s="41"/>
      <c r="C960" s="94"/>
      <c r="D960" s="140"/>
      <c r="E960" s="41"/>
      <c r="F960" s="126"/>
      <c r="G960" s="127"/>
      <c r="H960" s="41"/>
      <c r="I960" s="95"/>
      <c r="J960" s="41"/>
      <c r="K960" s="41"/>
      <c r="L960" s="95"/>
      <c r="M960" s="128"/>
      <c r="N960" s="41"/>
      <c r="O960" s="42"/>
      <c r="P960" s="52"/>
      <c r="Q960" s="41"/>
      <c r="R960" s="42"/>
      <c r="S960" s="129"/>
      <c r="T960" s="41"/>
      <c r="U960" s="42"/>
      <c r="V960" s="41"/>
      <c r="W960" s="41"/>
      <c r="X960" s="42"/>
      <c r="Y960" s="41"/>
      <c r="Z960" s="41"/>
      <c r="AA960" s="94"/>
    </row>
    <row r="961" spans="1:27" x14ac:dyDescent="0.2">
      <c r="A961" s="44"/>
      <c r="B961" s="44"/>
      <c r="C961" s="91"/>
      <c r="D961" s="139"/>
      <c r="E961" s="44"/>
      <c r="F961" s="122"/>
      <c r="G961" s="123"/>
      <c r="H961" s="44"/>
      <c r="I961" s="93"/>
      <c r="J961" s="44"/>
      <c r="K961" s="44"/>
      <c r="L961" s="93"/>
      <c r="M961" s="124"/>
      <c r="N961" s="44"/>
      <c r="O961" s="92"/>
      <c r="P961" s="110"/>
      <c r="Q961" s="44"/>
      <c r="R961" s="92"/>
      <c r="S961" s="125"/>
      <c r="T961" s="44"/>
      <c r="U961" s="92"/>
      <c r="V961" s="44"/>
      <c r="W961" s="44"/>
      <c r="X961" s="92"/>
      <c r="Y961" s="44"/>
      <c r="Z961" s="44"/>
      <c r="AA961" s="91"/>
    </row>
    <row r="962" spans="1:27" x14ac:dyDescent="0.2">
      <c r="A962" s="96"/>
      <c r="B962" s="44"/>
      <c r="C962" s="91"/>
      <c r="D962" s="139"/>
      <c r="E962" s="44"/>
      <c r="F962" s="122"/>
      <c r="G962" s="123"/>
      <c r="H962" s="44"/>
      <c r="I962" s="93"/>
      <c r="J962" s="44"/>
      <c r="K962" s="44"/>
      <c r="L962" s="93"/>
      <c r="M962" s="124"/>
      <c r="N962" s="44"/>
      <c r="O962" s="92"/>
      <c r="P962" s="110"/>
      <c r="Q962" s="44"/>
      <c r="R962" s="92"/>
      <c r="S962" s="125"/>
      <c r="T962" s="44"/>
      <c r="U962" s="92"/>
      <c r="V962" s="44"/>
      <c r="W962" s="44"/>
      <c r="X962" s="92"/>
      <c r="Y962" s="96"/>
      <c r="Z962" s="44"/>
      <c r="AA962" s="91"/>
    </row>
    <row r="963" spans="1:27" x14ac:dyDescent="0.2">
      <c r="A963" s="97"/>
      <c r="B963" s="41"/>
      <c r="C963" s="94"/>
      <c r="D963" s="140"/>
      <c r="E963" s="41"/>
      <c r="F963" s="126"/>
      <c r="G963" s="127"/>
      <c r="H963" s="41"/>
      <c r="I963" s="95"/>
      <c r="J963" s="41"/>
      <c r="K963" s="41"/>
      <c r="L963" s="95"/>
      <c r="M963" s="128"/>
      <c r="N963" s="41"/>
      <c r="O963" s="42"/>
      <c r="P963" s="52"/>
      <c r="Q963" s="41"/>
      <c r="R963" s="42"/>
      <c r="S963" s="129"/>
      <c r="T963" s="41"/>
      <c r="U963" s="42"/>
      <c r="V963" s="41"/>
      <c r="W963" s="41"/>
      <c r="X963" s="42"/>
      <c r="Y963" s="97"/>
      <c r="Z963" s="41"/>
      <c r="AA963" s="94"/>
    </row>
    <row r="964" spans="1:27" x14ac:dyDescent="0.2">
      <c r="A964" s="96"/>
      <c r="B964" s="44"/>
      <c r="C964" s="91"/>
      <c r="D964" s="139"/>
      <c r="E964" s="44"/>
      <c r="F964" s="122"/>
      <c r="G964" s="123"/>
      <c r="H964" s="44"/>
      <c r="I964" s="93"/>
      <c r="J964" s="44"/>
      <c r="K964" s="44"/>
      <c r="L964" s="93"/>
      <c r="M964" s="124"/>
      <c r="N964" s="44"/>
      <c r="O964" s="92"/>
      <c r="P964" s="110"/>
      <c r="Q964" s="44"/>
      <c r="R964" s="92"/>
      <c r="S964" s="125"/>
      <c r="T964" s="44"/>
      <c r="U964" s="92"/>
      <c r="V964" s="44"/>
      <c r="W964" s="44"/>
      <c r="X964" s="92"/>
      <c r="Y964" s="96"/>
      <c r="Z964" s="44"/>
      <c r="AA964" s="91"/>
    </row>
    <row r="965" spans="1:27" x14ac:dyDescent="0.2">
      <c r="A965" s="97"/>
      <c r="B965" s="41"/>
      <c r="C965" s="94"/>
      <c r="D965" s="140"/>
      <c r="E965" s="41"/>
      <c r="F965" s="126"/>
      <c r="G965" s="127"/>
      <c r="H965" s="41"/>
      <c r="I965" s="95"/>
      <c r="J965" s="41"/>
      <c r="K965" s="41"/>
      <c r="L965" s="95"/>
      <c r="M965" s="128"/>
      <c r="N965" s="41"/>
      <c r="O965" s="42"/>
      <c r="P965" s="52"/>
      <c r="Q965" s="41"/>
      <c r="R965" s="42"/>
      <c r="S965" s="129"/>
      <c r="T965" s="41"/>
      <c r="U965" s="42"/>
      <c r="V965" s="41"/>
      <c r="W965" s="41"/>
      <c r="X965" s="42"/>
      <c r="Y965" s="97"/>
      <c r="Z965" s="41"/>
      <c r="AA965" s="94"/>
    </row>
    <row r="966" spans="1:27" x14ac:dyDescent="0.2">
      <c r="A966" s="97"/>
      <c r="B966" s="41"/>
      <c r="C966" s="94"/>
      <c r="D966" s="140"/>
      <c r="E966" s="41"/>
      <c r="F966" s="126"/>
      <c r="G966" s="127"/>
      <c r="H966" s="41"/>
      <c r="I966" s="95"/>
      <c r="J966" s="41"/>
      <c r="K966" s="41"/>
      <c r="L966" s="95"/>
      <c r="M966" s="128"/>
      <c r="N966" s="41"/>
      <c r="O966" s="42"/>
      <c r="P966" s="52"/>
      <c r="Q966" s="41"/>
      <c r="R966" s="42"/>
      <c r="S966" s="129"/>
      <c r="T966" s="41"/>
      <c r="U966" s="42"/>
      <c r="V966" s="41"/>
      <c r="W966" s="41"/>
      <c r="X966" s="42"/>
      <c r="Y966" s="97"/>
      <c r="Z966" s="41"/>
      <c r="AA966" s="94"/>
    </row>
    <row r="967" spans="1:27" x14ac:dyDescent="0.2">
      <c r="A967" s="97"/>
      <c r="B967" s="41"/>
      <c r="C967" s="94"/>
      <c r="D967" s="140"/>
      <c r="E967" s="41"/>
      <c r="F967" s="126"/>
      <c r="G967" s="127"/>
      <c r="H967" s="41"/>
      <c r="I967" s="95"/>
      <c r="J967" s="41"/>
      <c r="K967" s="41"/>
      <c r="L967" s="95"/>
      <c r="M967" s="128"/>
      <c r="N967" s="41"/>
      <c r="O967" s="42"/>
      <c r="P967" s="52"/>
      <c r="Q967" s="41"/>
      <c r="R967" s="42"/>
      <c r="S967" s="129"/>
      <c r="T967" s="41"/>
      <c r="U967" s="42"/>
      <c r="V967" s="41"/>
      <c r="W967" s="41"/>
      <c r="X967" s="42"/>
      <c r="Y967" s="97"/>
      <c r="Z967" s="41"/>
      <c r="AA967" s="94"/>
    </row>
    <row r="968" spans="1:27" x14ac:dyDescent="0.2">
      <c r="A968" s="97"/>
      <c r="B968" s="41"/>
      <c r="C968" s="94"/>
      <c r="D968" s="140"/>
      <c r="E968" s="41"/>
      <c r="F968" s="126"/>
      <c r="G968" s="127"/>
      <c r="H968" s="41"/>
      <c r="I968" s="95"/>
      <c r="J968" s="41"/>
      <c r="K968" s="41"/>
      <c r="L968" s="95"/>
      <c r="M968" s="128"/>
      <c r="N968" s="41"/>
      <c r="O968" s="42"/>
      <c r="P968" s="52"/>
      <c r="Q968" s="41"/>
      <c r="R968" s="42"/>
      <c r="S968" s="129"/>
      <c r="T968" s="41"/>
      <c r="U968" s="42"/>
      <c r="V968" s="41"/>
      <c r="W968" s="41"/>
      <c r="X968" s="42"/>
      <c r="Y968" s="97"/>
      <c r="Z968" s="41"/>
      <c r="AA968" s="94"/>
    </row>
    <row r="969" spans="1:27" x14ac:dyDescent="0.2">
      <c r="A969" s="96"/>
      <c r="B969" s="44"/>
      <c r="C969" s="91"/>
      <c r="D969" s="139"/>
      <c r="E969" s="44"/>
      <c r="F969" s="122"/>
      <c r="G969" s="123"/>
      <c r="H969" s="44"/>
      <c r="I969" s="93"/>
      <c r="J969" s="44"/>
      <c r="K969" s="44"/>
      <c r="L969" s="93"/>
      <c r="M969" s="124"/>
      <c r="N969" s="44"/>
      <c r="O969" s="92"/>
      <c r="P969" s="110"/>
      <c r="Q969" s="44"/>
      <c r="R969" s="92"/>
      <c r="S969" s="125"/>
      <c r="T969" s="44"/>
      <c r="U969" s="92"/>
      <c r="V969" s="44"/>
      <c r="W969" s="44"/>
      <c r="X969" s="92"/>
      <c r="Y969" s="96"/>
      <c r="Z969" s="44"/>
      <c r="AA969" s="91"/>
    </row>
    <row r="970" spans="1:27" x14ac:dyDescent="0.2">
      <c r="A970" s="96"/>
      <c r="B970" s="44"/>
      <c r="C970" s="91"/>
      <c r="D970" s="139"/>
      <c r="E970" s="44"/>
      <c r="F970" s="122"/>
      <c r="G970" s="123"/>
      <c r="H970" s="44"/>
      <c r="I970" s="93"/>
      <c r="J970" s="44"/>
      <c r="K970" s="44"/>
      <c r="L970" s="93"/>
      <c r="M970" s="124"/>
      <c r="N970" s="44"/>
      <c r="O970" s="92"/>
      <c r="P970" s="110"/>
      <c r="Q970" s="44"/>
      <c r="R970" s="92"/>
      <c r="S970" s="125"/>
      <c r="T970" s="44"/>
      <c r="U970" s="92"/>
      <c r="V970" s="44"/>
      <c r="W970" s="44"/>
      <c r="X970" s="92"/>
      <c r="Y970" s="96"/>
      <c r="Z970" s="44"/>
      <c r="AA970" s="91"/>
    </row>
    <row r="971" spans="1:27" x14ac:dyDescent="0.2">
      <c r="A971" s="96"/>
      <c r="B971" s="44"/>
      <c r="C971" s="91"/>
      <c r="D971" s="139"/>
      <c r="E971" s="44"/>
      <c r="F971" s="122"/>
      <c r="G971" s="123"/>
      <c r="H971" s="44"/>
      <c r="I971" s="93"/>
      <c r="J971" s="44"/>
      <c r="K971" s="44"/>
      <c r="L971" s="93"/>
      <c r="M971" s="124"/>
      <c r="N971" s="44"/>
      <c r="O971" s="92"/>
      <c r="P971" s="110"/>
      <c r="Q971" s="44"/>
      <c r="R971" s="92"/>
      <c r="S971" s="125"/>
      <c r="T971" s="44"/>
      <c r="U971" s="92"/>
      <c r="V971" s="44"/>
      <c r="W971" s="44"/>
      <c r="X971" s="92"/>
      <c r="Y971" s="96"/>
      <c r="Z971" s="44"/>
      <c r="AA971" s="91"/>
    </row>
    <row r="972" spans="1:27" x14ac:dyDescent="0.2">
      <c r="A972" s="96"/>
      <c r="B972" s="44"/>
      <c r="C972" s="91"/>
      <c r="D972" s="139"/>
      <c r="E972" s="44"/>
      <c r="F972" s="122"/>
      <c r="G972" s="123"/>
      <c r="H972" s="44"/>
      <c r="I972" s="93"/>
      <c r="J972" s="44"/>
      <c r="K972" s="44"/>
      <c r="L972" s="93"/>
      <c r="M972" s="124"/>
      <c r="N972" s="44"/>
      <c r="O972" s="92"/>
      <c r="P972" s="110"/>
      <c r="Q972" s="44"/>
      <c r="R972" s="92"/>
      <c r="S972" s="125"/>
      <c r="T972" s="44"/>
      <c r="U972" s="92"/>
      <c r="V972" s="44"/>
      <c r="W972" s="44"/>
      <c r="X972" s="92"/>
      <c r="Y972" s="96"/>
      <c r="Z972" s="44"/>
      <c r="AA972" s="91"/>
    </row>
    <row r="973" spans="1:27" x14ac:dyDescent="0.2">
      <c r="A973" s="96"/>
      <c r="B973" s="44"/>
      <c r="C973" s="91"/>
      <c r="D973" s="139"/>
      <c r="E973" s="44"/>
      <c r="F973" s="122"/>
      <c r="G973" s="123"/>
      <c r="H973" s="44"/>
      <c r="I973" s="93"/>
      <c r="J973" s="44"/>
      <c r="K973" s="44"/>
      <c r="L973" s="93"/>
      <c r="M973" s="124"/>
      <c r="N973" s="44"/>
      <c r="O973" s="92"/>
      <c r="P973" s="110"/>
      <c r="Q973" s="44"/>
      <c r="R973" s="92"/>
      <c r="S973" s="125"/>
      <c r="T973" s="44"/>
      <c r="U973" s="92"/>
      <c r="V973" s="44"/>
      <c r="W973" s="44"/>
      <c r="X973" s="92"/>
      <c r="Y973" s="96"/>
      <c r="Z973" s="44"/>
      <c r="AA973" s="91"/>
    </row>
    <row r="974" spans="1:27" x14ac:dyDescent="0.2">
      <c r="A974" s="97"/>
      <c r="B974" s="41"/>
      <c r="C974" s="94"/>
      <c r="D974" s="140"/>
      <c r="E974" s="41"/>
      <c r="F974" s="126"/>
      <c r="G974" s="127"/>
      <c r="H974" s="41"/>
      <c r="I974" s="95"/>
      <c r="J974" s="41"/>
      <c r="K974" s="41"/>
      <c r="L974" s="95"/>
      <c r="M974" s="128"/>
      <c r="N974" s="41"/>
      <c r="O974" s="42"/>
      <c r="P974" s="52"/>
      <c r="Q974" s="41"/>
      <c r="R974" s="42"/>
      <c r="S974" s="129"/>
      <c r="T974" s="41"/>
      <c r="U974" s="42"/>
      <c r="V974" s="41"/>
      <c r="W974" s="41"/>
      <c r="X974" s="42"/>
      <c r="Y974" s="97"/>
      <c r="Z974" s="41"/>
      <c r="AA974" s="94"/>
    </row>
    <row r="975" spans="1:27" x14ac:dyDescent="0.2">
      <c r="A975" s="96"/>
      <c r="B975" s="44"/>
      <c r="C975" s="91"/>
      <c r="D975" s="139"/>
      <c r="E975" s="44"/>
      <c r="F975" s="122"/>
      <c r="G975" s="123"/>
      <c r="H975" s="44"/>
      <c r="I975" s="93"/>
      <c r="J975" s="44"/>
      <c r="K975" s="44"/>
      <c r="L975" s="93"/>
      <c r="M975" s="124"/>
      <c r="N975" s="44"/>
      <c r="O975" s="92"/>
      <c r="P975" s="110"/>
      <c r="Q975" s="44"/>
      <c r="R975" s="92"/>
      <c r="S975" s="125"/>
      <c r="T975" s="44"/>
      <c r="U975" s="92"/>
      <c r="V975" s="44"/>
      <c r="W975" s="44"/>
      <c r="X975" s="92"/>
      <c r="Y975" s="96"/>
      <c r="Z975" s="44"/>
      <c r="AA975" s="91"/>
    </row>
    <row r="976" spans="1:27" x14ac:dyDescent="0.2">
      <c r="A976" s="97"/>
      <c r="B976" s="41"/>
      <c r="C976" s="94"/>
      <c r="D976" s="140"/>
      <c r="E976" s="41"/>
      <c r="F976" s="126"/>
      <c r="G976" s="127"/>
      <c r="H976" s="41"/>
      <c r="I976" s="95"/>
      <c r="J976" s="41"/>
      <c r="K976" s="41"/>
      <c r="L976" s="95"/>
      <c r="M976" s="128"/>
      <c r="N976" s="41"/>
      <c r="O976" s="42"/>
      <c r="P976" s="52"/>
      <c r="Q976" s="41"/>
      <c r="R976" s="42"/>
      <c r="S976" s="129"/>
      <c r="T976" s="41"/>
      <c r="U976" s="42"/>
      <c r="V976" s="41"/>
      <c r="W976" s="41"/>
      <c r="X976" s="42"/>
      <c r="Y976" s="97"/>
      <c r="Z976" s="41"/>
      <c r="AA976" s="94"/>
    </row>
    <row r="977" spans="1:27" x14ac:dyDescent="0.2">
      <c r="A977" s="96"/>
      <c r="B977" s="44"/>
      <c r="C977" s="91"/>
      <c r="D977" s="139"/>
      <c r="E977" s="44"/>
      <c r="F977" s="122"/>
      <c r="G977" s="123"/>
      <c r="H977" s="44"/>
      <c r="I977" s="93"/>
      <c r="J977" s="44"/>
      <c r="K977" s="44"/>
      <c r="L977" s="93"/>
      <c r="M977" s="124"/>
      <c r="N977" s="44"/>
      <c r="O977" s="92"/>
      <c r="P977" s="110"/>
      <c r="Q977" s="44"/>
      <c r="R977" s="92"/>
      <c r="S977" s="125"/>
      <c r="T977" s="44"/>
      <c r="U977" s="92"/>
      <c r="V977" s="44"/>
      <c r="W977" s="44"/>
      <c r="X977" s="92"/>
      <c r="Y977" s="96"/>
      <c r="Z977" s="44"/>
      <c r="AA977" s="91"/>
    </row>
    <row r="978" spans="1:27" x14ac:dyDescent="0.2">
      <c r="A978" s="96"/>
      <c r="B978" s="44"/>
      <c r="C978" s="91"/>
      <c r="D978" s="139"/>
      <c r="E978" s="44"/>
      <c r="F978" s="122"/>
      <c r="G978" s="123"/>
      <c r="H978" s="44"/>
      <c r="I978" s="93"/>
      <c r="J978" s="44"/>
      <c r="K978" s="44"/>
      <c r="L978" s="93"/>
      <c r="M978" s="124"/>
      <c r="N978" s="44"/>
      <c r="O978" s="92"/>
      <c r="P978" s="110"/>
      <c r="Q978" s="44"/>
      <c r="R978" s="92"/>
      <c r="S978" s="125"/>
      <c r="T978" s="44"/>
      <c r="U978" s="92"/>
      <c r="V978" s="44"/>
      <c r="W978" s="44"/>
      <c r="X978" s="92"/>
      <c r="Y978" s="96"/>
      <c r="Z978" s="44"/>
      <c r="AA978" s="91"/>
    </row>
    <row r="979" spans="1:27" x14ac:dyDescent="0.2">
      <c r="A979" s="97"/>
      <c r="B979" s="41"/>
      <c r="C979" s="94"/>
      <c r="D979" s="140"/>
      <c r="E979" s="41"/>
      <c r="F979" s="126"/>
      <c r="G979" s="127"/>
      <c r="H979" s="41"/>
      <c r="I979" s="95"/>
      <c r="J979" s="41"/>
      <c r="K979" s="41"/>
      <c r="L979" s="95"/>
      <c r="M979" s="128"/>
      <c r="N979" s="41"/>
      <c r="O979" s="42"/>
      <c r="P979" s="52"/>
      <c r="Q979" s="41"/>
      <c r="R979" s="42"/>
      <c r="S979" s="129"/>
      <c r="T979" s="41"/>
      <c r="U979" s="42"/>
      <c r="V979" s="41"/>
      <c r="W979" s="41"/>
      <c r="X979" s="42"/>
      <c r="Y979" s="97"/>
      <c r="Z979" s="41"/>
      <c r="AA979" s="94"/>
    </row>
    <row r="980" spans="1:27" x14ac:dyDescent="0.2">
      <c r="A980" s="96"/>
      <c r="B980" s="44"/>
      <c r="C980" s="91"/>
      <c r="D980" s="139"/>
      <c r="E980" s="44"/>
      <c r="F980" s="122"/>
      <c r="G980" s="123"/>
      <c r="H980" s="44"/>
      <c r="I980" s="93"/>
      <c r="J980" s="44"/>
      <c r="K980" s="44"/>
      <c r="L980" s="93"/>
      <c r="M980" s="124"/>
      <c r="N980" s="44"/>
      <c r="O980" s="92"/>
      <c r="P980" s="110"/>
      <c r="Q980" s="44"/>
      <c r="R980" s="92"/>
      <c r="S980" s="125"/>
      <c r="T980" s="44"/>
      <c r="U980" s="92"/>
      <c r="V980" s="44"/>
      <c r="W980" s="44"/>
      <c r="X980" s="92"/>
      <c r="Y980" s="96"/>
      <c r="Z980" s="44"/>
      <c r="AA980" s="91"/>
    </row>
    <row r="981" spans="1:27" x14ac:dyDescent="0.2">
      <c r="A981" s="96"/>
      <c r="B981" s="44"/>
      <c r="C981" s="91"/>
      <c r="D981" s="139"/>
      <c r="E981" s="44"/>
      <c r="F981" s="122"/>
      <c r="G981" s="123"/>
      <c r="H981" s="44"/>
      <c r="I981" s="93"/>
      <c r="J981" s="44"/>
      <c r="K981" s="44"/>
      <c r="L981" s="93"/>
      <c r="M981" s="124"/>
      <c r="N981" s="44"/>
      <c r="O981" s="92"/>
      <c r="P981" s="110"/>
      <c r="Q981" s="44"/>
      <c r="R981" s="92"/>
      <c r="S981" s="125"/>
      <c r="T981" s="44"/>
      <c r="U981" s="92"/>
      <c r="V981" s="44"/>
      <c r="W981" s="44"/>
      <c r="X981" s="92"/>
      <c r="Y981" s="96"/>
      <c r="Z981" s="44"/>
      <c r="AA981" s="91"/>
    </row>
    <row r="982" spans="1:27" x14ac:dyDescent="0.2">
      <c r="A982" s="97"/>
      <c r="B982" s="41"/>
      <c r="C982" s="94"/>
      <c r="D982" s="140"/>
      <c r="E982" s="41"/>
      <c r="F982" s="126"/>
      <c r="G982" s="127"/>
      <c r="H982" s="41"/>
      <c r="I982" s="95"/>
      <c r="J982" s="41"/>
      <c r="K982" s="41"/>
      <c r="L982" s="95"/>
      <c r="M982" s="128"/>
      <c r="N982" s="41"/>
      <c r="O982" s="42"/>
      <c r="P982" s="52"/>
      <c r="Q982" s="41"/>
      <c r="R982" s="42"/>
      <c r="S982" s="129"/>
      <c r="T982" s="41"/>
      <c r="U982" s="42"/>
      <c r="V982" s="41"/>
      <c r="W982" s="41"/>
      <c r="X982" s="42"/>
      <c r="Y982" s="97"/>
      <c r="Z982" s="41"/>
      <c r="AA982" s="94"/>
    </row>
    <row r="983" spans="1:27" x14ac:dyDescent="0.2">
      <c r="A983" s="97"/>
      <c r="B983" s="41"/>
      <c r="C983" s="94"/>
      <c r="D983" s="140"/>
      <c r="E983" s="41"/>
      <c r="F983" s="126"/>
      <c r="G983" s="127"/>
      <c r="H983" s="41"/>
      <c r="I983" s="95"/>
      <c r="J983" s="41"/>
      <c r="K983" s="41"/>
      <c r="L983" s="95"/>
      <c r="M983" s="128"/>
      <c r="N983" s="41"/>
      <c r="O983" s="42"/>
      <c r="P983" s="52"/>
      <c r="Q983" s="41"/>
      <c r="R983" s="42"/>
      <c r="S983" s="129"/>
      <c r="T983" s="41"/>
      <c r="U983" s="42"/>
      <c r="V983" s="41"/>
      <c r="W983" s="41"/>
      <c r="X983" s="42"/>
      <c r="Y983" s="97"/>
      <c r="Z983" s="41"/>
      <c r="AA983" s="94"/>
    </row>
    <row r="984" spans="1:27" x14ac:dyDescent="0.2">
      <c r="A984" s="96"/>
      <c r="B984" s="44"/>
      <c r="C984" s="91"/>
      <c r="D984" s="139"/>
      <c r="E984" s="44"/>
      <c r="F984" s="122"/>
      <c r="G984" s="123"/>
      <c r="H984" s="44"/>
      <c r="I984" s="93"/>
      <c r="J984" s="44"/>
      <c r="K984" s="44"/>
      <c r="L984" s="93"/>
      <c r="M984" s="124"/>
      <c r="N984" s="44"/>
      <c r="O984" s="92"/>
      <c r="P984" s="110"/>
      <c r="Q984" s="44"/>
      <c r="R984" s="92"/>
      <c r="S984" s="125"/>
      <c r="T984" s="44"/>
      <c r="U984" s="92"/>
      <c r="V984" s="44"/>
      <c r="W984" s="44"/>
      <c r="X984" s="92"/>
      <c r="Y984" s="96"/>
      <c r="Z984" s="44"/>
      <c r="AA984" s="91"/>
    </row>
    <row r="985" spans="1:27" x14ac:dyDescent="0.2">
      <c r="A985" s="96"/>
      <c r="B985" s="44"/>
      <c r="C985" s="91"/>
      <c r="D985" s="139"/>
      <c r="E985" s="44"/>
      <c r="F985" s="122"/>
      <c r="G985" s="123"/>
      <c r="H985" s="44"/>
      <c r="I985" s="93"/>
      <c r="J985" s="44"/>
      <c r="K985" s="44"/>
      <c r="L985" s="93"/>
      <c r="M985" s="124"/>
      <c r="N985" s="44"/>
      <c r="O985" s="92"/>
      <c r="P985" s="110"/>
      <c r="Q985" s="44"/>
      <c r="R985" s="92"/>
      <c r="S985" s="125"/>
      <c r="T985" s="44"/>
      <c r="U985" s="92"/>
      <c r="V985" s="44"/>
      <c r="W985" s="44"/>
      <c r="X985" s="92"/>
      <c r="Y985" s="96"/>
      <c r="Z985" s="44"/>
      <c r="AA985" s="91"/>
    </row>
    <row r="986" spans="1:27" x14ac:dyDescent="0.2">
      <c r="A986" s="97"/>
      <c r="B986" s="41"/>
      <c r="C986" s="94"/>
      <c r="D986" s="140"/>
      <c r="E986" s="41"/>
      <c r="F986" s="126"/>
      <c r="G986" s="127"/>
      <c r="H986" s="41"/>
      <c r="I986" s="95"/>
      <c r="J986" s="41"/>
      <c r="K986" s="41"/>
      <c r="L986" s="95"/>
      <c r="M986" s="128"/>
      <c r="N986" s="41"/>
      <c r="O986" s="42"/>
      <c r="P986" s="52"/>
      <c r="Q986" s="41"/>
      <c r="R986" s="42"/>
      <c r="S986" s="129"/>
      <c r="T986" s="41"/>
      <c r="U986" s="42"/>
      <c r="V986" s="41"/>
      <c r="W986" s="41"/>
      <c r="X986" s="42"/>
      <c r="Y986" s="97"/>
      <c r="Z986" s="41"/>
      <c r="AA986" s="94"/>
    </row>
    <row r="987" spans="1:27" x14ac:dyDescent="0.2">
      <c r="A987" s="87"/>
      <c r="B987" s="87"/>
      <c r="C987" s="88"/>
      <c r="D987" s="138"/>
      <c r="E987" s="87"/>
      <c r="F987" s="118"/>
      <c r="G987" s="119"/>
      <c r="H987" s="87"/>
      <c r="I987" s="90"/>
      <c r="J987" s="87"/>
      <c r="K987" s="87"/>
      <c r="L987" s="90"/>
      <c r="M987" s="120"/>
      <c r="N987" s="87"/>
      <c r="O987" s="89"/>
      <c r="P987" s="130"/>
      <c r="Q987" s="87"/>
      <c r="R987" s="89"/>
      <c r="S987" s="121"/>
      <c r="T987" s="87"/>
      <c r="U987" s="89"/>
      <c r="V987" s="87"/>
      <c r="W987" s="87"/>
      <c r="X987" s="89"/>
      <c r="Y987" s="87"/>
      <c r="Z987" s="87"/>
      <c r="AA987" s="88"/>
    </row>
    <row r="988" spans="1:27" x14ac:dyDescent="0.2">
      <c r="A988" s="44"/>
      <c r="B988" s="44"/>
      <c r="C988" s="91"/>
      <c r="D988" s="139"/>
      <c r="E988" s="44"/>
      <c r="F988" s="122"/>
      <c r="G988" s="123"/>
      <c r="H988" s="44"/>
      <c r="I988" s="93"/>
      <c r="J988" s="44"/>
      <c r="K988" s="44"/>
      <c r="L988" s="93"/>
      <c r="M988" s="124"/>
      <c r="N988" s="44"/>
      <c r="O988" s="92"/>
      <c r="P988" s="110"/>
      <c r="Q988" s="44"/>
      <c r="R988" s="92"/>
      <c r="S988" s="125"/>
      <c r="T988" s="44"/>
      <c r="U988" s="92"/>
      <c r="V988" s="44"/>
      <c r="W988" s="44"/>
      <c r="X988" s="92"/>
      <c r="Y988" s="44"/>
      <c r="Z988" s="44"/>
      <c r="AA988" s="91"/>
    </row>
    <row r="989" spans="1:27" x14ac:dyDescent="0.2">
      <c r="A989" s="41"/>
      <c r="B989" s="41"/>
      <c r="C989" s="94"/>
      <c r="D989" s="140"/>
      <c r="E989" s="41"/>
      <c r="F989" s="126"/>
      <c r="G989" s="127"/>
      <c r="H989" s="41"/>
      <c r="I989" s="95"/>
      <c r="J989" s="41"/>
      <c r="K989" s="41"/>
      <c r="L989" s="95"/>
      <c r="M989" s="128"/>
      <c r="N989" s="41"/>
      <c r="O989" s="42"/>
      <c r="P989" s="52"/>
      <c r="Q989" s="41"/>
      <c r="R989" s="42"/>
      <c r="S989" s="129"/>
      <c r="T989" s="41"/>
      <c r="U989" s="42"/>
      <c r="V989" s="41"/>
      <c r="W989" s="41"/>
      <c r="X989" s="42"/>
      <c r="Y989" s="41"/>
      <c r="Z989" s="41"/>
      <c r="AA989" s="94"/>
    </row>
    <row r="990" spans="1:27" x14ac:dyDescent="0.2">
      <c r="A990" s="44"/>
      <c r="B990" s="44"/>
      <c r="C990" s="91"/>
      <c r="D990" s="139"/>
      <c r="E990" s="44"/>
      <c r="F990" s="122"/>
      <c r="G990" s="123"/>
      <c r="H990" s="44"/>
      <c r="I990" s="93"/>
      <c r="J990" s="44"/>
      <c r="K990" s="44"/>
      <c r="L990" s="93"/>
      <c r="M990" s="124"/>
      <c r="N990" s="44"/>
      <c r="O990" s="92"/>
      <c r="P990" s="110"/>
      <c r="Q990" s="44"/>
      <c r="R990" s="92"/>
      <c r="S990" s="125"/>
      <c r="T990" s="44"/>
      <c r="U990" s="92"/>
      <c r="V990" s="44"/>
      <c r="W990" s="44"/>
      <c r="X990" s="92"/>
      <c r="Y990" s="44"/>
      <c r="Z990" s="44"/>
      <c r="AA990" s="91"/>
    </row>
    <row r="991" spans="1:27" x14ac:dyDescent="0.2">
      <c r="A991" s="87"/>
      <c r="B991" s="87"/>
      <c r="C991" s="88"/>
      <c r="D991" s="138"/>
      <c r="E991" s="87"/>
      <c r="F991" s="118"/>
      <c r="G991" s="119"/>
      <c r="H991" s="87"/>
      <c r="I991" s="90"/>
      <c r="J991" s="87"/>
      <c r="K991" s="87"/>
      <c r="L991" s="90"/>
      <c r="M991" s="120"/>
      <c r="N991" s="87"/>
      <c r="O991" s="89"/>
      <c r="P991" s="87"/>
      <c r="Q991" s="87"/>
      <c r="R991" s="89"/>
      <c r="S991" s="121"/>
      <c r="T991" s="87"/>
      <c r="U991" s="89"/>
      <c r="V991" s="87"/>
      <c r="W991" s="87"/>
      <c r="X991" s="89"/>
      <c r="Y991" s="87"/>
      <c r="Z991" s="87"/>
      <c r="AA991" s="88"/>
    </row>
    <row r="992" spans="1:27" x14ac:dyDescent="0.2">
      <c r="A992" s="44"/>
      <c r="B992" s="44"/>
      <c r="C992" s="91"/>
      <c r="D992" s="139"/>
      <c r="E992" s="44"/>
      <c r="F992" s="122"/>
      <c r="G992" s="123"/>
      <c r="H992" s="44"/>
      <c r="I992" s="93"/>
      <c r="J992" s="44"/>
      <c r="K992" s="44"/>
      <c r="L992" s="93"/>
      <c r="M992" s="124"/>
      <c r="N992" s="44"/>
      <c r="O992" s="92"/>
      <c r="P992" s="110"/>
      <c r="Q992" s="44"/>
      <c r="R992" s="92"/>
      <c r="S992" s="125"/>
      <c r="T992" s="44"/>
      <c r="U992" s="92"/>
      <c r="V992" s="44"/>
      <c r="W992" s="44"/>
      <c r="X992" s="92"/>
      <c r="Y992" s="44"/>
      <c r="Z992" s="44"/>
      <c r="AA992" s="91"/>
    </row>
    <row r="993" spans="1:27" x14ac:dyDescent="0.2">
      <c r="A993" s="41"/>
      <c r="B993" s="41"/>
      <c r="C993" s="94"/>
      <c r="D993" s="140"/>
      <c r="E993" s="41"/>
      <c r="F993" s="126"/>
      <c r="G993" s="127"/>
      <c r="H993" s="41"/>
      <c r="I993" s="95"/>
      <c r="J993" s="41"/>
      <c r="K993" s="41"/>
      <c r="L993" s="95"/>
      <c r="M993" s="128"/>
      <c r="N993" s="41"/>
      <c r="O993" s="42"/>
      <c r="P993" s="52"/>
      <c r="Q993" s="41"/>
      <c r="R993" s="42"/>
      <c r="S993" s="129"/>
      <c r="T993" s="41"/>
      <c r="U993" s="42"/>
      <c r="V993" s="41"/>
      <c r="W993" s="41"/>
      <c r="X993" s="42"/>
      <c r="Y993" s="41"/>
      <c r="Z993" s="41"/>
      <c r="AA993" s="94"/>
    </row>
    <row r="994" spans="1:27" x14ac:dyDescent="0.2">
      <c r="A994" s="44"/>
      <c r="B994" s="44"/>
      <c r="C994" s="91"/>
      <c r="D994" s="139"/>
      <c r="E994" s="44"/>
      <c r="F994" s="122"/>
      <c r="G994" s="123"/>
      <c r="H994" s="44"/>
      <c r="I994" s="93"/>
      <c r="J994" s="44"/>
      <c r="K994" s="44"/>
      <c r="L994" s="93"/>
      <c r="M994" s="124"/>
      <c r="N994" s="44"/>
      <c r="O994" s="92"/>
      <c r="P994" s="110"/>
      <c r="Q994" s="44"/>
      <c r="R994" s="92"/>
      <c r="S994" s="125"/>
      <c r="T994" s="44"/>
      <c r="U994" s="92"/>
      <c r="V994" s="44"/>
      <c r="W994" s="44"/>
      <c r="X994" s="92"/>
      <c r="Y994" s="44"/>
      <c r="Z994" s="44"/>
      <c r="AA994" s="91"/>
    </row>
    <row r="995" spans="1:27" x14ac:dyDescent="0.2">
      <c r="A995" s="41"/>
      <c r="B995" s="41"/>
      <c r="C995" s="94"/>
      <c r="D995" s="140"/>
      <c r="E995" s="41"/>
      <c r="F995" s="126"/>
      <c r="G995" s="127"/>
      <c r="H995" s="41"/>
      <c r="I995" s="95"/>
      <c r="J995" s="41"/>
      <c r="K995" s="41"/>
      <c r="L995" s="95"/>
      <c r="M995" s="128"/>
      <c r="N995" s="41"/>
      <c r="O995" s="42"/>
      <c r="P995" s="52"/>
      <c r="Q995" s="41"/>
      <c r="R995" s="42"/>
      <c r="S995" s="129"/>
      <c r="T995" s="41"/>
      <c r="U995" s="42"/>
      <c r="V995" s="41"/>
      <c r="W995" s="41"/>
      <c r="X995" s="42"/>
      <c r="Y995" s="41"/>
      <c r="Z995" s="41"/>
      <c r="AA995" s="94"/>
    </row>
    <row r="996" spans="1:27" x14ac:dyDescent="0.2">
      <c r="A996" s="44"/>
      <c r="B996" s="44"/>
      <c r="C996" s="91"/>
      <c r="D996" s="139"/>
      <c r="E996" s="44"/>
      <c r="F996" s="122"/>
      <c r="G996" s="123"/>
      <c r="H996" s="44"/>
      <c r="I996" s="93"/>
      <c r="J996" s="44"/>
      <c r="K996" s="44"/>
      <c r="L996" s="93"/>
      <c r="M996" s="124"/>
      <c r="N996" s="44"/>
      <c r="O996" s="92"/>
      <c r="P996" s="110"/>
      <c r="Q996" s="44"/>
      <c r="R996" s="92"/>
      <c r="S996" s="125"/>
      <c r="T996" s="44"/>
      <c r="U996" s="92"/>
      <c r="V996" s="44"/>
      <c r="W996" s="44"/>
      <c r="X996" s="92"/>
      <c r="Y996" s="44"/>
      <c r="Z996" s="44"/>
      <c r="AA996" s="91"/>
    </row>
    <row r="997" spans="1:27" x14ac:dyDescent="0.2">
      <c r="A997" s="41"/>
      <c r="B997" s="41"/>
      <c r="C997" s="94"/>
      <c r="D997" s="140"/>
      <c r="E997" s="41"/>
      <c r="F997" s="126"/>
      <c r="G997" s="127"/>
      <c r="H997" s="41"/>
      <c r="I997" s="95"/>
      <c r="J997" s="41"/>
      <c r="K997" s="41"/>
      <c r="L997" s="95"/>
      <c r="M997" s="128"/>
      <c r="N997" s="41"/>
      <c r="O997" s="42"/>
      <c r="P997" s="52"/>
      <c r="Q997" s="41"/>
      <c r="R997" s="42"/>
      <c r="S997" s="129"/>
      <c r="T997" s="41"/>
      <c r="U997" s="42"/>
      <c r="V997" s="41"/>
      <c r="W997" s="41"/>
      <c r="X997" s="42"/>
      <c r="Y997" s="41"/>
      <c r="Z997" s="41"/>
      <c r="AA997" s="94"/>
    </row>
    <row r="998" spans="1:27" x14ac:dyDescent="0.2">
      <c r="A998" s="44"/>
      <c r="B998" s="44"/>
      <c r="C998" s="91"/>
      <c r="D998" s="139"/>
      <c r="E998" s="44"/>
      <c r="F998" s="122"/>
      <c r="G998" s="123"/>
      <c r="H998" s="44"/>
      <c r="I998" s="93"/>
      <c r="J998" s="44"/>
      <c r="K998" s="44"/>
      <c r="L998" s="93"/>
      <c r="M998" s="124"/>
      <c r="N998" s="44"/>
      <c r="O998" s="92"/>
      <c r="P998" s="110"/>
      <c r="Q998" s="44"/>
      <c r="R998" s="92"/>
      <c r="S998" s="125"/>
      <c r="T998" s="44"/>
      <c r="U998" s="92"/>
      <c r="V998" s="44"/>
      <c r="W998" s="44"/>
      <c r="X998" s="92"/>
      <c r="Y998" s="44"/>
      <c r="Z998" s="44"/>
      <c r="AA998" s="91"/>
    </row>
    <row r="999" spans="1:27" x14ac:dyDescent="0.2">
      <c r="A999" s="41"/>
      <c r="B999" s="41"/>
      <c r="C999" s="94"/>
      <c r="D999" s="140"/>
      <c r="E999" s="41"/>
      <c r="F999" s="126"/>
      <c r="G999" s="127"/>
      <c r="H999" s="41"/>
      <c r="I999" s="95"/>
      <c r="J999" s="41"/>
      <c r="K999" s="41"/>
      <c r="L999" s="95"/>
      <c r="M999" s="128"/>
      <c r="N999" s="41"/>
      <c r="O999" s="42"/>
      <c r="P999" s="52"/>
      <c r="Q999" s="41"/>
      <c r="R999" s="42"/>
      <c r="S999" s="129"/>
      <c r="T999" s="41"/>
      <c r="U999" s="42"/>
      <c r="V999" s="41"/>
      <c r="W999" s="41"/>
      <c r="X999" s="42"/>
      <c r="Y999" s="41"/>
      <c r="Z999" s="41"/>
      <c r="AA999" s="94"/>
    </row>
    <row r="1000" spans="1:27" x14ac:dyDescent="0.2">
      <c r="A1000" s="44"/>
      <c r="B1000" s="44"/>
      <c r="C1000" s="91"/>
      <c r="D1000" s="139"/>
      <c r="E1000" s="44"/>
      <c r="F1000" s="122"/>
      <c r="G1000" s="123"/>
      <c r="H1000" s="44"/>
      <c r="I1000" s="93"/>
      <c r="J1000" s="44"/>
      <c r="K1000" s="44"/>
      <c r="L1000" s="93"/>
      <c r="M1000" s="124"/>
      <c r="N1000" s="44"/>
      <c r="O1000" s="92"/>
      <c r="P1000" s="110"/>
      <c r="Q1000" s="44"/>
      <c r="R1000" s="92"/>
      <c r="S1000" s="125"/>
      <c r="T1000" s="44"/>
      <c r="U1000" s="92"/>
      <c r="V1000" s="44"/>
      <c r="W1000" s="44"/>
      <c r="X1000" s="92"/>
      <c r="Y1000" s="44"/>
      <c r="Z1000" s="44"/>
      <c r="AA1000" s="91"/>
    </row>
  </sheetData>
  <autoFilter ref="A1:AA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77"/>
  <sheetViews>
    <sheetView tabSelected="1" workbookViewId="0"/>
  </sheetViews>
  <sheetFormatPr baseColWidth="10" defaultRowHeight="14.25" x14ac:dyDescent="0.2"/>
  <cols>
    <col min="1" max="1" width="11" customWidth="1"/>
  </cols>
  <sheetData>
    <row r="2" spans="1:27" x14ac:dyDescent="0.2">
      <c r="A2" t="s">
        <v>96</v>
      </c>
    </row>
    <row r="3" spans="1:27" x14ac:dyDescent="0.2">
      <c r="A3" t="s">
        <v>103</v>
      </c>
      <c r="B3" t="s">
        <v>104</v>
      </c>
      <c r="C3" t="s">
        <v>89</v>
      </c>
      <c r="D3" t="s">
        <v>105</v>
      </c>
      <c r="E3" t="s">
        <v>18</v>
      </c>
      <c r="F3" t="s">
        <v>19</v>
      </c>
      <c r="G3" t="s">
        <v>106</v>
      </c>
      <c r="H3" t="s">
        <v>107</v>
      </c>
      <c r="I3" t="s">
        <v>108</v>
      </c>
      <c r="J3" t="s">
        <v>109</v>
      </c>
      <c r="K3" t="s">
        <v>110</v>
      </c>
      <c r="L3" t="s">
        <v>111</v>
      </c>
      <c r="M3" t="s">
        <v>88</v>
      </c>
      <c r="N3" t="s">
        <v>112</v>
      </c>
      <c r="O3" t="s">
        <v>113</v>
      </c>
      <c r="P3" t="s">
        <v>114</v>
      </c>
      <c r="Q3" t="s">
        <v>115</v>
      </c>
      <c r="R3" t="s">
        <v>116</v>
      </c>
      <c r="S3" t="s">
        <v>117</v>
      </c>
      <c r="T3" t="s">
        <v>118</v>
      </c>
      <c r="U3" t="s">
        <v>119</v>
      </c>
      <c r="V3" t="s">
        <v>120</v>
      </c>
      <c r="W3" t="s">
        <v>121</v>
      </c>
      <c r="X3" t="s">
        <v>122</v>
      </c>
      <c r="Y3" t="s">
        <v>123</v>
      </c>
      <c r="Z3" t="s">
        <v>124</v>
      </c>
      <c r="AA3" t="s">
        <v>125</v>
      </c>
    </row>
    <row r="4" spans="1:27" x14ac:dyDescent="0.2">
      <c r="A4" t="s">
        <v>424</v>
      </c>
      <c r="B4" t="s">
        <v>155</v>
      </c>
      <c r="C4" s="184">
        <v>6099013</v>
      </c>
      <c r="D4" s="184">
        <v>0</v>
      </c>
      <c r="E4" t="s">
        <v>99</v>
      </c>
      <c r="F4" s="184">
        <v>0.25</v>
      </c>
      <c r="G4" s="184">
        <v>2.38</v>
      </c>
      <c r="J4" t="s">
        <v>157</v>
      </c>
      <c r="L4" t="s">
        <v>159</v>
      </c>
      <c r="M4" s="184">
        <v>1500</v>
      </c>
      <c r="N4" t="s">
        <v>133</v>
      </c>
      <c r="P4" s="184">
        <v>100.38</v>
      </c>
      <c r="R4" t="s">
        <v>385</v>
      </c>
      <c r="S4">
        <v>4.2826660281021831E-4</v>
      </c>
      <c r="T4" t="s">
        <v>136</v>
      </c>
      <c r="U4" t="s">
        <v>422</v>
      </c>
      <c r="V4" t="s">
        <v>387</v>
      </c>
      <c r="W4" t="s">
        <v>139</v>
      </c>
      <c r="X4" t="s">
        <v>425</v>
      </c>
      <c r="Y4" t="s">
        <v>426</v>
      </c>
      <c r="Z4" t="s">
        <v>96</v>
      </c>
      <c r="AA4" t="s">
        <v>96</v>
      </c>
    </row>
    <row r="5" spans="1:27" x14ac:dyDescent="0.2">
      <c r="A5" t="s">
        <v>424</v>
      </c>
      <c r="B5" t="s">
        <v>155</v>
      </c>
      <c r="C5" s="184">
        <v>6107836</v>
      </c>
      <c r="D5" s="184">
        <v>0</v>
      </c>
      <c r="E5" t="s">
        <v>99</v>
      </c>
      <c r="F5" s="184">
        <v>0.16</v>
      </c>
      <c r="G5" s="184">
        <v>3.8</v>
      </c>
      <c r="J5" t="s">
        <v>157</v>
      </c>
      <c r="L5" t="s">
        <v>159</v>
      </c>
      <c r="M5" s="184">
        <v>1500</v>
      </c>
      <c r="N5" t="s">
        <v>133</v>
      </c>
      <c r="P5" s="184">
        <v>100.03</v>
      </c>
      <c r="R5" t="s">
        <v>385</v>
      </c>
      <c r="S5">
        <v>4.2179731919224388E-4</v>
      </c>
      <c r="T5" t="s">
        <v>136</v>
      </c>
      <c r="U5" t="s">
        <v>422</v>
      </c>
      <c r="V5" t="s">
        <v>387</v>
      </c>
      <c r="W5" t="s">
        <v>139</v>
      </c>
      <c r="X5" t="s">
        <v>425</v>
      </c>
      <c r="Y5" t="s">
        <v>426</v>
      </c>
      <c r="Z5" t="s">
        <v>96</v>
      </c>
      <c r="AA5" t="s">
        <v>96</v>
      </c>
    </row>
    <row r="6" spans="1:27" x14ac:dyDescent="0.2">
      <c r="A6" t="s">
        <v>424</v>
      </c>
      <c r="B6" t="s">
        <v>155</v>
      </c>
      <c r="C6" s="184">
        <v>6142746</v>
      </c>
      <c r="D6" s="184">
        <v>0</v>
      </c>
      <c r="E6" t="s">
        <v>99</v>
      </c>
      <c r="F6" s="184">
        <v>0.08</v>
      </c>
      <c r="G6" s="184">
        <v>3.8</v>
      </c>
      <c r="J6" t="s">
        <v>157</v>
      </c>
      <c r="L6" t="s">
        <v>159</v>
      </c>
      <c r="M6" s="184">
        <v>1500</v>
      </c>
      <c r="N6" t="s">
        <v>133</v>
      </c>
      <c r="P6" s="184">
        <v>100.01</v>
      </c>
      <c r="R6" t="s">
        <v>385</v>
      </c>
      <c r="S6">
        <v>4.2730408530322096E-4</v>
      </c>
      <c r="T6" t="s">
        <v>136</v>
      </c>
      <c r="U6" t="s">
        <v>422</v>
      </c>
      <c r="V6" t="s">
        <v>387</v>
      </c>
      <c r="W6" t="s">
        <v>139</v>
      </c>
      <c r="X6" t="s">
        <v>425</v>
      </c>
      <c r="Y6" t="s">
        <v>426</v>
      </c>
      <c r="Z6" t="s">
        <v>96</v>
      </c>
      <c r="AA6" t="s">
        <v>96</v>
      </c>
    </row>
    <row r="7" spans="1:27" x14ac:dyDescent="0.2">
      <c r="A7" t="s">
        <v>427</v>
      </c>
      <c r="B7" t="s">
        <v>202</v>
      </c>
      <c r="C7" s="184">
        <v>25036372</v>
      </c>
      <c r="D7" s="184">
        <v>0</v>
      </c>
      <c r="E7" t="s">
        <v>99</v>
      </c>
      <c r="F7" s="184">
        <v>1.96</v>
      </c>
      <c r="G7" s="184">
        <v>2.78</v>
      </c>
      <c r="J7" t="s">
        <v>182</v>
      </c>
      <c r="L7" t="s">
        <v>204</v>
      </c>
      <c r="M7" s="184">
        <v>1000</v>
      </c>
      <c r="N7" t="s">
        <v>133</v>
      </c>
      <c r="P7" s="184">
        <v>100.46</v>
      </c>
      <c r="R7" t="s">
        <v>385</v>
      </c>
      <c r="S7">
        <v>1.7067271993643661E-3</v>
      </c>
      <c r="T7" t="s">
        <v>136</v>
      </c>
      <c r="U7" t="s">
        <v>422</v>
      </c>
      <c r="V7" t="s">
        <v>387</v>
      </c>
      <c r="W7" t="s">
        <v>139</v>
      </c>
      <c r="X7" t="s">
        <v>425</v>
      </c>
      <c r="Y7" t="s">
        <v>426</v>
      </c>
      <c r="Z7" t="s">
        <v>96</v>
      </c>
      <c r="AA7" t="s">
        <v>96</v>
      </c>
    </row>
    <row r="8" spans="1:27" x14ac:dyDescent="0.2">
      <c r="A8" t="s">
        <v>428</v>
      </c>
      <c r="B8" t="s">
        <v>202</v>
      </c>
      <c r="C8" s="184">
        <v>48596836</v>
      </c>
      <c r="D8" s="184">
        <v>0</v>
      </c>
      <c r="E8" t="s">
        <v>99</v>
      </c>
      <c r="F8" s="184">
        <v>0.17</v>
      </c>
      <c r="G8" s="184">
        <v>3.06</v>
      </c>
      <c r="J8" t="s">
        <v>182</v>
      </c>
      <c r="L8" t="s">
        <v>204</v>
      </c>
      <c r="M8" s="184">
        <v>2000</v>
      </c>
      <c r="N8" t="s">
        <v>133</v>
      </c>
      <c r="P8" s="184">
        <v>99.99</v>
      </c>
      <c r="R8" t="s">
        <v>385</v>
      </c>
      <c r="S8">
        <v>3.4124212985027769E-3</v>
      </c>
      <c r="T8" t="s">
        <v>136</v>
      </c>
      <c r="U8" t="s">
        <v>422</v>
      </c>
      <c r="V8" t="s">
        <v>387</v>
      </c>
      <c r="W8" t="s">
        <v>139</v>
      </c>
      <c r="X8" t="s">
        <v>425</v>
      </c>
      <c r="Y8" t="s">
        <v>426</v>
      </c>
      <c r="Z8" t="s">
        <v>96</v>
      </c>
      <c r="AA8" t="s">
        <v>96</v>
      </c>
    </row>
    <row r="9" spans="1:27" x14ac:dyDescent="0.2">
      <c r="A9" t="s">
        <v>428</v>
      </c>
      <c r="B9" t="s">
        <v>202</v>
      </c>
      <c r="C9" s="184">
        <v>48842174</v>
      </c>
      <c r="D9" s="184">
        <v>0</v>
      </c>
      <c r="E9" t="s">
        <v>99</v>
      </c>
      <c r="F9" s="184">
        <v>0.08</v>
      </c>
      <c r="G9" s="184">
        <v>2.11</v>
      </c>
      <c r="J9" t="s">
        <v>182</v>
      </c>
      <c r="L9" t="s">
        <v>204</v>
      </c>
      <c r="M9" s="184">
        <v>2000</v>
      </c>
      <c r="N9" t="s">
        <v>133</v>
      </c>
      <c r="P9" s="184">
        <v>100.07</v>
      </c>
      <c r="R9" t="s">
        <v>385</v>
      </c>
      <c r="S9">
        <v>3.3729618897300317E-3</v>
      </c>
      <c r="T9" t="s">
        <v>136</v>
      </c>
      <c r="U9" t="s">
        <v>422</v>
      </c>
      <c r="V9" t="s">
        <v>387</v>
      </c>
      <c r="W9" t="s">
        <v>139</v>
      </c>
      <c r="X9" t="s">
        <v>425</v>
      </c>
      <c r="Y9" t="s">
        <v>426</v>
      </c>
      <c r="Z9" t="s">
        <v>96</v>
      </c>
      <c r="AA9" t="s">
        <v>96</v>
      </c>
    </row>
    <row r="10" spans="1:27" x14ac:dyDescent="0.2">
      <c r="A10" t="s">
        <v>428</v>
      </c>
      <c r="B10" t="s">
        <v>202</v>
      </c>
      <c r="C10" s="184">
        <v>49058699</v>
      </c>
      <c r="D10" s="184">
        <v>0</v>
      </c>
      <c r="E10" t="s">
        <v>99</v>
      </c>
      <c r="F10" s="184">
        <v>0</v>
      </c>
      <c r="G10" s="184">
        <v>0.61</v>
      </c>
      <c r="J10" t="s">
        <v>182</v>
      </c>
      <c r="L10" t="s">
        <v>204</v>
      </c>
      <c r="M10" s="184">
        <v>2000</v>
      </c>
      <c r="N10" t="s">
        <v>133</v>
      </c>
      <c r="P10" s="184">
        <v>0</v>
      </c>
      <c r="R10" t="s">
        <v>385</v>
      </c>
      <c r="S10">
        <v>3.412640291876148E-3</v>
      </c>
      <c r="T10" t="s">
        <v>136</v>
      </c>
      <c r="U10" t="s">
        <v>422</v>
      </c>
      <c r="V10" t="s">
        <v>387</v>
      </c>
      <c r="W10" t="s">
        <v>139</v>
      </c>
      <c r="X10" t="s">
        <v>425</v>
      </c>
      <c r="Y10" t="s">
        <v>426</v>
      </c>
      <c r="Z10" t="s">
        <v>96</v>
      </c>
      <c r="AA10" t="s">
        <v>96</v>
      </c>
    </row>
    <row r="11" spans="1:27" x14ac:dyDescent="0.2">
      <c r="A11" t="s">
        <v>429</v>
      </c>
      <c r="B11" t="s">
        <v>220</v>
      </c>
      <c r="C11" s="184">
        <v>18483724</v>
      </c>
      <c r="D11" s="184">
        <v>0</v>
      </c>
      <c r="E11" t="s">
        <v>99</v>
      </c>
      <c r="F11" s="184">
        <v>0.4</v>
      </c>
      <c r="G11" s="184">
        <v>4.9000000000000004</v>
      </c>
      <c r="J11" t="s">
        <v>221</v>
      </c>
      <c r="L11" t="s">
        <v>223</v>
      </c>
      <c r="M11" s="184">
        <v>3000</v>
      </c>
      <c r="N11" t="s">
        <v>133</v>
      </c>
      <c r="P11" s="184">
        <v>99.71</v>
      </c>
      <c r="R11" t="s">
        <v>385</v>
      </c>
      <c r="S11">
        <v>1.2710752243933192E-3</v>
      </c>
      <c r="T11" t="s">
        <v>136</v>
      </c>
      <c r="U11" t="s">
        <v>422</v>
      </c>
      <c r="V11" t="s">
        <v>387</v>
      </c>
      <c r="W11" t="s">
        <v>139</v>
      </c>
      <c r="X11" t="s">
        <v>425</v>
      </c>
      <c r="Y11" t="s">
        <v>426</v>
      </c>
      <c r="Z11" t="s">
        <v>96</v>
      </c>
      <c r="AA11" t="s">
        <v>96</v>
      </c>
    </row>
    <row r="12" spans="1:27" x14ac:dyDescent="0.2">
      <c r="A12" t="s">
        <v>429</v>
      </c>
      <c r="B12" t="s">
        <v>220</v>
      </c>
      <c r="C12" s="184">
        <v>18505300</v>
      </c>
      <c r="D12" s="184">
        <v>0</v>
      </c>
      <c r="E12" t="s">
        <v>99</v>
      </c>
      <c r="F12" s="184">
        <v>0.32</v>
      </c>
      <c r="G12" s="184">
        <v>4.9000000000000004</v>
      </c>
      <c r="J12" t="s">
        <v>221</v>
      </c>
      <c r="L12" t="s">
        <v>223</v>
      </c>
      <c r="M12" s="184">
        <v>3000</v>
      </c>
      <c r="N12" t="s">
        <v>133</v>
      </c>
      <c r="P12" s="184">
        <v>99.77</v>
      </c>
      <c r="R12" t="s">
        <v>385</v>
      </c>
      <c r="S12">
        <v>1.2615046158603732E-3</v>
      </c>
      <c r="T12" t="s">
        <v>136</v>
      </c>
      <c r="U12" t="s">
        <v>422</v>
      </c>
      <c r="V12" t="s">
        <v>387</v>
      </c>
      <c r="W12" t="s">
        <v>139</v>
      </c>
      <c r="X12" t="s">
        <v>425</v>
      </c>
      <c r="Y12" t="s">
        <v>426</v>
      </c>
      <c r="Z12" t="s">
        <v>96</v>
      </c>
      <c r="AA12" t="s">
        <v>96</v>
      </c>
    </row>
    <row r="13" spans="1:27" x14ac:dyDescent="0.2">
      <c r="A13" t="s">
        <v>429</v>
      </c>
      <c r="B13" t="s">
        <v>220</v>
      </c>
      <c r="C13" s="184">
        <v>18715151</v>
      </c>
      <c r="D13" s="184">
        <v>0</v>
      </c>
      <c r="E13" t="s">
        <v>99</v>
      </c>
      <c r="F13" s="184">
        <v>0.24</v>
      </c>
      <c r="G13" s="184">
        <v>1.49</v>
      </c>
      <c r="J13" t="s">
        <v>221</v>
      </c>
      <c r="L13" t="s">
        <v>223</v>
      </c>
      <c r="M13" s="184">
        <v>3000</v>
      </c>
      <c r="N13" t="s">
        <v>133</v>
      </c>
      <c r="P13" s="184">
        <v>100.63</v>
      </c>
      <c r="R13" t="s">
        <v>385</v>
      </c>
      <c r="S13">
        <v>1.2612835742156648E-3</v>
      </c>
      <c r="T13" t="s">
        <v>136</v>
      </c>
      <c r="U13" t="s">
        <v>422</v>
      </c>
      <c r="V13" t="s">
        <v>387</v>
      </c>
      <c r="W13" t="s">
        <v>139</v>
      </c>
      <c r="X13" t="s">
        <v>425</v>
      </c>
      <c r="Y13" t="s">
        <v>426</v>
      </c>
      <c r="Z13" t="s">
        <v>96</v>
      </c>
      <c r="AA13" t="s">
        <v>96</v>
      </c>
    </row>
    <row r="14" spans="1:27" x14ac:dyDescent="0.2">
      <c r="A14" t="s">
        <v>429</v>
      </c>
      <c r="B14" t="s">
        <v>220</v>
      </c>
      <c r="C14" s="184">
        <v>18797219</v>
      </c>
      <c r="D14" s="184">
        <v>0</v>
      </c>
      <c r="E14" t="s">
        <v>99</v>
      </c>
      <c r="F14" s="184">
        <v>0.16</v>
      </c>
      <c r="G14" s="184">
        <v>1.49</v>
      </c>
      <c r="J14" t="s">
        <v>221</v>
      </c>
      <c r="L14" t="s">
        <v>223</v>
      </c>
      <c r="M14" s="184">
        <v>3000</v>
      </c>
      <c r="N14" t="s">
        <v>133</v>
      </c>
      <c r="P14" s="184">
        <v>100.42</v>
      </c>
      <c r="R14" t="s">
        <v>385</v>
      </c>
      <c r="S14">
        <v>1.2552452357347521E-3</v>
      </c>
      <c r="T14" t="s">
        <v>136</v>
      </c>
      <c r="U14" t="s">
        <v>422</v>
      </c>
      <c r="V14" t="s">
        <v>387</v>
      </c>
      <c r="W14" t="s">
        <v>139</v>
      </c>
      <c r="X14" t="s">
        <v>425</v>
      </c>
      <c r="Y14" t="s">
        <v>426</v>
      </c>
      <c r="Z14" t="s">
        <v>96</v>
      </c>
      <c r="AA14" t="s">
        <v>96</v>
      </c>
    </row>
    <row r="15" spans="1:27" x14ac:dyDescent="0.2">
      <c r="A15" t="s">
        <v>429</v>
      </c>
      <c r="B15" t="s">
        <v>220</v>
      </c>
      <c r="C15" s="184">
        <v>18920787</v>
      </c>
      <c r="D15" s="184">
        <v>0</v>
      </c>
      <c r="E15" t="s">
        <v>99</v>
      </c>
      <c r="F15" s="184">
        <v>7.0000000000000007E-2</v>
      </c>
      <c r="G15" s="184">
        <v>1.49</v>
      </c>
      <c r="J15" t="s">
        <v>221</v>
      </c>
      <c r="L15" t="s">
        <v>223</v>
      </c>
      <c r="M15" s="184">
        <v>3000</v>
      </c>
      <c r="N15" t="s">
        <v>133</v>
      </c>
      <c r="P15" s="184">
        <v>100.21</v>
      </c>
      <c r="R15" t="s">
        <v>385</v>
      </c>
      <c r="S15">
        <v>1.2689255304793141E-3</v>
      </c>
      <c r="T15" t="s">
        <v>136</v>
      </c>
      <c r="U15" t="s">
        <v>422</v>
      </c>
      <c r="V15" t="s">
        <v>387</v>
      </c>
      <c r="W15" t="s">
        <v>139</v>
      </c>
      <c r="X15" t="s">
        <v>425</v>
      </c>
      <c r="Y15" t="s">
        <v>426</v>
      </c>
      <c r="Z15" t="s">
        <v>96</v>
      </c>
      <c r="AA15" t="s">
        <v>96</v>
      </c>
    </row>
    <row r="16" spans="1:27" x14ac:dyDescent="0.2">
      <c r="A16" t="s">
        <v>430</v>
      </c>
      <c r="B16" t="s">
        <v>431</v>
      </c>
      <c r="C16" s="184">
        <v>97096687</v>
      </c>
      <c r="D16" s="184">
        <v>0.01</v>
      </c>
      <c r="E16" t="s">
        <v>99</v>
      </c>
      <c r="F16" s="184">
        <v>0.74</v>
      </c>
      <c r="G16" s="184">
        <v>1.66</v>
      </c>
      <c r="J16" t="s">
        <v>157</v>
      </c>
      <c r="L16" t="s">
        <v>432</v>
      </c>
      <c r="M16" s="184">
        <v>4000</v>
      </c>
      <c r="N16" t="s">
        <v>133</v>
      </c>
      <c r="P16" s="184">
        <v>100.76</v>
      </c>
      <c r="R16" t="s">
        <v>385</v>
      </c>
      <c r="S16">
        <v>6.879873903908147E-3</v>
      </c>
      <c r="T16" t="s">
        <v>136</v>
      </c>
      <c r="U16" t="s">
        <v>422</v>
      </c>
      <c r="V16" t="s">
        <v>387</v>
      </c>
      <c r="W16" t="s">
        <v>139</v>
      </c>
      <c r="X16" t="s">
        <v>425</v>
      </c>
      <c r="Y16" t="s">
        <v>426</v>
      </c>
      <c r="Z16" t="s">
        <v>96</v>
      </c>
      <c r="AA16" t="s">
        <v>96</v>
      </c>
    </row>
    <row r="17" spans="1:27" x14ac:dyDescent="0.2">
      <c r="A17" t="s">
        <v>430</v>
      </c>
      <c r="B17" t="s">
        <v>431</v>
      </c>
      <c r="C17" s="184">
        <v>97149959</v>
      </c>
      <c r="D17" s="184">
        <v>0.01</v>
      </c>
      <c r="E17" t="s">
        <v>99</v>
      </c>
      <c r="F17" s="184">
        <v>0.66</v>
      </c>
      <c r="G17" s="184">
        <v>2.38</v>
      </c>
      <c r="J17" t="s">
        <v>157</v>
      </c>
      <c r="L17" t="s">
        <v>432</v>
      </c>
      <c r="M17" s="184">
        <v>4000</v>
      </c>
      <c r="N17" t="s">
        <v>133</v>
      </c>
      <c r="P17" s="184">
        <v>100.21</v>
      </c>
      <c r="R17" t="s">
        <v>385</v>
      </c>
      <c r="S17">
        <v>6.8662692692382553E-3</v>
      </c>
      <c r="T17" t="s">
        <v>136</v>
      </c>
      <c r="U17" t="s">
        <v>422</v>
      </c>
      <c r="V17" t="s">
        <v>387</v>
      </c>
      <c r="W17" t="s">
        <v>139</v>
      </c>
      <c r="X17" t="s">
        <v>425</v>
      </c>
      <c r="Y17" t="s">
        <v>426</v>
      </c>
      <c r="Z17" t="s">
        <v>96</v>
      </c>
      <c r="AA17" t="s">
        <v>96</v>
      </c>
    </row>
    <row r="18" spans="1:27" x14ac:dyDescent="0.2">
      <c r="A18" t="s">
        <v>430</v>
      </c>
      <c r="B18" t="s">
        <v>431</v>
      </c>
      <c r="C18" s="184">
        <v>97458061</v>
      </c>
      <c r="D18" s="184">
        <v>0.01</v>
      </c>
      <c r="E18" t="s">
        <v>99</v>
      </c>
      <c r="F18" s="184">
        <v>0.41</v>
      </c>
      <c r="G18" s="184">
        <v>1.27</v>
      </c>
      <c r="J18" t="s">
        <v>157</v>
      </c>
      <c r="L18" t="s">
        <v>432</v>
      </c>
      <c r="M18" s="184">
        <v>4000</v>
      </c>
      <c r="N18" t="s">
        <v>133</v>
      </c>
      <c r="P18" s="184">
        <v>100.59</v>
      </c>
      <c r="R18" t="s">
        <v>385</v>
      </c>
      <c r="S18">
        <v>6.7794155270347357E-3</v>
      </c>
      <c r="T18" t="s">
        <v>136</v>
      </c>
      <c r="U18" t="s">
        <v>422</v>
      </c>
      <c r="V18" t="s">
        <v>387</v>
      </c>
      <c r="W18" t="s">
        <v>139</v>
      </c>
      <c r="X18" t="s">
        <v>425</v>
      </c>
      <c r="Y18" t="s">
        <v>426</v>
      </c>
      <c r="Z18" t="s">
        <v>96</v>
      </c>
      <c r="AA18" t="s">
        <v>96</v>
      </c>
    </row>
    <row r="19" spans="1:27" x14ac:dyDescent="0.2">
      <c r="A19" t="s">
        <v>430</v>
      </c>
      <c r="B19" t="s">
        <v>431</v>
      </c>
      <c r="C19" s="184">
        <v>97584982</v>
      </c>
      <c r="D19" s="184">
        <v>0.01</v>
      </c>
      <c r="E19" t="s">
        <v>99</v>
      </c>
      <c r="F19" s="184">
        <v>0.56999999999999995</v>
      </c>
      <c r="G19" s="184">
        <v>2.2400000000000002</v>
      </c>
      <c r="J19" t="s">
        <v>157</v>
      </c>
      <c r="L19" t="s">
        <v>432</v>
      </c>
      <c r="M19" s="184">
        <v>4000</v>
      </c>
      <c r="N19" t="s">
        <v>133</v>
      </c>
      <c r="P19" s="184">
        <v>100.26</v>
      </c>
      <c r="R19" t="s">
        <v>385</v>
      </c>
      <c r="S19">
        <v>6.8523199944706299E-3</v>
      </c>
      <c r="T19" t="s">
        <v>136</v>
      </c>
      <c r="U19" t="s">
        <v>422</v>
      </c>
      <c r="V19" t="s">
        <v>387</v>
      </c>
      <c r="W19" t="s">
        <v>139</v>
      </c>
      <c r="X19" t="s">
        <v>425</v>
      </c>
      <c r="Y19" t="s">
        <v>426</v>
      </c>
      <c r="Z19" t="s">
        <v>96</v>
      </c>
      <c r="AA19" t="s">
        <v>96</v>
      </c>
    </row>
    <row r="20" spans="1:27" x14ac:dyDescent="0.2">
      <c r="A20" t="s">
        <v>430</v>
      </c>
      <c r="B20" t="s">
        <v>431</v>
      </c>
      <c r="C20" s="184">
        <v>97930016</v>
      </c>
      <c r="D20" s="184">
        <v>0.01</v>
      </c>
      <c r="E20" t="s">
        <v>99</v>
      </c>
      <c r="F20" s="184">
        <v>0.33</v>
      </c>
      <c r="G20" s="184">
        <v>2.13</v>
      </c>
      <c r="J20" t="s">
        <v>157</v>
      </c>
      <c r="L20" t="s">
        <v>432</v>
      </c>
      <c r="M20" s="184">
        <v>4000</v>
      </c>
      <c r="N20" t="s">
        <v>133</v>
      </c>
      <c r="P20" s="184">
        <v>100.2</v>
      </c>
      <c r="R20" t="s">
        <v>385</v>
      </c>
      <c r="S20">
        <v>6.8230834722069686E-3</v>
      </c>
      <c r="T20" t="s">
        <v>136</v>
      </c>
      <c r="U20" t="s">
        <v>422</v>
      </c>
      <c r="V20" t="s">
        <v>387</v>
      </c>
      <c r="W20" t="s">
        <v>139</v>
      </c>
      <c r="X20" t="s">
        <v>425</v>
      </c>
      <c r="Y20" t="s">
        <v>426</v>
      </c>
      <c r="Z20" t="s">
        <v>96</v>
      </c>
      <c r="AA20" t="s">
        <v>96</v>
      </c>
    </row>
    <row r="21" spans="1:27" x14ac:dyDescent="0.2">
      <c r="A21" t="s">
        <v>430</v>
      </c>
      <c r="B21" t="s">
        <v>431</v>
      </c>
      <c r="C21" s="184">
        <v>98122302</v>
      </c>
      <c r="D21" s="184">
        <v>0.01</v>
      </c>
      <c r="E21" t="s">
        <v>99</v>
      </c>
      <c r="F21" s="184">
        <v>0.5</v>
      </c>
      <c r="G21" s="184">
        <v>1.84</v>
      </c>
      <c r="J21" t="s">
        <v>157</v>
      </c>
      <c r="L21" t="s">
        <v>432</v>
      </c>
      <c r="M21" s="184">
        <v>4000</v>
      </c>
      <c r="N21" t="s">
        <v>133</v>
      </c>
      <c r="P21" s="184">
        <v>100.43</v>
      </c>
      <c r="R21" t="s">
        <v>385</v>
      </c>
      <c r="S21">
        <v>6.776168177497194E-3</v>
      </c>
      <c r="T21" t="s">
        <v>136</v>
      </c>
      <c r="U21" t="s">
        <v>422</v>
      </c>
      <c r="V21" t="s">
        <v>387</v>
      </c>
      <c r="W21" t="s">
        <v>139</v>
      </c>
      <c r="X21" t="s">
        <v>425</v>
      </c>
      <c r="Y21" t="s">
        <v>426</v>
      </c>
      <c r="Z21" t="s">
        <v>96</v>
      </c>
      <c r="AA21" t="s">
        <v>96</v>
      </c>
    </row>
    <row r="22" spans="1:27" x14ac:dyDescent="0.2">
      <c r="A22" t="s">
        <v>430</v>
      </c>
      <c r="B22" t="s">
        <v>431</v>
      </c>
      <c r="C22" s="184">
        <v>98686060</v>
      </c>
      <c r="D22" s="184">
        <v>0.01</v>
      </c>
      <c r="E22" t="s">
        <v>99</v>
      </c>
      <c r="F22" s="184">
        <v>0.16</v>
      </c>
      <c r="G22" s="184">
        <v>7.24</v>
      </c>
      <c r="J22" t="s">
        <v>157</v>
      </c>
      <c r="L22" t="s">
        <v>432</v>
      </c>
      <c r="M22" s="184">
        <v>4000</v>
      </c>
      <c r="N22" t="s">
        <v>133</v>
      </c>
      <c r="P22" s="184">
        <v>99.31</v>
      </c>
      <c r="R22" t="s">
        <v>385</v>
      </c>
      <c r="S22">
        <v>6.7863708557319167E-3</v>
      </c>
      <c r="T22" t="s">
        <v>136</v>
      </c>
      <c r="U22" t="s">
        <v>422</v>
      </c>
      <c r="V22" t="s">
        <v>387</v>
      </c>
      <c r="W22" t="s">
        <v>139</v>
      </c>
      <c r="X22" t="s">
        <v>425</v>
      </c>
      <c r="Y22" t="s">
        <v>426</v>
      </c>
      <c r="Z22" t="s">
        <v>96</v>
      </c>
      <c r="AA22" t="s">
        <v>96</v>
      </c>
    </row>
    <row r="23" spans="1:27" x14ac:dyDescent="0.2">
      <c r="A23" t="s">
        <v>430</v>
      </c>
      <c r="B23" t="s">
        <v>431</v>
      </c>
      <c r="C23" s="184">
        <v>98901262</v>
      </c>
      <c r="D23" s="184">
        <v>0.01</v>
      </c>
      <c r="E23" t="s">
        <v>99</v>
      </c>
      <c r="F23" s="184">
        <v>0.25</v>
      </c>
      <c r="G23" s="184">
        <v>2.59</v>
      </c>
      <c r="J23" t="s">
        <v>157</v>
      </c>
      <c r="L23" t="s">
        <v>432</v>
      </c>
      <c r="M23" s="184">
        <v>4000</v>
      </c>
      <c r="N23" t="s">
        <v>133</v>
      </c>
      <c r="P23" s="184">
        <v>100.04</v>
      </c>
      <c r="R23" t="s">
        <v>385</v>
      </c>
      <c r="S23">
        <v>6.8064116770725864E-3</v>
      </c>
      <c r="T23" t="s">
        <v>136</v>
      </c>
      <c r="U23" t="s">
        <v>422</v>
      </c>
      <c r="V23" t="s">
        <v>387</v>
      </c>
      <c r="W23" t="s">
        <v>139</v>
      </c>
      <c r="X23" t="s">
        <v>425</v>
      </c>
      <c r="Y23" t="s">
        <v>426</v>
      </c>
      <c r="Z23" t="s">
        <v>96</v>
      </c>
      <c r="AA23" t="s">
        <v>96</v>
      </c>
    </row>
    <row r="24" spans="1:27" x14ac:dyDescent="0.2">
      <c r="A24" t="s">
        <v>430</v>
      </c>
      <c r="B24" t="s">
        <v>431</v>
      </c>
      <c r="C24" s="184">
        <v>346173248</v>
      </c>
      <c r="D24" s="184">
        <v>0.02</v>
      </c>
      <c r="E24" t="s">
        <v>99</v>
      </c>
      <c r="F24" s="184">
        <v>0.08</v>
      </c>
      <c r="G24" s="184">
        <v>8.4</v>
      </c>
      <c r="J24" t="s">
        <v>157</v>
      </c>
      <c r="L24" t="s">
        <v>432</v>
      </c>
      <c r="M24" s="184">
        <v>14000</v>
      </c>
      <c r="N24" t="s">
        <v>133</v>
      </c>
      <c r="P24" s="184">
        <v>99.6</v>
      </c>
      <c r="R24" t="s">
        <v>385</v>
      </c>
      <c r="S24">
        <v>2.3598598792744657E-2</v>
      </c>
      <c r="T24" t="s">
        <v>136</v>
      </c>
      <c r="U24" t="s">
        <v>422</v>
      </c>
      <c r="V24" t="s">
        <v>387</v>
      </c>
      <c r="W24" t="s">
        <v>139</v>
      </c>
      <c r="X24" t="s">
        <v>425</v>
      </c>
      <c r="Y24" t="s">
        <v>426</v>
      </c>
      <c r="Z24" t="s">
        <v>96</v>
      </c>
      <c r="AA24" t="s">
        <v>96</v>
      </c>
    </row>
    <row r="25" spans="1:27" x14ac:dyDescent="0.2">
      <c r="A25" t="s">
        <v>430</v>
      </c>
      <c r="B25" t="s">
        <v>431</v>
      </c>
      <c r="C25" s="184">
        <v>348209805</v>
      </c>
      <c r="D25" s="184">
        <v>0.02</v>
      </c>
      <c r="E25" t="s">
        <v>99</v>
      </c>
      <c r="F25" s="184">
        <v>0</v>
      </c>
      <c r="G25" s="184">
        <v>3.1</v>
      </c>
      <c r="J25" t="s">
        <v>157</v>
      </c>
      <c r="L25" t="s">
        <v>432</v>
      </c>
      <c r="M25" s="184">
        <v>14000</v>
      </c>
      <c r="N25" t="s">
        <v>133</v>
      </c>
      <c r="P25" s="184">
        <v>0</v>
      </c>
      <c r="R25" t="s">
        <v>385</v>
      </c>
      <c r="S25">
        <v>2.3467152759138285E-2</v>
      </c>
      <c r="T25" t="s">
        <v>136</v>
      </c>
      <c r="U25" t="s">
        <v>422</v>
      </c>
      <c r="V25" t="s">
        <v>387</v>
      </c>
      <c r="W25" t="s">
        <v>139</v>
      </c>
      <c r="X25" t="s">
        <v>425</v>
      </c>
      <c r="Y25" t="s">
        <v>426</v>
      </c>
      <c r="Z25" t="s">
        <v>96</v>
      </c>
      <c r="AA25" t="s">
        <v>96</v>
      </c>
    </row>
    <row r="26" spans="1:27" x14ac:dyDescent="0.2">
      <c r="A26" t="s">
        <v>433</v>
      </c>
      <c r="B26" t="s">
        <v>303</v>
      </c>
      <c r="C26" s="184">
        <v>12217526</v>
      </c>
      <c r="D26" s="184">
        <v>0</v>
      </c>
      <c r="E26" t="s">
        <v>99</v>
      </c>
      <c r="F26" s="184">
        <v>0.41</v>
      </c>
      <c r="G26" s="184">
        <v>1.55</v>
      </c>
      <c r="J26" t="s">
        <v>182</v>
      </c>
      <c r="L26" t="s">
        <v>305</v>
      </c>
      <c r="M26" s="184">
        <v>500</v>
      </c>
      <c r="N26" t="s">
        <v>133</v>
      </c>
      <c r="P26" s="184">
        <v>101.02</v>
      </c>
      <c r="R26" t="s">
        <v>385</v>
      </c>
      <c r="S26">
        <v>8.4372267263913751E-4</v>
      </c>
      <c r="T26" t="s">
        <v>136</v>
      </c>
      <c r="U26" t="s">
        <v>422</v>
      </c>
      <c r="V26" t="s">
        <v>387</v>
      </c>
      <c r="W26" t="s">
        <v>139</v>
      </c>
      <c r="X26" t="s">
        <v>425</v>
      </c>
      <c r="Y26" t="s">
        <v>426</v>
      </c>
      <c r="Z26" t="s">
        <v>96</v>
      </c>
      <c r="AA26" t="s">
        <v>96</v>
      </c>
    </row>
    <row r="27" spans="1:27" x14ac:dyDescent="0.2">
      <c r="A27" t="s">
        <v>433</v>
      </c>
      <c r="B27" t="s">
        <v>303</v>
      </c>
      <c r="C27" s="184">
        <v>12312633</v>
      </c>
      <c r="D27" s="184">
        <v>0</v>
      </c>
      <c r="E27" t="s">
        <v>99</v>
      </c>
      <c r="F27" s="184">
        <v>0.33</v>
      </c>
      <c r="G27" s="184">
        <v>0.4</v>
      </c>
      <c r="J27" t="s">
        <v>182</v>
      </c>
      <c r="L27" t="s">
        <v>305</v>
      </c>
      <c r="M27" s="184">
        <v>500</v>
      </c>
      <c r="N27" t="s">
        <v>133</v>
      </c>
      <c r="P27" s="184">
        <v>101.19</v>
      </c>
      <c r="R27" t="s">
        <v>385</v>
      </c>
      <c r="S27">
        <v>8.5649616339976507E-4</v>
      </c>
      <c r="T27" t="s">
        <v>136</v>
      </c>
      <c r="U27" t="s">
        <v>422</v>
      </c>
      <c r="V27" t="s">
        <v>387</v>
      </c>
      <c r="W27" t="s">
        <v>139</v>
      </c>
      <c r="X27" t="s">
        <v>425</v>
      </c>
      <c r="Y27" t="s">
        <v>426</v>
      </c>
      <c r="Z27" t="s">
        <v>96</v>
      </c>
      <c r="AA27" t="s">
        <v>96</v>
      </c>
    </row>
    <row r="28" spans="1:27" x14ac:dyDescent="0.2">
      <c r="A28" t="s">
        <v>433</v>
      </c>
      <c r="B28" t="s">
        <v>303</v>
      </c>
      <c r="C28" s="184">
        <v>12363387</v>
      </c>
      <c r="D28" s="184">
        <v>0</v>
      </c>
      <c r="E28" t="s">
        <v>99</v>
      </c>
      <c r="F28" s="184">
        <v>0.25</v>
      </c>
      <c r="G28" s="184">
        <v>1.53</v>
      </c>
      <c r="J28" t="s">
        <v>182</v>
      </c>
      <c r="L28" t="s">
        <v>305</v>
      </c>
      <c r="M28" s="184">
        <v>500</v>
      </c>
      <c r="N28" t="s">
        <v>133</v>
      </c>
      <c r="P28" s="184">
        <v>100.6</v>
      </c>
      <c r="R28" t="s">
        <v>385</v>
      </c>
      <c r="S28">
        <v>8.6139495269967579E-4</v>
      </c>
      <c r="T28" t="s">
        <v>136</v>
      </c>
      <c r="U28" t="s">
        <v>422</v>
      </c>
      <c r="V28" t="s">
        <v>387</v>
      </c>
      <c r="W28" t="s">
        <v>139</v>
      </c>
      <c r="X28" t="s">
        <v>425</v>
      </c>
      <c r="Y28" t="s">
        <v>426</v>
      </c>
      <c r="Z28" t="s">
        <v>96</v>
      </c>
      <c r="AA28" t="s">
        <v>96</v>
      </c>
    </row>
    <row r="29" spans="1:27" x14ac:dyDescent="0.2">
      <c r="A29" t="s">
        <v>433</v>
      </c>
      <c r="B29" t="s">
        <v>303</v>
      </c>
      <c r="C29" s="184">
        <v>12478783</v>
      </c>
      <c r="D29" s="184">
        <v>0</v>
      </c>
      <c r="E29" t="s">
        <v>99</v>
      </c>
      <c r="F29" s="184">
        <v>0.16</v>
      </c>
      <c r="G29" s="184">
        <v>2.2999999999999998</v>
      </c>
      <c r="J29" t="s">
        <v>182</v>
      </c>
      <c r="L29" t="s">
        <v>305</v>
      </c>
      <c r="M29" s="184">
        <v>500</v>
      </c>
      <c r="N29" t="s">
        <v>133</v>
      </c>
      <c r="P29" s="184">
        <v>100.27</v>
      </c>
      <c r="R29" t="s">
        <v>385</v>
      </c>
      <c r="S29">
        <v>8.587932308371846E-4</v>
      </c>
      <c r="T29" t="s">
        <v>136</v>
      </c>
      <c r="U29" t="s">
        <v>422</v>
      </c>
      <c r="V29" t="s">
        <v>387</v>
      </c>
      <c r="W29" t="s">
        <v>139</v>
      </c>
      <c r="X29" t="s">
        <v>425</v>
      </c>
      <c r="Y29" t="s">
        <v>426</v>
      </c>
      <c r="Z29" t="s">
        <v>96</v>
      </c>
      <c r="AA29" t="s">
        <v>96</v>
      </c>
    </row>
    <row r="30" spans="1:27" x14ac:dyDescent="0.2">
      <c r="A30" t="s">
        <v>433</v>
      </c>
      <c r="B30" t="s">
        <v>303</v>
      </c>
      <c r="C30" s="184">
        <v>12496184</v>
      </c>
      <c r="D30" s="184">
        <v>0</v>
      </c>
      <c r="E30" t="s">
        <v>99</v>
      </c>
      <c r="F30" s="184">
        <v>0.08</v>
      </c>
      <c r="G30" s="184">
        <v>6.74</v>
      </c>
      <c r="J30" t="s">
        <v>182</v>
      </c>
      <c r="L30" t="s">
        <v>305</v>
      </c>
      <c r="M30" s="184">
        <v>500</v>
      </c>
      <c r="N30" t="s">
        <v>133</v>
      </c>
      <c r="P30" s="184">
        <v>99.79</v>
      </c>
      <c r="R30" t="s">
        <v>385</v>
      </c>
      <c r="S30">
        <v>8.5932844928111917E-4</v>
      </c>
      <c r="T30" t="s">
        <v>136</v>
      </c>
      <c r="U30" t="s">
        <v>422</v>
      </c>
      <c r="V30" t="s">
        <v>387</v>
      </c>
      <c r="W30" t="s">
        <v>139</v>
      </c>
      <c r="X30" t="s">
        <v>425</v>
      </c>
      <c r="Y30" t="s">
        <v>426</v>
      </c>
      <c r="Z30" t="s">
        <v>96</v>
      </c>
      <c r="AA30" t="s">
        <v>96</v>
      </c>
    </row>
    <row r="31" spans="1:27" x14ac:dyDescent="0.2">
      <c r="A31" t="s">
        <v>434</v>
      </c>
      <c r="B31" t="s">
        <v>357</v>
      </c>
      <c r="C31" s="184">
        <v>24410587</v>
      </c>
      <c r="D31" s="184">
        <v>0</v>
      </c>
      <c r="E31" t="s">
        <v>99</v>
      </c>
      <c r="F31" s="184">
        <v>0.25</v>
      </c>
      <c r="G31" s="184">
        <v>1.8</v>
      </c>
      <c r="J31" t="s">
        <v>358</v>
      </c>
      <c r="L31" t="s">
        <v>360</v>
      </c>
      <c r="M31" s="184">
        <v>1000</v>
      </c>
      <c r="N31" t="s">
        <v>133</v>
      </c>
      <c r="P31" s="184">
        <v>100.41</v>
      </c>
      <c r="R31" t="s">
        <v>385</v>
      </c>
      <c r="S31">
        <v>1.6857558317723395E-3</v>
      </c>
      <c r="T31" t="s">
        <v>136</v>
      </c>
      <c r="U31" t="s">
        <v>422</v>
      </c>
      <c r="V31" t="s">
        <v>387</v>
      </c>
      <c r="W31" t="s">
        <v>139</v>
      </c>
      <c r="X31" t="s">
        <v>425</v>
      </c>
      <c r="Y31" t="s">
        <v>426</v>
      </c>
      <c r="Z31" t="s">
        <v>96</v>
      </c>
      <c r="AA31" t="s">
        <v>96</v>
      </c>
    </row>
    <row r="32" spans="1:27" x14ac:dyDescent="0.2">
      <c r="A32" t="s">
        <v>434</v>
      </c>
      <c r="B32" t="s">
        <v>357</v>
      </c>
      <c r="C32" s="184">
        <v>24423060</v>
      </c>
      <c r="D32" s="184">
        <v>0</v>
      </c>
      <c r="E32" t="s">
        <v>99</v>
      </c>
      <c r="F32" s="184">
        <v>0.17</v>
      </c>
      <c r="G32" s="184">
        <v>4</v>
      </c>
      <c r="J32" t="s">
        <v>358</v>
      </c>
      <c r="L32" t="s">
        <v>360</v>
      </c>
      <c r="M32" s="184">
        <v>1000</v>
      </c>
      <c r="N32" t="s">
        <v>133</v>
      </c>
      <c r="P32" s="184">
        <v>99.92</v>
      </c>
      <c r="R32" t="s">
        <v>385</v>
      </c>
      <c r="S32">
        <v>1.6989263944180149E-3</v>
      </c>
      <c r="T32" t="s">
        <v>136</v>
      </c>
      <c r="U32" t="s">
        <v>422</v>
      </c>
      <c r="V32" t="s">
        <v>387</v>
      </c>
      <c r="W32" t="s">
        <v>139</v>
      </c>
      <c r="X32" t="s">
        <v>425</v>
      </c>
      <c r="Y32" t="s">
        <v>426</v>
      </c>
      <c r="Z32" t="s">
        <v>96</v>
      </c>
      <c r="AA32" t="s">
        <v>96</v>
      </c>
    </row>
    <row r="33" spans="1:27" x14ac:dyDescent="0.2">
      <c r="A33" t="s">
        <v>434</v>
      </c>
      <c r="B33" t="s">
        <v>357</v>
      </c>
      <c r="C33" s="184">
        <v>24739444</v>
      </c>
      <c r="D33" s="184">
        <v>0</v>
      </c>
      <c r="E33" t="s">
        <v>99</v>
      </c>
      <c r="F33" s="184">
        <v>0.08</v>
      </c>
      <c r="G33" s="184">
        <v>0.47</v>
      </c>
      <c r="J33" t="s">
        <v>358</v>
      </c>
      <c r="L33" t="s">
        <v>360</v>
      </c>
      <c r="M33" s="184">
        <v>1000</v>
      </c>
      <c r="N33" t="s">
        <v>133</v>
      </c>
      <c r="P33" s="184">
        <v>100.24</v>
      </c>
      <c r="R33" t="s">
        <v>385</v>
      </c>
      <c r="S33">
        <v>1.7236726630167187E-3</v>
      </c>
      <c r="T33" t="s">
        <v>136</v>
      </c>
      <c r="U33" t="s">
        <v>422</v>
      </c>
      <c r="V33" t="s">
        <v>387</v>
      </c>
      <c r="W33" t="s">
        <v>139</v>
      </c>
      <c r="X33" t="s">
        <v>425</v>
      </c>
      <c r="Y33" t="s">
        <v>426</v>
      </c>
      <c r="Z33" t="s">
        <v>96</v>
      </c>
      <c r="AA33" t="s">
        <v>96</v>
      </c>
    </row>
    <row r="34" spans="1:27" x14ac:dyDescent="0.2">
      <c r="A34" t="s">
        <v>434</v>
      </c>
      <c r="B34" t="s">
        <v>357</v>
      </c>
      <c r="C34" s="184">
        <v>24980774</v>
      </c>
      <c r="D34" s="184">
        <v>0</v>
      </c>
      <c r="E34" t="s">
        <v>99</v>
      </c>
      <c r="F34" s="184">
        <v>0</v>
      </c>
      <c r="G34" s="184">
        <v>0</v>
      </c>
      <c r="J34" t="s">
        <v>358</v>
      </c>
      <c r="L34" t="s">
        <v>360</v>
      </c>
      <c r="M34" s="184">
        <v>1000</v>
      </c>
      <c r="N34" t="s">
        <v>133</v>
      </c>
      <c r="P34" s="184">
        <v>0</v>
      </c>
      <c r="R34" t="s">
        <v>385</v>
      </c>
      <c r="S34">
        <v>1.7191836425293669E-3</v>
      </c>
      <c r="T34" t="s">
        <v>136</v>
      </c>
      <c r="U34" t="s">
        <v>422</v>
      </c>
      <c r="V34" t="s">
        <v>387</v>
      </c>
      <c r="W34" t="s">
        <v>139</v>
      </c>
      <c r="X34" t="s">
        <v>425</v>
      </c>
      <c r="Y34" t="s">
        <v>426</v>
      </c>
      <c r="Z34" t="s">
        <v>96</v>
      </c>
      <c r="AA34" t="s">
        <v>96</v>
      </c>
    </row>
    <row r="35" spans="1:27" x14ac:dyDescent="0.2">
      <c r="A35" t="s">
        <v>435</v>
      </c>
      <c r="B35" t="s">
        <v>362</v>
      </c>
      <c r="C35" s="184">
        <v>49047701</v>
      </c>
      <c r="D35" s="184">
        <v>0</v>
      </c>
      <c r="E35" t="s">
        <v>99</v>
      </c>
      <c r="F35" s="184">
        <v>0</v>
      </c>
      <c r="G35" s="184">
        <v>1.99</v>
      </c>
      <c r="J35" t="s">
        <v>182</v>
      </c>
      <c r="L35" t="s">
        <v>364</v>
      </c>
      <c r="M35" s="184">
        <v>2000</v>
      </c>
      <c r="N35" t="s">
        <v>133</v>
      </c>
      <c r="P35" s="184">
        <v>0</v>
      </c>
      <c r="R35" t="s">
        <v>385</v>
      </c>
      <c r="S35">
        <v>3.3871552534060741E-3</v>
      </c>
      <c r="T35" t="s">
        <v>136</v>
      </c>
      <c r="U35" t="s">
        <v>422</v>
      </c>
      <c r="V35" t="s">
        <v>387</v>
      </c>
      <c r="W35" t="s">
        <v>139</v>
      </c>
      <c r="X35" t="s">
        <v>425</v>
      </c>
      <c r="Y35" t="s">
        <v>426</v>
      </c>
      <c r="Z35" t="s">
        <v>96</v>
      </c>
      <c r="AA35" t="s">
        <v>96</v>
      </c>
    </row>
    <row r="36" spans="1:27" x14ac:dyDescent="0.2">
      <c r="A36" t="s">
        <v>436</v>
      </c>
      <c r="B36" t="s">
        <v>362</v>
      </c>
      <c r="C36" s="184">
        <v>97070373</v>
      </c>
      <c r="D36" s="184">
        <v>0.01</v>
      </c>
      <c r="E36" t="s">
        <v>99</v>
      </c>
      <c r="F36" s="184">
        <v>0.42</v>
      </c>
      <c r="G36" s="184">
        <v>2.37</v>
      </c>
      <c r="J36" t="s">
        <v>182</v>
      </c>
      <c r="L36" t="s">
        <v>364</v>
      </c>
      <c r="M36" s="184">
        <v>4000</v>
      </c>
      <c r="N36" t="s">
        <v>133</v>
      </c>
      <c r="P36" s="184">
        <v>100.54</v>
      </c>
      <c r="R36" t="s">
        <v>385</v>
      </c>
      <c r="S36">
        <v>6.8161846643433515E-3</v>
      </c>
      <c r="T36" t="s">
        <v>136</v>
      </c>
      <c r="U36" t="s">
        <v>422</v>
      </c>
      <c r="V36" t="s">
        <v>387</v>
      </c>
      <c r="W36" t="s">
        <v>139</v>
      </c>
      <c r="X36" t="s">
        <v>425</v>
      </c>
      <c r="Y36" t="s">
        <v>426</v>
      </c>
      <c r="Z36" t="s">
        <v>96</v>
      </c>
      <c r="AA36" t="s">
        <v>96</v>
      </c>
    </row>
    <row r="37" spans="1:27" x14ac:dyDescent="0.2">
      <c r="A37" t="s">
        <v>436</v>
      </c>
      <c r="B37" t="s">
        <v>362</v>
      </c>
      <c r="C37" s="184">
        <v>98568911</v>
      </c>
      <c r="D37" s="184">
        <v>0.01</v>
      </c>
      <c r="E37" t="s">
        <v>99</v>
      </c>
      <c r="F37" s="184">
        <v>0.57999999999999996</v>
      </c>
      <c r="G37" s="184">
        <v>1.23</v>
      </c>
      <c r="J37" t="s">
        <v>182</v>
      </c>
      <c r="L37" t="s">
        <v>364</v>
      </c>
      <c r="M37" s="184">
        <v>4000</v>
      </c>
      <c r="N37" t="s">
        <v>133</v>
      </c>
      <c r="P37" s="184">
        <v>101.42</v>
      </c>
      <c r="R37" t="s">
        <v>385</v>
      </c>
      <c r="S37">
        <v>6.984189671945704E-3</v>
      </c>
      <c r="T37" t="s">
        <v>136</v>
      </c>
      <c r="U37" t="s">
        <v>422</v>
      </c>
      <c r="V37" t="s">
        <v>387</v>
      </c>
      <c r="W37" t="s">
        <v>139</v>
      </c>
      <c r="X37" t="s">
        <v>425</v>
      </c>
      <c r="Y37" t="s">
        <v>426</v>
      </c>
      <c r="Z37" t="s">
        <v>96</v>
      </c>
      <c r="AA37" t="s">
        <v>96</v>
      </c>
    </row>
    <row r="38" spans="1:27" x14ac:dyDescent="0.2">
      <c r="A38" t="s">
        <v>436</v>
      </c>
      <c r="B38" t="s">
        <v>362</v>
      </c>
      <c r="C38" s="184">
        <v>98688247</v>
      </c>
      <c r="D38" s="184">
        <v>0.01</v>
      </c>
      <c r="E38" t="s">
        <v>99</v>
      </c>
      <c r="F38" s="184">
        <v>0.5</v>
      </c>
      <c r="G38" s="184">
        <v>1.96</v>
      </c>
      <c r="J38" t="s">
        <v>182</v>
      </c>
      <c r="L38" t="s">
        <v>364</v>
      </c>
      <c r="M38" s="184">
        <v>4000</v>
      </c>
      <c r="N38" t="s">
        <v>133</v>
      </c>
      <c r="P38" s="184">
        <v>100.86</v>
      </c>
      <c r="R38" t="s">
        <v>385</v>
      </c>
      <c r="S38">
        <v>6.9749908758180166E-3</v>
      </c>
      <c r="T38" t="s">
        <v>136</v>
      </c>
      <c r="U38" t="s">
        <v>422</v>
      </c>
      <c r="V38" t="s">
        <v>387</v>
      </c>
      <c r="W38" t="s">
        <v>139</v>
      </c>
      <c r="X38" t="s">
        <v>425</v>
      </c>
      <c r="Y38" t="s">
        <v>426</v>
      </c>
      <c r="Z38" t="s">
        <v>96</v>
      </c>
      <c r="AA38" t="s">
        <v>96</v>
      </c>
    </row>
    <row r="39" spans="1:27" x14ac:dyDescent="0.2">
      <c r="A39" t="s">
        <v>436</v>
      </c>
      <c r="B39" t="s">
        <v>362</v>
      </c>
      <c r="C39" s="184">
        <v>588030366</v>
      </c>
      <c r="D39" s="184">
        <v>0.04</v>
      </c>
      <c r="E39" t="s">
        <v>99</v>
      </c>
      <c r="F39" s="184">
        <v>0.33</v>
      </c>
      <c r="G39" s="184">
        <v>0.6</v>
      </c>
      <c r="J39" t="s">
        <v>182</v>
      </c>
      <c r="L39" t="s">
        <v>364</v>
      </c>
      <c r="M39" s="184">
        <v>24000</v>
      </c>
      <c r="N39" t="s">
        <v>133</v>
      </c>
      <c r="P39" s="184">
        <v>101.02</v>
      </c>
      <c r="R39" t="s">
        <v>385</v>
      </c>
      <c r="S39">
        <v>4.0608430216926915E-2</v>
      </c>
      <c r="T39" t="s">
        <v>136</v>
      </c>
      <c r="U39" t="s">
        <v>422</v>
      </c>
      <c r="V39" t="s">
        <v>387</v>
      </c>
      <c r="W39" t="s">
        <v>139</v>
      </c>
      <c r="X39" t="s">
        <v>425</v>
      </c>
      <c r="Y39" t="s">
        <v>426</v>
      </c>
      <c r="Z39" t="s">
        <v>96</v>
      </c>
      <c r="AA39" t="s">
        <v>96</v>
      </c>
    </row>
    <row r="40" spans="1:27" x14ac:dyDescent="0.2">
      <c r="A40" t="s">
        <v>436</v>
      </c>
      <c r="B40" t="s">
        <v>362</v>
      </c>
      <c r="C40" s="184">
        <v>591150950</v>
      </c>
      <c r="D40" s="184">
        <v>0.04</v>
      </c>
      <c r="E40" t="s">
        <v>99</v>
      </c>
      <c r="F40" s="184">
        <v>0.25</v>
      </c>
      <c r="G40" s="184">
        <v>-0.27</v>
      </c>
      <c r="J40" t="s">
        <v>182</v>
      </c>
      <c r="L40" t="s">
        <v>364</v>
      </c>
      <c r="M40" s="184">
        <v>24000</v>
      </c>
      <c r="N40" t="s">
        <v>133</v>
      </c>
      <c r="P40" s="184">
        <v>100.98</v>
      </c>
      <c r="R40" t="s">
        <v>385</v>
      </c>
      <c r="S40">
        <v>4.1121872199482136E-2</v>
      </c>
      <c r="T40" t="s">
        <v>136</v>
      </c>
      <c r="U40" t="s">
        <v>422</v>
      </c>
      <c r="V40" t="s">
        <v>387</v>
      </c>
      <c r="W40" t="s">
        <v>139</v>
      </c>
      <c r="X40" t="s">
        <v>425</v>
      </c>
      <c r="Y40" t="s">
        <v>426</v>
      </c>
      <c r="Z40" t="s">
        <v>96</v>
      </c>
      <c r="AA40" t="s">
        <v>96</v>
      </c>
    </row>
    <row r="41" spans="1:27" x14ac:dyDescent="0.2">
      <c r="A41" t="s">
        <v>436</v>
      </c>
      <c r="B41" t="s">
        <v>362</v>
      </c>
      <c r="C41" s="184">
        <v>594824047</v>
      </c>
      <c r="D41" s="184">
        <v>0.04</v>
      </c>
      <c r="E41" t="s">
        <v>99</v>
      </c>
      <c r="F41" s="184">
        <v>0.17</v>
      </c>
      <c r="G41" s="184">
        <v>-0.16</v>
      </c>
      <c r="J41" t="s">
        <v>182</v>
      </c>
      <c r="L41" t="s">
        <v>364</v>
      </c>
      <c r="M41" s="184">
        <v>24000</v>
      </c>
      <c r="N41" t="s">
        <v>133</v>
      </c>
      <c r="P41" s="184">
        <v>100.63</v>
      </c>
      <c r="R41" t="s">
        <v>385</v>
      </c>
      <c r="S41">
        <v>4.1443209035695053E-2</v>
      </c>
      <c r="T41" t="s">
        <v>136</v>
      </c>
      <c r="U41" t="s">
        <v>422</v>
      </c>
      <c r="V41" t="s">
        <v>387</v>
      </c>
      <c r="W41" t="s">
        <v>139</v>
      </c>
      <c r="X41" t="s">
        <v>425</v>
      </c>
      <c r="Y41" t="s">
        <v>426</v>
      </c>
      <c r="Z41" t="s">
        <v>96</v>
      </c>
      <c r="AA41" t="s">
        <v>96</v>
      </c>
    </row>
    <row r="42" spans="1:27" x14ac:dyDescent="0.2">
      <c r="A42" t="s">
        <v>436</v>
      </c>
      <c r="B42" t="s">
        <v>362</v>
      </c>
      <c r="C42" s="184">
        <v>600085586</v>
      </c>
      <c r="D42" s="184">
        <v>0.04</v>
      </c>
      <c r="E42" t="s">
        <v>99</v>
      </c>
      <c r="F42" s="184">
        <v>0.08</v>
      </c>
      <c r="G42" s="184">
        <v>0.2</v>
      </c>
      <c r="J42" t="s">
        <v>182</v>
      </c>
      <c r="L42" t="s">
        <v>364</v>
      </c>
      <c r="M42" s="184">
        <v>24000</v>
      </c>
      <c r="N42" t="s">
        <v>133</v>
      </c>
      <c r="P42" s="184">
        <v>100.28</v>
      </c>
      <c r="R42" t="s">
        <v>385</v>
      </c>
      <c r="S42">
        <v>4.1298052797277204E-2</v>
      </c>
      <c r="T42" t="s">
        <v>136</v>
      </c>
      <c r="U42" t="s">
        <v>422</v>
      </c>
      <c r="V42" t="s">
        <v>387</v>
      </c>
      <c r="W42" t="s">
        <v>139</v>
      </c>
      <c r="X42" t="s">
        <v>425</v>
      </c>
      <c r="Y42" t="s">
        <v>426</v>
      </c>
      <c r="Z42" t="s">
        <v>96</v>
      </c>
      <c r="AA42" t="s">
        <v>96</v>
      </c>
    </row>
    <row r="43" spans="1:27" x14ac:dyDescent="0.2">
      <c r="A43" t="s">
        <v>436</v>
      </c>
      <c r="B43" t="s">
        <v>362</v>
      </c>
      <c r="C43" s="184">
        <v>601949320</v>
      </c>
      <c r="D43" s="184">
        <v>0.04</v>
      </c>
      <c r="E43" t="s">
        <v>99</v>
      </c>
      <c r="F43" s="184">
        <v>0</v>
      </c>
      <c r="G43" s="184">
        <v>4</v>
      </c>
      <c r="J43" t="s">
        <v>182</v>
      </c>
      <c r="L43" t="s">
        <v>364</v>
      </c>
      <c r="M43" s="184">
        <v>24000</v>
      </c>
      <c r="N43" t="s">
        <v>133</v>
      </c>
      <c r="P43" s="184">
        <v>0</v>
      </c>
      <c r="R43" t="s">
        <v>385</v>
      </c>
      <c r="S43">
        <v>4.139441094188627E-2</v>
      </c>
      <c r="T43" t="s">
        <v>136</v>
      </c>
      <c r="U43" t="s">
        <v>422</v>
      </c>
      <c r="V43" t="s">
        <v>387</v>
      </c>
      <c r="W43" t="s">
        <v>139</v>
      </c>
      <c r="X43" t="s">
        <v>425</v>
      </c>
      <c r="Y43" t="s">
        <v>426</v>
      </c>
      <c r="Z43" t="s">
        <v>96</v>
      </c>
      <c r="AA43" t="s">
        <v>96</v>
      </c>
    </row>
    <row r="44" spans="1:27" x14ac:dyDescent="0.2">
      <c r="A44" t="s">
        <v>437</v>
      </c>
      <c r="B44" t="s">
        <v>438</v>
      </c>
      <c r="C44" s="184">
        <v>6</v>
      </c>
      <c r="D44" s="184">
        <v>0</v>
      </c>
      <c r="E44" t="s">
        <v>100</v>
      </c>
      <c r="F44" s="184">
        <v>0</v>
      </c>
      <c r="G44" s="184">
        <v>0</v>
      </c>
      <c r="H44" t="s">
        <v>439</v>
      </c>
      <c r="I44" t="s">
        <v>440</v>
      </c>
      <c r="J44" t="s">
        <v>182</v>
      </c>
      <c r="K44" t="s">
        <v>441</v>
      </c>
      <c r="L44" t="s">
        <v>442</v>
      </c>
      <c r="M44" s="184">
        <v>0</v>
      </c>
      <c r="O44" t="s">
        <v>102</v>
      </c>
      <c r="P44" s="184">
        <v>1471.22</v>
      </c>
      <c r="Q44" t="s">
        <v>134</v>
      </c>
      <c r="R44" t="s">
        <v>385</v>
      </c>
      <c r="S44">
        <v>3.0187559298224589E-10</v>
      </c>
      <c r="T44" t="s">
        <v>136</v>
      </c>
      <c r="U44" t="s">
        <v>386</v>
      </c>
      <c r="V44" t="s">
        <v>387</v>
      </c>
      <c r="W44" t="s">
        <v>178</v>
      </c>
      <c r="X44" t="s">
        <v>443</v>
      </c>
      <c r="Y44" t="s">
        <v>444</v>
      </c>
      <c r="Z44" t="s">
        <v>96</v>
      </c>
      <c r="AA44" t="s">
        <v>96</v>
      </c>
    </row>
    <row r="45" spans="1:27" x14ac:dyDescent="0.2">
      <c r="A45" t="s">
        <v>437</v>
      </c>
      <c r="B45" t="s">
        <v>438</v>
      </c>
      <c r="C45" s="184">
        <v>752056</v>
      </c>
      <c r="D45" s="184">
        <v>0</v>
      </c>
      <c r="E45" t="s">
        <v>100</v>
      </c>
      <c r="F45" s="184">
        <v>0</v>
      </c>
      <c r="G45" s="184">
        <v>0</v>
      </c>
      <c r="H45" t="s">
        <v>439</v>
      </c>
      <c r="I45" t="s">
        <v>440</v>
      </c>
      <c r="J45" t="s">
        <v>182</v>
      </c>
      <c r="K45" t="s">
        <v>441</v>
      </c>
      <c r="L45" t="s">
        <v>442</v>
      </c>
      <c r="M45" s="184">
        <v>524.73</v>
      </c>
      <c r="O45" t="s">
        <v>102</v>
      </c>
      <c r="P45" s="184">
        <v>1433.22</v>
      </c>
      <c r="Q45" t="s">
        <v>134</v>
      </c>
      <c r="R45" t="s">
        <v>385</v>
      </c>
      <c r="S45">
        <v>5.1935776383393756E-5</v>
      </c>
      <c r="T45" t="s">
        <v>136</v>
      </c>
      <c r="U45" t="s">
        <v>386</v>
      </c>
      <c r="V45" t="s">
        <v>387</v>
      </c>
      <c r="W45" t="s">
        <v>178</v>
      </c>
      <c r="X45" t="s">
        <v>443</v>
      </c>
      <c r="Y45" t="s">
        <v>444</v>
      </c>
      <c r="Z45" t="s">
        <v>96</v>
      </c>
      <c r="AA45" t="s">
        <v>96</v>
      </c>
    </row>
    <row r="46" spans="1:27" x14ac:dyDescent="0.2">
      <c r="A46" t="s">
        <v>437</v>
      </c>
      <c r="B46" t="s">
        <v>438</v>
      </c>
      <c r="C46" s="184">
        <v>3115368</v>
      </c>
      <c r="D46" s="184">
        <v>0</v>
      </c>
      <c r="E46" t="s">
        <v>100</v>
      </c>
      <c r="F46" s="184">
        <v>0</v>
      </c>
      <c r="G46" s="184">
        <v>0</v>
      </c>
      <c r="H46" t="s">
        <v>439</v>
      </c>
      <c r="I46" t="s">
        <v>440</v>
      </c>
      <c r="J46" t="s">
        <v>182</v>
      </c>
      <c r="K46" t="s">
        <v>441</v>
      </c>
      <c r="L46" t="s">
        <v>442</v>
      </c>
      <c r="M46" s="184">
        <v>2126.6999999999998</v>
      </c>
      <c r="O46" t="s">
        <v>102</v>
      </c>
      <c r="P46" s="184">
        <v>1464.89</v>
      </c>
      <c r="Q46" t="s">
        <v>134</v>
      </c>
      <c r="R46" t="s">
        <v>385</v>
      </c>
      <c r="S46">
        <v>2.0397921754394178E-4</v>
      </c>
      <c r="T46" t="s">
        <v>136</v>
      </c>
      <c r="U46" t="s">
        <v>386</v>
      </c>
      <c r="V46" t="s">
        <v>387</v>
      </c>
      <c r="W46" t="s">
        <v>178</v>
      </c>
      <c r="X46" t="s">
        <v>443</v>
      </c>
      <c r="Y46" t="s">
        <v>444</v>
      </c>
      <c r="Z46" t="s">
        <v>96</v>
      </c>
      <c r="AA46" t="s">
        <v>96</v>
      </c>
    </row>
    <row r="47" spans="1:27" x14ac:dyDescent="0.2">
      <c r="A47" t="s">
        <v>437</v>
      </c>
      <c r="B47" t="s">
        <v>438</v>
      </c>
      <c r="C47" s="184">
        <v>3978275</v>
      </c>
      <c r="D47" s="184">
        <v>0</v>
      </c>
      <c r="E47" t="s">
        <v>100</v>
      </c>
      <c r="F47" s="184">
        <v>0</v>
      </c>
      <c r="G47" s="184">
        <v>0</v>
      </c>
      <c r="H47" t="s">
        <v>439</v>
      </c>
      <c r="I47" t="s">
        <v>440</v>
      </c>
      <c r="J47" t="s">
        <v>182</v>
      </c>
      <c r="K47" t="s">
        <v>441</v>
      </c>
      <c r="L47" t="s">
        <v>442</v>
      </c>
      <c r="M47" s="184">
        <v>2731.16</v>
      </c>
      <c r="O47" t="s">
        <v>102</v>
      </c>
      <c r="P47" s="184">
        <v>1456.63</v>
      </c>
      <c r="Q47" t="s">
        <v>134</v>
      </c>
      <c r="R47" t="s">
        <v>385</v>
      </c>
      <c r="S47">
        <v>2.668036332086817E-4</v>
      </c>
      <c r="T47" t="s">
        <v>136</v>
      </c>
      <c r="U47" t="s">
        <v>386</v>
      </c>
      <c r="V47" t="s">
        <v>387</v>
      </c>
      <c r="W47" t="s">
        <v>178</v>
      </c>
      <c r="X47" t="s">
        <v>443</v>
      </c>
      <c r="Y47" t="s">
        <v>444</v>
      </c>
      <c r="Z47" t="s">
        <v>96</v>
      </c>
      <c r="AA47" t="s">
        <v>96</v>
      </c>
    </row>
    <row r="48" spans="1:27" x14ac:dyDescent="0.2">
      <c r="A48" t="s">
        <v>437</v>
      </c>
      <c r="B48" t="s">
        <v>438</v>
      </c>
      <c r="C48" s="184">
        <v>4945742</v>
      </c>
      <c r="D48" s="184">
        <v>0</v>
      </c>
      <c r="E48" t="s">
        <v>100</v>
      </c>
      <c r="F48" s="184">
        <v>0</v>
      </c>
      <c r="G48" s="184">
        <v>0</v>
      </c>
      <c r="H48" t="s">
        <v>439</v>
      </c>
      <c r="I48" t="s">
        <v>440</v>
      </c>
      <c r="J48" t="s">
        <v>182</v>
      </c>
      <c r="K48" t="s">
        <v>441</v>
      </c>
      <c r="L48" t="s">
        <v>442</v>
      </c>
      <c r="M48" s="184">
        <v>3407.69</v>
      </c>
      <c r="O48" t="s">
        <v>102</v>
      </c>
      <c r="P48" s="184">
        <v>1451.35</v>
      </c>
      <c r="Q48" t="s">
        <v>134</v>
      </c>
      <c r="R48" t="s">
        <v>385</v>
      </c>
      <c r="S48">
        <v>3.3331193250369875E-4</v>
      </c>
      <c r="T48" t="s">
        <v>136</v>
      </c>
      <c r="U48" t="s">
        <v>386</v>
      </c>
      <c r="V48" t="s">
        <v>387</v>
      </c>
      <c r="W48" t="s">
        <v>178</v>
      </c>
      <c r="X48" t="s">
        <v>443</v>
      </c>
      <c r="Y48" t="s">
        <v>444</v>
      </c>
      <c r="Z48" t="s">
        <v>96</v>
      </c>
      <c r="AA48" t="s">
        <v>96</v>
      </c>
    </row>
    <row r="49" spans="1:27" x14ac:dyDescent="0.2">
      <c r="A49" t="s">
        <v>437</v>
      </c>
      <c r="B49" t="s">
        <v>438</v>
      </c>
      <c r="C49" s="184">
        <v>5526371</v>
      </c>
      <c r="D49" s="184">
        <v>0</v>
      </c>
      <c r="E49" t="s">
        <v>100</v>
      </c>
      <c r="F49" s="184">
        <v>0</v>
      </c>
      <c r="G49" s="184">
        <v>0</v>
      </c>
      <c r="H49" t="s">
        <v>439</v>
      </c>
      <c r="I49" t="s">
        <v>440</v>
      </c>
      <c r="J49" t="s">
        <v>182</v>
      </c>
      <c r="K49" t="s">
        <v>441</v>
      </c>
      <c r="L49" t="s">
        <v>442</v>
      </c>
      <c r="M49" s="184">
        <v>3695.71</v>
      </c>
      <c r="O49" t="s">
        <v>102</v>
      </c>
      <c r="P49" s="184">
        <v>1495.35</v>
      </c>
      <c r="Q49" t="s">
        <v>134</v>
      </c>
      <c r="R49" t="s">
        <v>385</v>
      </c>
      <c r="S49">
        <v>2.8477372734000695E-4</v>
      </c>
      <c r="T49" t="s">
        <v>136</v>
      </c>
      <c r="U49" t="s">
        <v>386</v>
      </c>
      <c r="V49" t="s">
        <v>387</v>
      </c>
      <c r="W49" t="s">
        <v>178</v>
      </c>
      <c r="X49" t="s">
        <v>443</v>
      </c>
      <c r="Y49" t="s">
        <v>444</v>
      </c>
      <c r="Z49" t="s">
        <v>96</v>
      </c>
      <c r="AA49" t="s">
        <v>96</v>
      </c>
    </row>
    <row r="50" spans="1:27" x14ac:dyDescent="0.2">
      <c r="A50" t="s">
        <v>437</v>
      </c>
      <c r="B50" t="s">
        <v>438</v>
      </c>
      <c r="C50" s="184">
        <v>6031687</v>
      </c>
      <c r="D50" s="184">
        <v>0</v>
      </c>
      <c r="E50" t="s">
        <v>100</v>
      </c>
      <c r="F50" s="184">
        <v>0</v>
      </c>
      <c r="G50" s="184">
        <v>0</v>
      </c>
      <c r="H50" t="s">
        <v>439</v>
      </c>
      <c r="I50" t="s">
        <v>440</v>
      </c>
      <c r="J50" t="s">
        <v>182</v>
      </c>
      <c r="K50" t="s">
        <v>441</v>
      </c>
      <c r="L50" t="s">
        <v>442</v>
      </c>
      <c r="M50" s="184">
        <v>4188.95</v>
      </c>
      <c r="O50" t="s">
        <v>102</v>
      </c>
      <c r="P50" s="184">
        <v>1439.91</v>
      </c>
      <c r="Q50" t="s">
        <v>134</v>
      </c>
      <c r="R50" t="s">
        <v>385</v>
      </c>
      <c r="S50">
        <v>4.2024606510046559E-4</v>
      </c>
      <c r="T50" t="s">
        <v>136</v>
      </c>
      <c r="U50" t="s">
        <v>386</v>
      </c>
      <c r="V50" t="s">
        <v>387</v>
      </c>
      <c r="W50" t="s">
        <v>178</v>
      </c>
      <c r="X50" t="s">
        <v>443</v>
      </c>
      <c r="Y50" t="s">
        <v>444</v>
      </c>
      <c r="Z50" t="s">
        <v>96</v>
      </c>
      <c r="AA50" t="s">
        <v>96</v>
      </c>
    </row>
    <row r="51" spans="1:27" x14ac:dyDescent="0.2">
      <c r="A51" t="s">
        <v>437</v>
      </c>
      <c r="B51" t="s">
        <v>438</v>
      </c>
      <c r="C51" s="184">
        <v>7977426</v>
      </c>
      <c r="D51" s="184">
        <v>0</v>
      </c>
      <c r="E51" t="s">
        <v>100</v>
      </c>
      <c r="F51" s="184">
        <v>0</v>
      </c>
      <c r="G51" s="184">
        <v>0</v>
      </c>
      <c r="H51" t="s">
        <v>439</v>
      </c>
      <c r="I51" t="s">
        <v>440</v>
      </c>
      <c r="J51" t="s">
        <v>182</v>
      </c>
      <c r="K51" t="s">
        <v>441</v>
      </c>
      <c r="L51" t="s">
        <v>442</v>
      </c>
      <c r="M51" s="184">
        <v>5361.87</v>
      </c>
      <c r="O51" t="s">
        <v>102</v>
      </c>
      <c r="P51" s="184">
        <v>1487.81</v>
      </c>
      <c r="Q51" t="s">
        <v>134</v>
      </c>
      <c r="R51" t="s">
        <v>385</v>
      </c>
      <c r="S51">
        <v>4.1455793813298939E-4</v>
      </c>
      <c r="T51" t="s">
        <v>136</v>
      </c>
      <c r="U51" t="s">
        <v>386</v>
      </c>
      <c r="V51" t="s">
        <v>387</v>
      </c>
      <c r="W51" t="s">
        <v>178</v>
      </c>
      <c r="X51" t="s">
        <v>443</v>
      </c>
      <c r="Y51" t="s">
        <v>444</v>
      </c>
      <c r="Z51" t="s">
        <v>96</v>
      </c>
      <c r="AA51" t="s">
        <v>96</v>
      </c>
    </row>
    <row r="52" spans="1:27" x14ac:dyDescent="0.2">
      <c r="A52" t="s">
        <v>437</v>
      </c>
      <c r="B52" t="s">
        <v>438</v>
      </c>
      <c r="C52" s="184">
        <v>8645405</v>
      </c>
      <c r="D52" s="184">
        <v>0</v>
      </c>
      <c r="E52" t="s">
        <v>100</v>
      </c>
      <c r="F52" s="184">
        <v>0</v>
      </c>
      <c r="G52" s="184">
        <v>0</v>
      </c>
      <c r="H52" t="s">
        <v>439</v>
      </c>
      <c r="I52" t="s">
        <v>440</v>
      </c>
      <c r="J52" t="s">
        <v>182</v>
      </c>
      <c r="K52" t="s">
        <v>441</v>
      </c>
      <c r="L52" t="s">
        <v>442</v>
      </c>
      <c r="M52" s="184">
        <v>6018.18</v>
      </c>
      <c r="O52" t="s">
        <v>102</v>
      </c>
      <c r="P52" s="184">
        <v>1436.55</v>
      </c>
      <c r="Q52" t="s">
        <v>134</v>
      </c>
      <c r="R52" t="s">
        <v>385</v>
      </c>
      <c r="S52">
        <v>6.0139502359382807E-4</v>
      </c>
      <c r="T52" t="s">
        <v>136</v>
      </c>
      <c r="U52" t="s">
        <v>386</v>
      </c>
      <c r="V52" t="s">
        <v>387</v>
      </c>
      <c r="W52" t="s">
        <v>178</v>
      </c>
      <c r="X52" t="s">
        <v>443</v>
      </c>
      <c r="Y52" t="s">
        <v>444</v>
      </c>
      <c r="Z52" t="s">
        <v>96</v>
      </c>
      <c r="AA52" t="s">
        <v>96</v>
      </c>
    </row>
    <row r="53" spans="1:27" x14ac:dyDescent="0.2">
      <c r="A53" t="s">
        <v>437</v>
      </c>
      <c r="B53" t="s">
        <v>438</v>
      </c>
      <c r="C53" s="184">
        <v>9063987</v>
      </c>
      <c r="D53" s="184">
        <v>0</v>
      </c>
      <c r="E53" t="s">
        <v>100</v>
      </c>
      <c r="F53" s="184">
        <v>0</v>
      </c>
      <c r="G53" s="184">
        <v>0</v>
      </c>
      <c r="H53" t="s">
        <v>439</v>
      </c>
      <c r="I53" t="s">
        <v>440</v>
      </c>
      <c r="J53" t="s">
        <v>182</v>
      </c>
      <c r="K53" t="s">
        <v>441</v>
      </c>
      <c r="L53" t="s">
        <v>442</v>
      </c>
      <c r="M53" s="184">
        <v>6106.64</v>
      </c>
      <c r="O53" t="s">
        <v>102</v>
      </c>
      <c r="P53" s="184">
        <v>1484.28</v>
      </c>
      <c r="Q53" t="s">
        <v>134</v>
      </c>
      <c r="R53" t="s">
        <v>385</v>
      </c>
      <c r="S53">
        <v>4.7571300344577037E-4</v>
      </c>
      <c r="T53" t="s">
        <v>136</v>
      </c>
      <c r="U53" t="s">
        <v>386</v>
      </c>
      <c r="V53" t="s">
        <v>387</v>
      </c>
      <c r="W53" t="s">
        <v>178</v>
      </c>
      <c r="X53" t="s">
        <v>443</v>
      </c>
      <c r="Y53" t="s">
        <v>444</v>
      </c>
      <c r="Z53" t="s">
        <v>96</v>
      </c>
      <c r="AA53" t="s">
        <v>96</v>
      </c>
    </row>
    <row r="54" spans="1:27" x14ac:dyDescent="0.2">
      <c r="A54" t="s">
        <v>437</v>
      </c>
      <c r="B54" t="s">
        <v>438</v>
      </c>
      <c r="C54" s="184">
        <v>9142080</v>
      </c>
      <c r="D54" s="184">
        <v>0</v>
      </c>
      <c r="E54" t="s">
        <v>100</v>
      </c>
      <c r="F54" s="184">
        <v>0</v>
      </c>
      <c r="G54" s="184">
        <v>0</v>
      </c>
      <c r="H54" t="s">
        <v>439</v>
      </c>
      <c r="I54" t="s">
        <v>440</v>
      </c>
      <c r="J54" t="s">
        <v>182</v>
      </c>
      <c r="K54" t="s">
        <v>441</v>
      </c>
      <c r="L54" t="s">
        <v>442</v>
      </c>
      <c r="M54" s="184">
        <v>6287.74</v>
      </c>
      <c r="O54" t="s">
        <v>102</v>
      </c>
      <c r="P54" s="184">
        <v>1453.95</v>
      </c>
      <c r="Q54" t="s">
        <v>134</v>
      </c>
      <c r="R54" t="s">
        <v>385</v>
      </c>
      <c r="S54">
        <v>6.104920288850156E-4</v>
      </c>
      <c r="T54" t="s">
        <v>136</v>
      </c>
      <c r="U54" t="s">
        <v>386</v>
      </c>
      <c r="V54" t="s">
        <v>387</v>
      </c>
      <c r="W54" t="s">
        <v>178</v>
      </c>
      <c r="X54" t="s">
        <v>443</v>
      </c>
      <c r="Y54" t="s">
        <v>444</v>
      </c>
      <c r="Z54" t="s">
        <v>96</v>
      </c>
      <c r="AA54" t="s">
        <v>96</v>
      </c>
    </row>
    <row r="55" spans="1:27" x14ac:dyDescent="0.2">
      <c r="A55" t="s">
        <v>437</v>
      </c>
      <c r="B55" t="s">
        <v>438</v>
      </c>
      <c r="C55" s="184">
        <v>10198368</v>
      </c>
      <c r="D55" s="184">
        <v>0</v>
      </c>
      <c r="E55" t="s">
        <v>100</v>
      </c>
      <c r="F55" s="184">
        <v>0</v>
      </c>
      <c r="G55" s="184">
        <v>0</v>
      </c>
      <c r="H55" t="s">
        <v>439</v>
      </c>
      <c r="I55" t="s">
        <v>440</v>
      </c>
      <c r="J55" t="s">
        <v>182</v>
      </c>
      <c r="K55" t="s">
        <v>441</v>
      </c>
      <c r="L55" t="s">
        <v>442</v>
      </c>
      <c r="M55" s="184">
        <v>6837.19</v>
      </c>
      <c r="O55" t="s">
        <v>102</v>
      </c>
      <c r="P55" s="184">
        <v>1491.6</v>
      </c>
      <c r="Q55" t="s">
        <v>134</v>
      </c>
      <c r="R55" t="s">
        <v>385</v>
      </c>
      <c r="S55">
        <v>5.2768036456951411E-4</v>
      </c>
      <c r="T55" t="s">
        <v>136</v>
      </c>
      <c r="U55" t="s">
        <v>386</v>
      </c>
      <c r="V55" t="s">
        <v>387</v>
      </c>
      <c r="W55" t="s">
        <v>178</v>
      </c>
      <c r="X55" t="s">
        <v>443</v>
      </c>
      <c r="Y55" t="s">
        <v>444</v>
      </c>
      <c r="Z55" t="s">
        <v>96</v>
      </c>
      <c r="AA55" t="s">
        <v>96</v>
      </c>
    </row>
    <row r="56" spans="1:27" x14ac:dyDescent="0.2">
      <c r="A56" t="s">
        <v>437</v>
      </c>
      <c r="B56" t="s">
        <v>438</v>
      </c>
      <c r="C56" s="184">
        <v>11123435</v>
      </c>
      <c r="D56" s="184">
        <v>0</v>
      </c>
      <c r="E56" t="s">
        <v>100</v>
      </c>
      <c r="F56" s="184">
        <v>0</v>
      </c>
      <c r="G56" s="184">
        <v>0</v>
      </c>
      <c r="H56" t="s">
        <v>439</v>
      </c>
      <c r="I56" t="s">
        <v>440</v>
      </c>
      <c r="J56" t="s">
        <v>182</v>
      </c>
      <c r="K56" t="s">
        <v>441</v>
      </c>
      <c r="L56" t="s">
        <v>442</v>
      </c>
      <c r="M56" s="184">
        <v>7706.49</v>
      </c>
      <c r="O56" t="s">
        <v>102</v>
      </c>
      <c r="P56" s="184">
        <v>1443.39</v>
      </c>
      <c r="Q56" t="s">
        <v>134</v>
      </c>
      <c r="R56" t="s">
        <v>385</v>
      </c>
      <c r="S56">
        <v>7.6551781384910839E-4</v>
      </c>
      <c r="T56" t="s">
        <v>136</v>
      </c>
      <c r="U56" t="s">
        <v>386</v>
      </c>
      <c r="V56" t="s">
        <v>387</v>
      </c>
      <c r="W56" t="s">
        <v>178</v>
      </c>
      <c r="X56" t="s">
        <v>443</v>
      </c>
      <c r="Y56" t="s">
        <v>444</v>
      </c>
      <c r="Z56" t="s">
        <v>96</v>
      </c>
      <c r="AA56" t="s">
        <v>96</v>
      </c>
    </row>
    <row r="57" spans="1:27" x14ac:dyDescent="0.2">
      <c r="A57" t="s">
        <v>437</v>
      </c>
      <c r="B57" t="s">
        <v>438</v>
      </c>
      <c r="C57" s="184">
        <v>11334728</v>
      </c>
      <c r="D57" s="184">
        <v>0</v>
      </c>
      <c r="E57" t="s">
        <v>100</v>
      </c>
      <c r="F57" s="184">
        <v>0</v>
      </c>
      <c r="G57" s="184">
        <v>0</v>
      </c>
      <c r="H57" t="s">
        <v>439</v>
      </c>
      <c r="I57" t="s">
        <v>440</v>
      </c>
      <c r="J57" t="s">
        <v>182</v>
      </c>
      <c r="K57" t="s">
        <v>441</v>
      </c>
      <c r="L57" t="s">
        <v>442</v>
      </c>
      <c r="M57" s="184">
        <v>7827.38</v>
      </c>
      <c r="O57" t="s">
        <v>102</v>
      </c>
      <c r="P57" s="184">
        <v>1448.09</v>
      </c>
      <c r="Q57" t="s">
        <v>134</v>
      </c>
      <c r="R57" t="s">
        <v>385</v>
      </c>
      <c r="S57">
        <v>7.7268737559087479E-4</v>
      </c>
      <c r="T57" t="s">
        <v>136</v>
      </c>
      <c r="U57" t="s">
        <v>386</v>
      </c>
      <c r="V57" t="s">
        <v>387</v>
      </c>
      <c r="W57" t="s">
        <v>178</v>
      </c>
      <c r="X57" t="s">
        <v>443</v>
      </c>
      <c r="Y57" t="s">
        <v>444</v>
      </c>
      <c r="Z57" t="s">
        <v>96</v>
      </c>
      <c r="AA57" t="s">
        <v>96</v>
      </c>
    </row>
    <row r="58" spans="1:27" x14ac:dyDescent="0.2">
      <c r="A58" t="s">
        <v>437</v>
      </c>
      <c r="B58" t="s">
        <v>438</v>
      </c>
      <c r="C58" s="184">
        <v>16611977</v>
      </c>
      <c r="D58" s="184">
        <v>0</v>
      </c>
      <c r="E58" t="s">
        <v>100</v>
      </c>
      <c r="F58" s="184">
        <v>0</v>
      </c>
      <c r="G58" s="184">
        <v>0</v>
      </c>
      <c r="H58" t="s">
        <v>439</v>
      </c>
      <c r="I58" t="s">
        <v>440</v>
      </c>
      <c r="J58" t="s">
        <v>182</v>
      </c>
      <c r="K58" t="s">
        <v>441</v>
      </c>
      <c r="L58" t="s">
        <v>442</v>
      </c>
      <c r="M58" s="184">
        <v>11218.04</v>
      </c>
      <c r="O58" t="s">
        <v>102</v>
      </c>
      <c r="P58" s="184">
        <v>1480.83</v>
      </c>
      <c r="Q58" t="s">
        <v>134</v>
      </c>
      <c r="R58" t="s">
        <v>385</v>
      </c>
      <c r="S58">
        <v>8.821326037610379E-4</v>
      </c>
      <c r="T58" t="s">
        <v>136</v>
      </c>
      <c r="U58" t="s">
        <v>386</v>
      </c>
      <c r="V58" t="s">
        <v>387</v>
      </c>
      <c r="W58" t="s">
        <v>178</v>
      </c>
      <c r="X58" t="s">
        <v>443</v>
      </c>
      <c r="Y58" t="s">
        <v>444</v>
      </c>
      <c r="Z58" t="s">
        <v>96</v>
      </c>
      <c r="AA58" t="s">
        <v>96</v>
      </c>
    </row>
    <row r="59" spans="1:27" x14ac:dyDescent="0.2">
      <c r="A59" t="s">
        <v>437</v>
      </c>
      <c r="B59" t="s">
        <v>438</v>
      </c>
      <c r="C59" s="184">
        <v>21033394</v>
      </c>
      <c r="D59" s="184">
        <v>0</v>
      </c>
      <c r="E59" t="s">
        <v>100</v>
      </c>
      <c r="F59" s="184">
        <v>0</v>
      </c>
      <c r="G59" s="184">
        <v>0</v>
      </c>
      <c r="H59" t="s">
        <v>439</v>
      </c>
      <c r="I59" t="s">
        <v>440</v>
      </c>
      <c r="J59" t="s">
        <v>182</v>
      </c>
      <c r="K59" t="s">
        <v>441</v>
      </c>
      <c r="L59" t="s">
        <v>442</v>
      </c>
      <c r="M59" s="184">
        <v>14412.44</v>
      </c>
      <c r="O59" t="s">
        <v>102</v>
      </c>
      <c r="P59" s="184">
        <v>1459.39</v>
      </c>
      <c r="Q59" t="s">
        <v>134</v>
      </c>
      <c r="R59" t="s">
        <v>385</v>
      </c>
      <c r="S59">
        <v>1.402209417811783E-3</v>
      </c>
      <c r="T59" t="s">
        <v>136</v>
      </c>
      <c r="U59" t="s">
        <v>386</v>
      </c>
      <c r="V59" t="s">
        <v>387</v>
      </c>
      <c r="W59" t="s">
        <v>178</v>
      </c>
      <c r="X59" t="s">
        <v>443</v>
      </c>
      <c r="Y59" t="s">
        <v>444</v>
      </c>
      <c r="Z59" t="s">
        <v>96</v>
      </c>
      <c r="AA59" t="s">
        <v>96</v>
      </c>
    </row>
    <row r="60" spans="1:27" x14ac:dyDescent="0.2">
      <c r="A60" t="s">
        <v>437</v>
      </c>
      <c r="B60" t="s">
        <v>438</v>
      </c>
      <c r="C60" s="184">
        <v>24624563</v>
      </c>
      <c r="D60" s="184">
        <v>0</v>
      </c>
      <c r="E60" t="s">
        <v>100</v>
      </c>
      <c r="F60" s="184">
        <v>0</v>
      </c>
      <c r="G60" s="184">
        <v>0</v>
      </c>
      <c r="H60" t="s">
        <v>439</v>
      </c>
      <c r="I60" t="s">
        <v>440</v>
      </c>
      <c r="J60" t="s">
        <v>182</v>
      </c>
      <c r="K60" t="s">
        <v>441</v>
      </c>
      <c r="L60" t="s">
        <v>442</v>
      </c>
      <c r="M60" s="184">
        <v>16702.509999999998</v>
      </c>
      <c r="O60" t="s">
        <v>102</v>
      </c>
      <c r="P60" s="184">
        <v>1474.3</v>
      </c>
      <c r="Q60" t="s">
        <v>134</v>
      </c>
      <c r="R60" t="s">
        <v>385</v>
      </c>
      <c r="S60">
        <v>1.3023467643603662E-3</v>
      </c>
      <c r="T60" t="s">
        <v>136</v>
      </c>
      <c r="U60" t="s">
        <v>386</v>
      </c>
      <c r="V60" t="s">
        <v>387</v>
      </c>
      <c r="W60" t="s">
        <v>178</v>
      </c>
      <c r="X60" t="s">
        <v>443</v>
      </c>
      <c r="Y60" t="s">
        <v>444</v>
      </c>
      <c r="Z60" t="s">
        <v>96</v>
      </c>
      <c r="AA60" t="s">
        <v>96</v>
      </c>
    </row>
    <row r="61" spans="1:27" x14ac:dyDescent="0.2">
      <c r="A61" t="s">
        <v>437</v>
      </c>
      <c r="B61" t="s">
        <v>438</v>
      </c>
      <c r="C61" s="184">
        <v>27552996</v>
      </c>
      <c r="D61" s="184">
        <v>0</v>
      </c>
      <c r="E61" t="s">
        <v>100</v>
      </c>
      <c r="F61" s="184">
        <v>0</v>
      </c>
      <c r="G61" s="184">
        <v>0</v>
      </c>
      <c r="H61" t="s">
        <v>439</v>
      </c>
      <c r="I61" t="s">
        <v>440</v>
      </c>
      <c r="J61" t="s">
        <v>182</v>
      </c>
      <c r="K61" t="s">
        <v>441</v>
      </c>
      <c r="L61" t="s">
        <v>442</v>
      </c>
      <c r="M61" s="184">
        <v>19058.57</v>
      </c>
      <c r="O61" t="s">
        <v>102</v>
      </c>
      <c r="P61" s="184">
        <v>1445.7</v>
      </c>
      <c r="Q61" t="s">
        <v>134</v>
      </c>
      <c r="R61" t="s">
        <v>385</v>
      </c>
      <c r="S61">
        <v>1.8947442935962594E-3</v>
      </c>
      <c r="T61" t="s">
        <v>136</v>
      </c>
      <c r="U61" t="s">
        <v>386</v>
      </c>
      <c r="V61" t="s">
        <v>387</v>
      </c>
      <c r="W61" t="s">
        <v>178</v>
      </c>
      <c r="X61" t="s">
        <v>443</v>
      </c>
      <c r="Y61" t="s">
        <v>444</v>
      </c>
      <c r="Z61" t="s">
        <v>96</v>
      </c>
      <c r="AA61" t="s">
        <v>96</v>
      </c>
    </row>
    <row r="62" spans="1:27" x14ac:dyDescent="0.2">
      <c r="A62" t="s">
        <v>437</v>
      </c>
      <c r="B62" t="s">
        <v>438</v>
      </c>
      <c r="C62" s="184">
        <v>102746097</v>
      </c>
      <c r="D62" s="184">
        <v>0.01</v>
      </c>
      <c r="E62" t="s">
        <v>100</v>
      </c>
      <c r="F62" s="184">
        <v>0</v>
      </c>
      <c r="G62" s="184">
        <v>0</v>
      </c>
      <c r="H62" t="s">
        <v>439</v>
      </c>
      <c r="I62" t="s">
        <v>440</v>
      </c>
      <c r="J62" t="s">
        <v>182</v>
      </c>
      <c r="K62" t="s">
        <v>441</v>
      </c>
      <c r="L62" t="s">
        <v>442</v>
      </c>
      <c r="M62" s="184">
        <v>69545.899999999994</v>
      </c>
      <c r="O62" t="s">
        <v>102</v>
      </c>
      <c r="P62" s="184">
        <v>1477.39</v>
      </c>
      <c r="Q62" t="s">
        <v>134</v>
      </c>
      <c r="R62" t="s">
        <v>385</v>
      </c>
      <c r="S62">
        <v>5.4382326393594589E-3</v>
      </c>
      <c r="T62" t="s">
        <v>136</v>
      </c>
      <c r="U62" t="s">
        <v>386</v>
      </c>
      <c r="V62" t="s">
        <v>387</v>
      </c>
      <c r="W62" t="s">
        <v>178</v>
      </c>
      <c r="X62" t="s">
        <v>443</v>
      </c>
      <c r="Y62" t="s">
        <v>444</v>
      </c>
      <c r="Z62" t="s">
        <v>96</v>
      </c>
      <c r="AA62" t="s">
        <v>96</v>
      </c>
    </row>
    <row r="63" spans="1:27" x14ac:dyDescent="0.2">
      <c r="A63" t="s">
        <v>437</v>
      </c>
      <c r="B63" t="s">
        <v>438</v>
      </c>
      <c r="C63" s="184">
        <v>146881448</v>
      </c>
      <c r="D63" s="184">
        <v>0.01</v>
      </c>
      <c r="E63" t="s">
        <v>100</v>
      </c>
      <c r="F63" s="184">
        <v>0</v>
      </c>
      <c r="G63" s="184">
        <v>0</v>
      </c>
      <c r="H63" t="s">
        <v>439</v>
      </c>
      <c r="I63" t="s">
        <v>440</v>
      </c>
      <c r="J63" t="s">
        <v>182</v>
      </c>
      <c r="K63" t="s">
        <v>441</v>
      </c>
      <c r="L63" t="s">
        <v>442</v>
      </c>
      <c r="M63" s="184">
        <v>100040.76</v>
      </c>
      <c r="O63" t="s">
        <v>102</v>
      </c>
      <c r="P63" s="184">
        <v>1468.22</v>
      </c>
      <c r="Q63" t="s">
        <v>134</v>
      </c>
      <c r="R63" t="s">
        <v>385</v>
      </c>
      <c r="S63">
        <v>9.4993891660009201E-3</v>
      </c>
      <c r="T63" t="s">
        <v>136</v>
      </c>
      <c r="U63" t="s">
        <v>386</v>
      </c>
      <c r="V63" t="s">
        <v>387</v>
      </c>
      <c r="W63" t="s">
        <v>178</v>
      </c>
      <c r="X63" t="s">
        <v>443</v>
      </c>
      <c r="Y63" t="s">
        <v>444</v>
      </c>
      <c r="Z63" t="s">
        <v>96</v>
      </c>
      <c r="AA63" t="s">
        <v>96</v>
      </c>
    </row>
    <row r="64" spans="1:27" x14ac:dyDescent="0.2">
      <c r="A64" t="s">
        <v>437</v>
      </c>
      <c r="B64" t="s">
        <v>438</v>
      </c>
      <c r="C64" s="184">
        <v>346504221</v>
      </c>
      <c r="D64" s="184">
        <v>0.02</v>
      </c>
      <c r="E64" t="s">
        <v>100</v>
      </c>
      <c r="F64" s="184">
        <v>0</v>
      </c>
      <c r="G64" s="184">
        <v>0</v>
      </c>
      <c r="H64" t="s">
        <v>439</v>
      </c>
      <c r="I64" t="s">
        <v>440</v>
      </c>
      <c r="J64" t="s">
        <v>182</v>
      </c>
      <c r="K64" t="s">
        <v>441</v>
      </c>
      <c r="L64" t="s">
        <v>442</v>
      </c>
      <c r="M64" s="184">
        <v>236978.41</v>
      </c>
      <c r="O64" t="s">
        <v>102</v>
      </c>
      <c r="P64" s="184">
        <v>1462.18</v>
      </c>
      <c r="Q64" t="s">
        <v>134</v>
      </c>
      <c r="R64" t="s">
        <v>385</v>
      </c>
      <c r="S64">
        <v>2.2828594937368826E-2</v>
      </c>
      <c r="T64" t="s">
        <v>136</v>
      </c>
      <c r="U64" t="s">
        <v>386</v>
      </c>
      <c r="V64" t="s">
        <v>387</v>
      </c>
      <c r="W64" t="s">
        <v>178</v>
      </c>
      <c r="X64" t="s">
        <v>443</v>
      </c>
      <c r="Y64" t="s">
        <v>444</v>
      </c>
      <c r="Z64" t="s">
        <v>96</v>
      </c>
      <c r="AA64" t="s">
        <v>96</v>
      </c>
    </row>
    <row r="65" spans="1:27" x14ac:dyDescent="0.2">
      <c r="A65" t="s">
        <v>445</v>
      </c>
      <c r="B65" t="s">
        <v>438</v>
      </c>
      <c r="C65" s="184">
        <v>393</v>
      </c>
      <c r="D65" s="184">
        <v>0</v>
      </c>
      <c r="E65" t="s">
        <v>100</v>
      </c>
      <c r="F65" s="184">
        <v>0</v>
      </c>
      <c r="G65" s="184">
        <v>0</v>
      </c>
      <c r="H65" t="s">
        <v>439</v>
      </c>
      <c r="I65" t="s">
        <v>440</v>
      </c>
      <c r="J65" t="s">
        <v>182</v>
      </c>
      <c r="K65" t="s">
        <v>441</v>
      </c>
      <c r="L65" t="s">
        <v>442</v>
      </c>
      <c r="M65" s="184">
        <v>0.33</v>
      </c>
      <c r="O65" t="s">
        <v>102</v>
      </c>
      <c r="P65" s="184">
        <v>1191.83</v>
      </c>
      <c r="Q65" t="s">
        <v>134</v>
      </c>
      <c r="R65" t="s">
        <v>385</v>
      </c>
      <c r="S65">
        <v>2.0785029906667743E-8</v>
      </c>
      <c r="T65" t="s">
        <v>136</v>
      </c>
      <c r="U65" t="s">
        <v>386</v>
      </c>
      <c r="V65" t="s">
        <v>387</v>
      </c>
      <c r="W65" t="s">
        <v>178</v>
      </c>
      <c r="X65" t="s">
        <v>443</v>
      </c>
      <c r="Y65" t="s">
        <v>444</v>
      </c>
      <c r="Z65" t="s">
        <v>96</v>
      </c>
      <c r="AA65" t="s">
        <v>96</v>
      </c>
    </row>
    <row r="66" spans="1:27" x14ac:dyDescent="0.2">
      <c r="A66" t="s">
        <v>445</v>
      </c>
      <c r="B66" t="s">
        <v>438</v>
      </c>
      <c r="C66" s="184">
        <v>395</v>
      </c>
      <c r="D66" s="184">
        <v>0</v>
      </c>
      <c r="E66" t="s">
        <v>100</v>
      </c>
      <c r="F66" s="184">
        <v>0</v>
      </c>
      <c r="G66" s="184">
        <v>0</v>
      </c>
      <c r="H66" t="s">
        <v>439</v>
      </c>
      <c r="I66" t="s">
        <v>440</v>
      </c>
      <c r="J66" t="s">
        <v>182</v>
      </c>
      <c r="K66" t="s">
        <v>441</v>
      </c>
      <c r="L66" t="s">
        <v>442</v>
      </c>
      <c r="M66" s="184">
        <v>0.33</v>
      </c>
      <c r="O66" t="s">
        <v>102</v>
      </c>
      <c r="P66" s="184">
        <v>1195.33</v>
      </c>
      <c r="Q66" t="s">
        <v>134</v>
      </c>
      <c r="R66" t="s">
        <v>385</v>
      </c>
      <c r="S66">
        <v>2.0906895300820879E-8</v>
      </c>
      <c r="T66" t="s">
        <v>136</v>
      </c>
      <c r="U66" t="s">
        <v>386</v>
      </c>
      <c r="V66" t="s">
        <v>387</v>
      </c>
      <c r="W66" t="s">
        <v>178</v>
      </c>
      <c r="X66" t="s">
        <v>443</v>
      </c>
      <c r="Y66" t="s">
        <v>444</v>
      </c>
      <c r="Z66" t="s">
        <v>96</v>
      </c>
      <c r="AA66" t="s">
        <v>96</v>
      </c>
    </row>
    <row r="67" spans="1:27" x14ac:dyDescent="0.2">
      <c r="A67" t="s">
        <v>445</v>
      </c>
      <c r="B67" t="s">
        <v>438</v>
      </c>
      <c r="C67" s="184">
        <v>32679371</v>
      </c>
      <c r="D67" s="184">
        <v>0</v>
      </c>
      <c r="E67" t="s">
        <v>100</v>
      </c>
      <c r="F67" s="184">
        <v>0</v>
      </c>
      <c r="G67" s="184">
        <v>0</v>
      </c>
      <c r="H67" t="s">
        <v>439</v>
      </c>
      <c r="I67" t="s">
        <v>440</v>
      </c>
      <c r="J67" t="s">
        <v>182</v>
      </c>
      <c r="K67" t="s">
        <v>441</v>
      </c>
      <c r="L67" t="s">
        <v>442</v>
      </c>
      <c r="M67" s="184">
        <v>28459.77</v>
      </c>
      <c r="O67" t="s">
        <v>102</v>
      </c>
      <c r="P67" s="184">
        <v>1148.27</v>
      </c>
      <c r="Q67" t="s">
        <v>134</v>
      </c>
      <c r="R67" t="s">
        <v>385</v>
      </c>
      <c r="S67">
        <v>2.2567847402400389E-3</v>
      </c>
      <c r="T67" t="s">
        <v>136</v>
      </c>
      <c r="U67" t="s">
        <v>386</v>
      </c>
      <c r="V67" t="s">
        <v>387</v>
      </c>
      <c r="W67" t="s">
        <v>178</v>
      </c>
      <c r="X67" t="s">
        <v>443</v>
      </c>
      <c r="Y67" t="s">
        <v>444</v>
      </c>
      <c r="Z67" t="s">
        <v>96</v>
      </c>
      <c r="AA67" t="s">
        <v>96</v>
      </c>
    </row>
    <row r="68" spans="1:27" x14ac:dyDescent="0.2">
      <c r="A68" t="s">
        <v>445</v>
      </c>
      <c r="B68" t="s">
        <v>438</v>
      </c>
      <c r="C68" s="184">
        <v>2297206634</v>
      </c>
      <c r="D68" s="184">
        <v>0.12</v>
      </c>
      <c r="E68" t="s">
        <v>100</v>
      </c>
      <c r="F68" s="184">
        <v>0</v>
      </c>
      <c r="G68" s="184">
        <v>0</v>
      </c>
      <c r="H68" t="s">
        <v>439</v>
      </c>
      <c r="I68" t="s">
        <v>440</v>
      </c>
      <c r="J68" t="s">
        <v>182</v>
      </c>
      <c r="K68" t="s">
        <v>441</v>
      </c>
      <c r="L68" t="s">
        <v>442</v>
      </c>
      <c r="M68" s="184">
        <v>1933194.27</v>
      </c>
      <c r="O68" t="s">
        <v>102</v>
      </c>
      <c r="P68" s="184">
        <v>1188.3</v>
      </c>
      <c r="Q68" t="s">
        <v>134</v>
      </c>
      <c r="R68" t="s">
        <v>385</v>
      </c>
      <c r="S68">
        <v>0.11557843580691651</v>
      </c>
      <c r="T68" t="s">
        <v>136</v>
      </c>
      <c r="U68" t="s">
        <v>386</v>
      </c>
      <c r="V68" t="s">
        <v>387</v>
      </c>
      <c r="W68" t="s">
        <v>178</v>
      </c>
      <c r="X68" t="s">
        <v>443</v>
      </c>
      <c r="Y68" t="s">
        <v>444</v>
      </c>
      <c r="Z68" t="s">
        <v>96</v>
      </c>
      <c r="AA68" t="s">
        <v>96</v>
      </c>
    </row>
    <row r="69" spans="1:27" x14ac:dyDescent="0.2">
      <c r="A69" t="s">
        <v>445</v>
      </c>
      <c r="B69" t="s">
        <v>438</v>
      </c>
      <c r="C69" s="184">
        <v>2515810836</v>
      </c>
      <c r="D69" s="184">
        <v>0.18</v>
      </c>
      <c r="E69" t="s">
        <v>100</v>
      </c>
      <c r="F69" s="184">
        <v>0</v>
      </c>
      <c r="G69" s="184">
        <v>0</v>
      </c>
      <c r="H69" t="s">
        <v>439</v>
      </c>
      <c r="I69" t="s">
        <v>440</v>
      </c>
      <c r="J69" t="s">
        <v>182</v>
      </c>
      <c r="K69" t="s">
        <v>441</v>
      </c>
      <c r="L69" t="s">
        <v>442</v>
      </c>
      <c r="M69" s="184">
        <v>2198688.69</v>
      </c>
      <c r="O69" t="s">
        <v>102</v>
      </c>
      <c r="P69" s="184">
        <v>1144.23</v>
      </c>
      <c r="Q69" t="s">
        <v>134</v>
      </c>
      <c r="R69" t="s">
        <v>385</v>
      </c>
      <c r="S69">
        <v>0.17665772479036448</v>
      </c>
      <c r="T69" t="s">
        <v>136</v>
      </c>
      <c r="U69" t="s">
        <v>386</v>
      </c>
      <c r="V69" t="s">
        <v>387</v>
      </c>
      <c r="W69" t="s">
        <v>178</v>
      </c>
      <c r="X69" t="s">
        <v>443</v>
      </c>
      <c r="Y69" t="s">
        <v>444</v>
      </c>
      <c r="Z69" t="s">
        <v>96</v>
      </c>
      <c r="AA69" t="s">
        <v>96</v>
      </c>
    </row>
    <row r="70" spans="1:27" x14ac:dyDescent="0.2">
      <c r="A70" t="s">
        <v>445</v>
      </c>
      <c r="B70" t="s">
        <v>438</v>
      </c>
      <c r="C70" s="184">
        <v>4396643320</v>
      </c>
      <c r="D70" s="184">
        <v>0.31</v>
      </c>
      <c r="E70" t="s">
        <v>100</v>
      </c>
      <c r="F70" s="184">
        <v>0</v>
      </c>
      <c r="G70" s="184">
        <v>0</v>
      </c>
      <c r="H70" t="s">
        <v>439</v>
      </c>
      <c r="I70" t="s">
        <v>440</v>
      </c>
      <c r="J70" t="s">
        <v>182</v>
      </c>
      <c r="K70" t="s">
        <v>441</v>
      </c>
      <c r="L70" t="s">
        <v>442</v>
      </c>
      <c r="M70" s="184">
        <v>3854088.28</v>
      </c>
      <c r="O70" t="s">
        <v>102</v>
      </c>
      <c r="P70" s="184">
        <v>1140.77</v>
      </c>
      <c r="Q70" t="s">
        <v>134</v>
      </c>
      <c r="R70" t="s">
        <v>385</v>
      </c>
      <c r="S70">
        <v>0.31074163310678965</v>
      </c>
      <c r="T70" t="s">
        <v>136</v>
      </c>
      <c r="U70" t="s">
        <v>386</v>
      </c>
      <c r="V70" t="s">
        <v>387</v>
      </c>
      <c r="W70" t="s">
        <v>178</v>
      </c>
      <c r="X70" t="s">
        <v>443</v>
      </c>
      <c r="Y70" t="s">
        <v>444</v>
      </c>
      <c r="Z70" t="s">
        <v>96</v>
      </c>
      <c r="AA70" t="s">
        <v>96</v>
      </c>
    </row>
    <row r="71" spans="1:27" x14ac:dyDescent="0.2">
      <c r="A71" t="s">
        <v>445</v>
      </c>
      <c r="B71" t="s">
        <v>438</v>
      </c>
      <c r="C71" s="184">
        <v>7902239905</v>
      </c>
      <c r="D71" s="184">
        <v>0.56000000000000005</v>
      </c>
      <c r="E71" t="s">
        <v>100</v>
      </c>
      <c r="F71" s="184">
        <v>0</v>
      </c>
      <c r="G71" s="184">
        <v>0</v>
      </c>
      <c r="H71" t="s">
        <v>439</v>
      </c>
      <c r="I71" t="s">
        <v>440</v>
      </c>
      <c r="J71" t="s">
        <v>182</v>
      </c>
      <c r="K71" t="s">
        <v>441</v>
      </c>
      <c r="L71" t="s">
        <v>442</v>
      </c>
      <c r="M71" s="184">
        <v>6948718.0499999998</v>
      </c>
      <c r="O71" t="s">
        <v>102</v>
      </c>
      <c r="P71" s="184">
        <v>1137.22</v>
      </c>
      <c r="Q71" t="s">
        <v>134</v>
      </c>
      <c r="R71" t="s">
        <v>385</v>
      </c>
      <c r="S71">
        <v>0.5599203822971951</v>
      </c>
      <c r="T71" t="s">
        <v>136</v>
      </c>
      <c r="U71" t="s">
        <v>386</v>
      </c>
      <c r="V71" t="s">
        <v>387</v>
      </c>
      <c r="W71" t="s">
        <v>178</v>
      </c>
      <c r="X71" t="s">
        <v>443</v>
      </c>
      <c r="Y71" t="s">
        <v>444</v>
      </c>
      <c r="Z71" t="s">
        <v>96</v>
      </c>
      <c r="AA71" t="s">
        <v>96</v>
      </c>
    </row>
    <row r="72" spans="1:27" x14ac:dyDescent="0.2">
      <c r="A72" t="s">
        <v>446</v>
      </c>
      <c r="B72" t="s">
        <v>438</v>
      </c>
      <c r="C72" s="184">
        <v>11494731</v>
      </c>
      <c r="D72" s="184">
        <v>0</v>
      </c>
      <c r="E72" t="s">
        <v>100</v>
      </c>
      <c r="F72" s="184">
        <v>0</v>
      </c>
      <c r="G72" s="184">
        <v>0</v>
      </c>
      <c r="H72" t="s">
        <v>439</v>
      </c>
      <c r="I72" t="s">
        <v>440</v>
      </c>
      <c r="J72" t="s">
        <v>182</v>
      </c>
      <c r="K72" t="s">
        <v>441</v>
      </c>
      <c r="L72" t="s">
        <v>442</v>
      </c>
      <c r="M72" s="184">
        <v>7614.72</v>
      </c>
      <c r="O72" t="s">
        <v>102</v>
      </c>
      <c r="P72" s="184">
        <v>1509.54</v>
      </c>
      <c r="Q72" t="s">
        <v>134</v>
      </c>
      <c r="R72" t="s">
        <v>385</v>
      </c>
      <c r="S72">
        <v>5.7679191224703334E-4</v>
      </c>
      <c r="T72" t="s">
        <v>136</v>
      </c>
      <c r="U72" t="s">
        <v>386</v>
      </c>
      <c r="V72" t="s">
        <v>387</v>
      </c>
      <c r="W72" t="s">
        <v>178</v>
      </c>
      <c r="X72" t="s">
        <v>443</v>
      </c>
      <c r="Y72" t="s">
        <v>444</v>
      </c>
      <c r="Z72" t="s">
        <v>96</v>
      </c>
      <c r="AA72" t="s">
        <v>96</v>
      </c>
    </row>
    <row r="73" spans="1:27" x14ac:dyDescent="0.2">
      <c r="A73" t="s">
        <v>446</v>
      </c>
      <c r="B73" t="s">
        <v>438</v>
      </c>
      <c r="C73" s="184">
        <v>20768929</v>
      </c>
      <c r="D73" s="184">
        <v>0</v>
      </c>
      <c r="E73" t="s">
        <v>100</v>
      </c>
      <c r="F73" s="184">
        <v>0</v>
      </c>
      <c r="G73" s="184">
        <v>0</v>
      </c>
      <c r="H73" t="s">
        <v>439</v>
      </c>
      <c r="I73" t="s">
        <v>440</v>
      </c>
      <c r="J73" t="s">
        <v>182</v>
      </c>
      <c r="K73" t="s">
        <v>441</v>
      </c>
      <c r="L73" t="s">
        <v>442</v>
      </c>
      <c r="M73" s="184">
        <v>13697.66</v>
      </c>
      <c r="O73" t="s">
        <v>102</v>
      </c>
      <c r="P73" s="184">
        <v>1516.24</v>
      </c>
      <c r="Q73" t="s">
        <v>134</v>
      </c>
      <c r="R73" t="s">
        <v>385</v>
      </c>
      <c r="S73">
        <v>1.0383677417251773E-3</v>
      </c>
      <c r="T73" t="s">
        <v>136</v>
      </c>
      <c r="U73" t="s">
        <v>386</v>
      </c>
      <c r="V73" t="s">
        <v>387</v>
      </c>
      <c r="W73" t="s">
        <v>178</v>
      </c>
      <c r="X73" t="s">
        <v>443</v>
      </c>
      <c r="Y73" t="s">
        <v>444</v>
      </c>
      <c r="Z73" t="s">
        <v>96</v>
      </c>
      <c r="AA73" t="s">
        <v>96</v>
      </c>
    </row>
    <row r="74" spans="1:27" x14ac:dyDescent="0.2">
      <c r="A74" t="s">
        <v>446</v>
      </c>
      <c r="B74" t="s">
        <v>438</v>
      </c>
      <c r="C74" s="184">
        <v>30271640</v>
      </c>
      <c r="D74" s="184">
        <v>0</v>
      </c>
      <c r="E74" t="s">
        <v>100</v>
      </c>
      <c r="F74" s="184">
        <v>0</v>
      </c>
      <c r="G74" s="184">
        <v>0</v>
      </c>
      <c r="H74" t="s">
        <v>439</v>
      </c>
      <c r="I74" t="s">
        <v>440</v>
      </c>
      <c r="J74" t="s">
        <v>182</v>
      </c>
      <c r="K74" t="s">
        <v>441</v>
      </c>
      <c r="L74" t="s">
        <v>442</v>
      </c>
      <c r="M74" s="184">
        <v>20009.82</v>
      </c>
      <c r="O74" t="s">
        <v>102</v>
      </c>
      <c r="P74" s="184">
        <v>1512.84</v>
      </c>
      <c r="Q74" t="s">
        <v>134</v>
      </c>
      <c r="R74" t="s">
        <v>385</v>
      </c>
      <c r="S74">
        <v>1.5453056653827811E-3</v>
      </c>
      <c r="T74" t="s">
        <v>136</v>
      </c>
      <c r="U74" t="s">
        <v>386</v>
      </c>
      <c r="V74" t="s">
        <v>387</v>
      </c>
      <c r="W74" t="s">
        <v>178</v>
      </c>
      <c r="X74" t="s">
        <v>443</v>
      </c>
      <c r="Y74" t="s">
        <v>444</v>
      </c>
      <c r="Z74" t="s">
        <v>96</v>
      </c>
      <c r="AA74" t="s">
        <v>96</v>
      </c>
    </row>
    <row r="75" spans="1:27" x14ac:dyDescent="0.2">
      <c r="A75" t="s">
        <v>446</v>
      </c>
      <c r="B75" t="s">
        <v>438</v>
      </c>
      <c r="C75" s="184">
        <v>36775279</v>
      </c>
      <c r="D75" s="184">
        <v>0</v>
      </c>
      <c r="E75" t="s">
        <v>100</v>
      </c>
      <c r="F75" s="184">
        <v>0</v>
      </c>
      <c r="G75" s="184">
        <v>0</v>
      </c>
      <c r="H75" t="s">
        <v>439</v>
      </c>
      <c r="I75" t="s">
        <v>440</v>
      </c>
      <c r="J75" t="s">
        <v>182</v>
      </c>
      <c r="K75" t="s">
        <v>441</v>
      </c>
      <c r="L75" t="s">
        <v>442</v>
      </c>
      <c r="M75" s="184">
        <v>24475.71</v>
      </c>
      <c r="O75" t="s">
        <v>102</v>
      </c>
      <c r="P75" s="184">
        <v>1502.52</v>
      </c>
      <c r="Q75" t="s">
        <v>134</v>
      </c>
      <c r="R75" t="s">
        <v>385</v>
      </c>
      <c r="S75">
        <v>1.8901844554371381E-3</v>
      </c>
      <c r="T75" t="s">
        <v>136</v>
      </c>
      <c r="U75" t="s">
        <v>386</v>
      </c>
      <c r="V75" t="s">
        <v>387</v>
      </c>
      <c r="W75" t="s">
        <v>178</v>
      </c>
      <c r="X75" t="s">
        <v>443</v>
      </c>
      <c r="Y75" t="s">
        <v>444</v>
      </c>
      <c r="Z75" t="s">
        <v>96</v>
      </c>
      <c r="AA75" t="s">
        <v>96</v>
      </c>
    </row>
    <row r="76" spans="1:27" x14ac:dyDescent="0.2">
      <c r="A76" t="s">
        <v>446</v>
      </c>
      <c r="B76" t="s">
        <v>438</v>
      </c>
      <c r="C76" s="184">
        <v>40508860</v>
      </c>
      <c r="D76" s="184">
        <v>0</v>
      </c>
      <c r="E76" t="s">
        <v>100</v>
      </c>
      <c r="F76" s="184">
        <v>0</v>
      </c>
      <c r="G76" s="184">
        <v>0</v>
      </c>
      <c r="H76" t="s">
        <v>439</v>
      </c>
      <c r="I76" t="s">
        <v>440</v>
      </c>
      <c r="J76" t="s">
        <v>182</v>
      </c>
      <c r="K76" t="s">
        <v>441</v>
      </c>
      <c r="L76" t="s">
        <v>442</v>
      </c>
      <c r="M76" s="184">
        <v>26898.53</v>
      </c>
      <c r="O76" t="s">
        <v>102</v>
      </c>
      <c r="P76" s="184">
        <v>1505.99</v>
      </c>
      <c r="Q76" t="s">
        <v>134</v>
      </c>
      <c r="R76" t="s">
        <v>385</v>
      </c>
      <c r="S76">
        <v>2.0501490563874488E-3</v>
      </c>
      <c r="T76" t="s">
        <v>136</v>
      </c>
      <c r="U76" t="s">
        <v>386</v>
      </c>
      <c r="V76" t="s">
        <v>387</v>
      </c>
      <c r="W76" t="s">
        <v>178</v>
      </c>
      <c r="X76" t="s">
        <v>443</v>
      </c>
      <c r="Y76" t="s">
        <v>444</v>
      </c>
      <c r="Z76" t="s">
        <v>96</v>
      </c>
      <c r="AA76" t="s">
        <v>96</v>
      </c>
    </row>
    <row r="77" spans="1:27" x14ac:dyDescent="0.2">
      <c r="A77" t="s">
        <v>446</v>
      </c>
      <c r="B77" t="s">
        <v>438</v>
      </c>
      <c r="C77" s="184">
        <v>126315185</v>
      </c>
      <c r="D77" s="184">
        <v>0.01</v>
      </c>
      <c r="E77" t="s">
        <v>100</v>
      </c>
      <c r="F77" s="184">
        <v>0</v>
      </c>
      <c r="G77" s="184">
        <v>0</v>
      </c>
      <c r="H77" t="s">
        <v>439</v>
      </c>
      <c r="I77" t="s">
        <v>440</v>
      </c>
      <c r="J77" t="s">
        <v>182</v>
      </c>
      <c r="K77" t="s">
        <v>441</v>
      </c>
      <c r="L77" t="s">
        <v>442</v>
      </c>
      <c r="M77" s="184">
        <v>84266.36</v>
      </c>
      <c r="O77" t="s">
        <v>102</v>
      </c>
      <c r="P77" s="184">
        <v>1499</v>
      </c>
      <c r="Q77" t="s">
        <v>134</v>
      </c>
      <c r="R77" t="s">
        <v>385</v>
      </c>
      <c r="S77">
        <v>6.4514929498352509E-3</v>
      </c>
      <c r="T77" t="s">
        <v>136</v>
      </c>
      <c r="U77" t="s">
        <v>386</v>
      </c>
      <c r="V77" t="s">
        <v>387</v>
      </c>
      <c r="W77" t="s">
        <v>178</v>
      </c>
      <c r="X77" t="s">
        <v>443</v>
      </c>
      <c r="Y77" t="s">
        <v>444</v>
      </c>
      <c r="Z77" t="s">
        <v>96</v>
      </c>
      <c r="AA77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19</vt:i4>
      </vt:variant>
    </vt:vector>
  </HeadingPairs>
  <TitlesOfParts>
    <vt:vector size="19" baseType="lpstr">
      <vt:lpstr>Control</vt:lpstr>
      <vt:lpstr>SEGUIMIENTO</vt:lpstr>
      <vt:lpstr>Evolucion</vt:lpstr>
      <vt:lpstr>Movimientos</vt:lpstr>
      <vt:lpstr>DataEvolucion</vt:lpstr>
      <vt:lpstr>Datos</vt:lpstr>
      <vt:lpstr>Agrupar Informacion Cartera</vt:lpstr>
      <vt:lpstr>CarteraCompleta</vt:lpstr>
      <vt:lpstr>Cartera-Neutral</vt:lpstr>
      <vt:lpstr>CarteraRFL</vt:lpstr>
      <vt:lpstr>CarteraRVL</vt:lpstr>
      <vt:lpstr>CarteraRFI</vt:lpstr>
      <vt:lpstr>CarteraRVI</vt:lpstr>
      <vt:lpstr>ResumenCartera</vt:lpstr>
      <vt:lpstr>ResumenCarteraLabel</vt:lpstr>
      <vt:lpstr>ResumenCarteraRF</vt:lpstr>
      <vt:lpstr>ResumenCarteraRFLabel</vt:lpstr>
      <vt:lpstr>CarteraCompletaNoRecursiva</vt:lpstr>
      <vt:lpstr>MalClasificados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Steinsapir Meriggio</dc:creator>
  <cp:lastModifiedBy>Fernando Suarez B.</cp:lastModifiedBy>
  <dcterms:created xsi:type="dcterms:W3CDTF">2016-12-07T19:14:28Z</dcterms:created>
  <dcterms:modified xsi:type="dcterms:W3CDTF">2017-02-02T20:37:06Z</dcterms:modified>
</cp:coreProperties>
</file>
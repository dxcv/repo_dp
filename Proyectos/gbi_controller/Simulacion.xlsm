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suarezb\Desktop\mesagi\Proyectos\gbi_controller\"/>
    </mc:Choice>
  </mc:AlternateContent>
  <bookViews>
    <workbookView xWindow="0" yWindow="0" windowWidth="28800" windowHeight="12210" xr2:uid="{CD6553ED-978A-4F3C-B958-DA5E7CEBB034}"/>
  </bookViews>
  <sheets>
    <sheet name="Portfolio" sheetId="1" r:id="rId1"/>
    <sheet name="Simulacion" sheetId="2" r:id="rId2"/>
    <sheet name="Comparador de Trades" sheetId="3" r:id="rId3"/>
    <sheet name="Allocation" sheetId="8" r:id="rId4"/>
    <sheet name="Caja" sheetId="11" r:id="rId5"/>
    <sheet name="Posicionamiento" sheetId="12" r:id="rId6"/>
    <sheet name="Transacciones" sheetId="9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8" l="1"/>
  <c r="C6" i="8"/>
  <c r="D15" i="8"/>
  <c r="D9" i="8"/>
  <c r="D10" i="8"/>
  <c r="D11" i="8"/>
  <c r="D12" i="8"/>
  <c r="D13" i="8"/>
  <c r="D14" i="8"/>
  <c r="D8" i="8"/>
  <c r="K3" i="8"/>
  <c r="F15" i="8" l="1"/>
  <c r="F9" i="8"/>
  <c r="G9" i="8" s="1"/>
  <c r="F10" i="8"/>
  <c r="G10" i="8" s="1"/>
  <c r="F8" i="8"/>
  <c r="G8" i="8" s="1"/>
  <c r="F11" i="8"/>
  <c r="G11" i="8" s="1"/>
  <c r="F14" i="8"/>
  <c r="G14" i="8" s="1"/>
  <c r="F12" i="8"/>
  <c r="G12" i="8" s="1"/>
  <c r="F13" i="8"/>
  <c r="G13" i="8" s="1"/>
  <c r="C12" i="8"/>
  <c r="C14" i="8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C10" i="8" s="1"/>
  <c r="P21" i="1"/>
  <c r="P22" i="1"/>
  <c r="P23" i="1"/>
  <c r="P24" i="1"/>
  <c r="P25" i="1"/>
  <c r="C11" i="8" s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C13" i="8" s="1"/>
  <c r="P43" i="1"/>
  <c r="P44" i="1"/>
  <c r="P45" i="1"/>
  <c r="P46" i="1"/>
  <c r="P47" i="1"/>
  <c r="P2" i="1"/>
  <c r="C8" i="8" l="1"/>
  <c r="P8" i="8" s="1"/>
  <c r="C9" i="8"/>
  <c r="P9" i="8" s="1"/>
  <c r="P13" i="8"/>
  <c r="P12" i="8"/>
  <c r="P14" i="8"/>
  <c r="P11" i="8"/>
  <c r="P10" i="8"/>
  <c r="C15" i="8" l="1"/>
  <c r="G15" i="8" s="1"/>
  <c r="P15" i="8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</calcChain>
</file>

<file path=xl/sharedStrings.xml><?xml version="1.0" encoding="utf-8"?>
<sst xmlns="http://schemas.openxmlformats.org/spreadsheetml/2006/main" count="386" uniqueCount="155">
  <si>
    <t>codigo_ins</t>
  </si>
  <si>
    <t>codigo_emi</t>
  </si>
  <si>
    <t>weight_f</t>
  </si>
  <si>
    <t>weight_b</t>
  </si>
  <si>
    <t>ctr</t>
  </si>
  <si>
    <t>mcr</t>
  </si>
  <si>
    <t>pcr</t>
  </si>
  <si>
    <t>duration</t>
  </si>
  <si>
    <t>nominal_f</t>
  </si>
  <si>
    <t>monto_f</t>
  </si>
  <si>
    <t>pais_emisor</t>
  </si>
  <si>
    <t>nombre_emisor</t>
  </si>
  <si>
    <t>nombre_instrumento</t>
  </si>
  <si>
    <t>rating_nacional</t>
  </si>
  <si>
    <t>rating_internacional</t>
  </si>
  <si>
    <t>moneda</t>
  </si>
  <si>
    <t>index_id</t>
  </si>
  <si>
    <t>ctd</t>
  </si>
  <si>
    <t>active_weight</t>
  </si>
  <si>
    <t>maturity_date</t>
  </si>
  <si>
    <t>days_to _maturity</t>
  </si>
  <si>
    <t>tipo_instrumento</t>
  </si>
  <si>
    <t>estrategia</t>
  </si>
  <si>
    <t>fecha</t>
  </si>
  <si>
    <t>QZ7003432</t>
  </si>
  <si>
    <t>QZ8845377</t>
  </si>
  <si>
    <t>QZ8845385</t>
  </si>
  <si>
    <t>EK6900568</t>
  </si>
  <si>
    <t>EJ5013655</t>
  </si>
  <si>
    <t>AL9338982</t>
  </si>
  <si>
    <t>AF1807128</t>
  </si>
  <si>
    <t>AO2615059</t>
  </si>
  <si>
    <t>JV5290624</t>
  </si>
  <si>
    <t>LW8106244</t>
  </si>
  <si>
    <t>EI1383294</t>
  </si>
  <si>
    <t>AO2615067</t>
  </si>
  <si>
    <t>EJ0602940</t>
  </si>
  <si>
    <t>EK0169285</t>
  </si>
  <si>
    <t>JV5341526</t>
  </si>
  <si>
    <t>105756BL3</t>
  </si>
  <si>
    <t>105756BT6</t>
  </si>
  <si>
    <t>105756BN9</t>
  </si>
  <si>
    <t>168863AU2</t>
  </si>
  <si>
    <t>EK0291089</t>
  </si>
  <si>
    <t>EF0376436</t>
  </si>
  <si>
    <t>EJ1922511</t>
  </si>
  <si>
    <t>EH7652033</t>
  </si>
  <si>
    <t>EI8220614</t>
  </si>
  <si>
    <t>EJ5096460</t>
  </si>
  <si>
    <t>EK6999263</t>
  </si>
  <si>
    <t>AM1281642</t>
  </si>
  <si>
    <t>EI2021109</t>
  </si>
  <si>
    <t>EJ3668765</t>
  </si>
  <si>
    <t>EG5593306</t>
  </si>
  <si>
    <t>EH7175118</t>
  </si>
  <si>
    <t>EI7361336</t>
  </si>
  <si>
    <t>EI1588082</t>
  </si>
  <si>
    <t>EJ0234298</t>
  </si>
  <si>
    <t>ED2028832</t>
  </si>
  <si>
    <t>QJ1649335</t>
  </si>
  <si>
    <t>EG1116375</t>
  </si>
  <si>
    <t>EK1693424</t>
  </si>
  <si>
    <t>EH6944449</t>
  </si>
  <si>
    <t>AM7523740</t>
  </si>
  <si>
    <t>EF0252694</t>
  </si>
  <si>
    <t>EK5799607</t>
  </si>
  <si>
    <t>QZ7445096</t>
  </si>
  <si>
    <t>EH3330816</t>
  </si>
  <si>
    <t>AO4008642</t>
  </si>
  <si>
    <t>AN9574152</t>
  </si>
  <si>
    <t>AP0760557</t>
  </si>
  <si>
    <t>ARGTES 18.2 10/03/21</t>
  </si>
  <si>
    <t>ARGTES 16 10/17/23</t>
  </si>
  <si>
    <t>ARGTES 15 1/2 10/17/26</t>
  </si>
  <si>
    <t>BLTN 0 01/01/19</t>
  </si>
  <si>
    <t>BNTNF 10 01/01/19</t>
  </si>
  <si>
    <t>BLTN 0 04/01/19</t>
  </si>
  <si>
    <t>BLTN 0 07/01/19</t>
  </si>
  <si>
    <t>BLTN 0 10/01/19</t>
  </si>
  <si>
    <t>BLTN 0 01/01/20</t>
  </si>
  <si>
    <t>BLTN 0 07/01/20</t>
  </si>
  <si>
    <t>BNTNF 10 01/01/21</t>
  </si>
  <si>
    <t>BLTN 0 07/01/21</t>
  </si>
  <si>
    <t>BNTNF 10 01/01/23</t>
  </si>
  <si>
    <t>BNTNF 10 01/01/25</t>
  </si>
  <si>
    <t>BNTNF 10 01/01/27</t>
  </si>
  <si>
    <t>BRAZIL 12 1/2 01/05/22</t>
  </si>
  <si>
    <t>BRAZIL 8 1/2 01/05/24</t>
  </si>
  <si>
    <t>BRAZIL 10 1/4 01/10/28</t>
  </si>
  <si>
    <t>CHILE 5 1/2 08/05/20</t>
  </si>
  <si>
    <t>COLTES 7 09/11/19</t>
  </si>
  <si>
    <t>COLTES 11 07/24/20</t>
  </si>
  <si>
    <t>COLTES 7 05/04/22</t>
  </si>
  <si>
    <t>COLTES 10 07/24/24</t>
  </si>
  <si>
    <t>COLTES 7 1/2 08/26/26</t>
  </si>
  <si>
    <t>COLTES 6 04/28/28</t>
  </si>
  <si>
    <t>COLTES 7 3/4 09/18/30</t>
  </si>
  <si>
    <t>COLTES 7 06/30/32</t>
  </si>
  <si>
    <t>COLOM 7 3/4 04/14/21</t>
  </si>
  <si>
    <t>COLOM 4 3/8 03/21/23</t>
  </si>
  <si>
    <t>COLOM 9.85 06/28/27</t>
  </si>
  <si>
    <t>MBONO 8 1/2 12/13/18</t>
  </si>
  <si>
    <t>MBONO 5 12/11/19</t>
  </si>
  <si>
    <t>MBONO 8 06/11/20</t>
  </si>
  <si>
    <t>MBONO 6 1/2 06/09/22</t>
  </si>
  <si>
    <t>MBONO 8 12/07/23</t>
  </si>
  <si>
    <t>MBONO 5 3/4 03/05/26</t>
  </si>
  <si>
    <t>MBONO 7 1/2 06/03/27</t>
  </si>
  <si>
    <t>MBONO 7 3/4 11/23/34</t>
  </si>
  <si>
    <t>MBONO 8 1/2 11/18/38</t>
  </si>
  <si>
    <t>MBONO 8 11/07/47</t>
  </si>
  <si>
    <t>PERUGB 7.84 08/12/20</t>
  </si>
  <si>
    <t>PERUGB 5.7 08/12/24</t>
  </si>
  <si>
    <t>PERUGB 6.35 08/12/28</t>
  </si>
  <si>
    <t>PERUGB 6.95 08/12/31</t>
  </si>
  <si>
    <t>PERUGB 6.15 08/12/32</t>
  </si>
  <si>
    <t>URUGUA 9 7/8 06/20/22</t>
  </si>
  <si>
    <t>URUGUA 8 1/2 03/15/28</t>
  </si>
  <si>
    <t>Bono de Gobierno</t>
  </si>
  <si>
    <t>BB+</t>
  </si>
  <si>
    <t>A-</t>
  </si>
  <si>
    <t>AAA</t>
  </si>
  <si>
    <t>AA</t>
  </si>
  <si>
    <t>AA+</t>
  </si>
  <si>
    <t>AA-</t>
  </si>
  <si>
    <t>AR</t>
  </si>
  <si>
    <t>BR</t>
  </si>
  <si>
    <t>CL</t>
  </si>
  <si>
    <t>CO</t>
  </si>
  <si>
    <t>MX</t>
  </si>
  <si>
    <t>PE</t>
  </si>
  <si>
    <t>UR</t>
  </si>
  <si>
    <t>ARS</t>
  </si>
  <si>
    <t>BRL</t>
  </si>
  <si>
    <t>CLP</t>
  </si>
  <si>
    <t>COP</t>
  </si>
  <si>
    <t>MXN</t>
  </si>
  <si>
    <t>PEN</t>
  </si>
  <si>
    <t>UGU</t>
  </si>
  <si>
    <t>Country</t>
  </si>
  <si>
    <t>Weight</t>
  </si>
  <si>
    <t>Saldo Inicial</t>
  </si>
  <si>
    <t>Ingresos</t>
  </si>
  <si>
    <t>Egresos</t>
  </si>
  <si>
    <t>Saldo</t>
  </si>
  <si>
    <t>Aportes</t>
  </si>
  <si>
    <t>Mval USD</t>
  </si>
  <si>
    <t>Total</t>
  </si>
  <si>
    <t>corte_minimo</t>
  </si>
  <si>
    <t>Suma</t>
  </si>
  <si>
    <t>Variación</t>
  </si>
  <si>
    <t>Weight final</t>
  </si>
  <si>
    <t>Compras</t>
  </si>
  <si>
    <t>Ventas</t>
  </si>
  <si>
    <t>Flujo Día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</si>
</sst>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0.000%"/>
    <numFmt numFmtId="166" formatCode="0.0%"/>
    <numFmt numFmtId="167" formatCode="_-&quot;$&quot;* #,##0_-;\-&quot;$&quot;* #,##0_-;_-&quot;$&quot;* &quot;-&quot;??_-;_-@_-"/>
  </numFmts>
  <fonts count="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/>
    <xf numFmtId="10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1" applyNumberFormat="1" applyFont="1" applyAlignment="1">
      <alignment horizontal="center"/>
    </xf>
    <xf numFmtId="164" fontId="0" fillId="0" borderId="0" xfId="3" applyFont="1" applyAlignment="1">
      <alignment horizontal="center"/>
    </xf>
    <xf numFmtId="167" fontId="0" fillId="0" borderId="0" xfId="3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6" fontId="0" fillId="0" borderId="0" xfId="0" applyNumberFormat="1" applyFont="1" applyAlignment="1">
      <alignment horizontal="center"/>
    </xf>
    <xf numFmtId="164" fontId="1" fillId="0" borderId="0" xfId="3" applyFont="1" applyAlignment="1">
      <alignment horizontal="center"/>
    </xf>
    <xf numFmtId="167" fontId="1" fillId="0" borderId="0" xfId="3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4">
    <cellStyle name="Moneda" xfId="3" builtinId="4"/>
    <cellStyle name="Normal" xfId="0" builtinId="0"/>
    <cellStyle name="Normal 3" xfId="2" xr:uid="{F263BF9F-EE59-4E96-A127-7C8AC7388192}"/>
    <cellStyle name="Porcentaje" xfId="1" builtinId="5"/>
  </cellStyles>
  <dxfs count="4"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</dxfs>
  <tableStyles count="0" defaultTableStyle="TableStyleMedium2" defaultPivotStyle="PivotStyleLight16"/>
  <colors>
    <mruColors>
      <color rgb="FF008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809625</xdr:colOff>
          <xdr:row>1</xdr:row>
          <xdr:rowOff>133350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8193" name="Botón de opció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mantain Weights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809625</xdr:colOff>
          <xdr:row>2</xdr:row>
          <xdr:rowOff>123825</xdr:rowOff>
        </xdr:from>
        <xdr:to>
          <xdr:col>15</xdr:col>
          <xdr:colOff>600075</xdr:colOff>
          <xdr:row>4</xdr:row>
          <xdr:rowOff>57150</xdr:rowOff>
        </xdr:to>
        <xdr:sp macro="" textlink="">
          <xdr:nvSpPr>
            <xdr:cNvPr id="8194" name="Botón de opció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reallocate fund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0AC9B-3259-4AAC-AAB2-48A4E8FF629A}">
  <sheetPr codeName="Hoja1"/>
  <dimension ref="A1:Z61"/>
  <sheetViews>
    <sheetView tabSelected="1" topLeftCell="I1" workbookViewId="0">
      <selection activeCell="P1" sqref="P1"/>
    </sheetView>
  </sheetViews>
  <sheetFormatPr baseColWidth="10" defaultRowHeight="14.25" x14ac:dyDescent="0.2"/>
  <cols>
    <col min="2" max="2" width="13.875" customWidth="1"/>
    <col min="4" max="4" width="21.75" customWidth="1"/>
    <col min="5" max="5" width="11.625" customWidth="1"/>
    <col min="6" max="6" width="8.375" customWidth="1"/>
    <col min="7" max="7" width="17" customWidth="1"/>
    <col min="8" max="8" width="14.5" customWidth="1"/>
    <col min="9" max="9" width="18.875" customWidth="1"/>
    <col min="10" max="10" width="13.5" customWidth="1"/>
    <col min="11" max="11" width="16.875" customWidth="1"/>
    <col min="12" max="14" width="15" customWidth="1"/>
    <col min="17" max="17" width="10.75" customWidth="1"/>
    <col min="18" max="18" width="13.375" customWidth="1"/>
    <col min="19" max="19" width="6.875" customWidth="1"/>
    <col min="20" max="20" width="7.625" customWidth="1"/>
    <col min="21" max="21" width="7.875" customWidth="1"/>
    <col min="22" max="22" width="8.5" customWidth="1"/>
    <col min="23" max="23" width="9.375" customWidth="1"/>
    <col min="24" max="24" width="9.875" customWidth="1"/>
    <col min="25" max="25" width="8.5" customWidth="1"/>
    <col min="26" max="26" width="9.75" customWidth="1"/>
  </cols>
  <sheetData>
    <row r="1" spans="1:26" x14ac:dyDescent="0.2">
      <c r="A1" s="1" t="s">
        <v>23</v>
      </c>
      <c r="B1" s="1" t="s">
        <v>1</v>
      </c>
      <c r="C1" s="1" t="s">
        <v>0</v>
      </c>
      <c r="D1" s="1" t="s">
        <v>12</v>
      </c>
      <c r="E1" s="1" t="s">
        <v>10</v>
      </c>
      <c r="F1" s="1" t="s">
        <v>15</v>
      </c>
      <c r="G1" s="1" t="s">
        <v>21</v>
      </c>
      <c r="H1" s="1" t="s">
        <v>13</v>
      </c>
      <c r="I1" s="1" t="s">
        <v>14</v>
      </c>
      <c r="J1" s="1" t="s">
        <v>19</v>
      </c>
      <c r="K1" s="1" t="s">
        <v>20</v>
      </c>
      <c r="L1" s="1" t="s">
        <v>11</v>
      </c>
      <c r="M1" s="7" t="s">
        <v>148</v>
      </c>
      <c r="N1" s="1" t="s">
        <v>22</v>
      </c>
      <c r="O1" s="1" t="s">
        <v>16</v>
      </c>
      <c r="P1" s="1" t="s">
        <v>2</v>
      </c>
      <c r="Q1" s="1" t="s">
        <v>3</v>
      </c>
      <c r="R1" s="1" t="s">
        <v>18</v>
      </c>
      <c r="S1" s="1" t="s">
        <v>4</v>
      </c>
      <c r="T1" s="1" t="s">
        <v>5</v>
      </c>
      <c r="U1" s="1" t="s">
        <v>6</v>
      </c>
      <c r="V1" s="1" t="s">
        <v>7</v>
      </c>
      <c r="W1" s="1" t="s">
        <v>17</v>
      </c>
      <c r="X1" s="1" t="s">
        <v>8</v>
      </c>
      <c r="Y1" s="1" t="s">
        <v>9</v>
      </c>
    </row>
    <row r="2" spans="1:26" x14ac:dyDescent="0.2">
      <c r="A2" s="2">
        <v>43060</v>
      </c>
      <c r="B2" s="1" t="s">
        <v>24</v>
      </c>
      <c r="C2" s="1" t="s">
        <v>24</v>
      </c>
      <c r="D2" s="1" t="s">
        <v>71</v>
      </c>
      <c r="E2" s="1" t="s">
        <v>125</v>
      </c>
      <c r="F2" s="1" t="s">
        <v>132</v>
      </c>
      <c r="G2" s="1" t="s">
        <v>118</v>
      </c>
      <c r="H2" s="1" t="s">
        <v>119</v>
      </c>
      <c r="I2" s="1"/>
      <c r="J2" s="1"/>
      <c r="K2" s="1"/>
      <c r="L2" s="1"/>
      <c r="M2" s="7"/>
      <c r="N2" s="1"/>
      <c r="O2" s="1"/>
      <c r="P2" s="5">
        <f>+Q2</f>
        <v>1.29E-2</v>
      </c>
      <c r="Q2" s="3">
        <v>1.29E-2</v>
      </c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2">
        <f>+A2</f>
        <v>43060</v>
      </c>
      <c r="B3" s="1" t="s">
        <v>25</v>
      </c>
      <c r="C3" s="1" t="s">
        <v>25</v>
      </c>
      <c r="D3" s="1" t="s">
        <v>72</v>
      </c>
      <c r="E3" s="1" t="s">
        <v>125</v>
      </c>
      <c r="F3" s="1" t="s">
        <v>132</v>
      </c>
      <c r="G3" s="1" t="s">
        <v>118</v>
      </c>
      <c r="H3" s="1" t="s">
        <v>119</v>
      </c>
      <c r="I3" s="1"/>
      <c r="J3" s="1"/>
      <c r="K3" s="1"/>
      <c r="L3" s="1"/>
      <c r="M3" s="7"/>
      <c r="N3" s="1"/>
      <c r="O3" s="1"/>
      <c r="P3" s="5">
        <f t="shared" ref="P3:P47" si="0">+Q3</f>
        <v>5.4999999999999997E-3</v>
      </c>
      <c r="Q3" s="3">
        <v>5.4999999999999997E-3</v>
      </c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2">
        <f t="shared" ref="A4:A48" si="1">+A3</f>
        <v>43060</v>
      </c>
      <c r="B4" s="1" t="s">
        <v>26</v>
      </c>
      <c r="C4" s="1" t="s">
        <v>26</v>
      </c>
      <c r="D4" s="1" t="s">
        <v>73</v>
      </c>
      <c r="E4" s="1" t="s">
        <v>125</v>
      </c>
      <c r="F4" s="1" t="s">
        <v>132</v>
      </c>
      <c r="G4" s="1" t="s">
        <v>118</v>
      </c>
      <c r="H4" s="1" t="s">
        <v>119</v>
      </c>
      <c r="I4" s="1"/>
      <c r="J4" s="1"/>
      <c r="K4" s="1"/>
      <c r="L4" s="1"/>
      <c r="M4" s="7"/>
      <c r="N4" s="1"/>
      <c r="O4" s="1"/>
      <c r="P4" s="5">
        <f t="shared" si="0"/>
        <v>1.26E-2</v>
      </c>
      <c r="Q4" s="3">
        <v>1.26E-2</v>
      </c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2">
        <f t="shared" si="1"/>
        <v>43060</v>
      </c>
      <c r="B5" s="1" t="s">
        <v>27</v>
      </c>
      <c r="C5" s="1" t="s">
        <v>27</v>
      </c>
      <c r="D5" s="1" t="s">
        <v>74</v>
      </c>
      <c r="E5" s="1" t="s">
        <v>126</v>
      </c>
      <c r="F5" s="1" t="s">
        <v>133</v>
      </c>
      <c r="G5" s="1" t="s">
        <v>118</v>
      </c>
      <c r="H5" s="1" t="s">
        <v>120</v>
      </c>
      <c r="I5" s="1"/>
      <c r="J5" s="1"/>
      <c r="K5" s="1"/>
      <c r="L5" s="1"/>
      <c r="M5" s="7"/>
      <c r="N5" s="1"/>
      <c r="O5" s="1"/>
      <c r="P5" s="5">
        <f t="shared" si="0"/>
        <v>3.1600000000000003E-2</v>
      </c>
      <c r="Q5" s="3">
        <v>3.1600000000000003E-2</v>
      </c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2">
        <f t="shared" si="1"/>
        <v>43060</v>
      </c>
      <c r="B6" s="1" t="s">
        <v>28</v>
      </c>
      <c r="C6" s="1" t="s">
        <v>28</v>
      </c>
      <c r="D6" s="1" t="s">
        <v>75</v>
      </c>
      <c r="E6" s="1" t="s">
        <v>126</v>
      </c>
      <c r="F6" s="1" t="s">
        <v>133</v>
      </c>
      <c r="G6" s="1" t="s">
        <v>118</v>
      </c>
      <c r="H6" s="1" t="s">
        <v>120</v>
      </c>
      <c r="I6" s="1"/>
      <c r="J6" s="1"/>
      <c r="K6" s="1"/>
      <c r="L6" s="1"/>
      <c r="M6" s="7"/>
      <c r="N6" s="1"/>
      <c r="O6" s="1"/>
      <c r="P6" s="5">
        <f t="shared" si="0"/>
        <v>3.7000000000000002E-3</v>
      </c>
      <c r="Q6" s="3">
        <v>3.7000000000000002E-3</v>
      </c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2">
        <f t="shared" si="1"/>
        <v>43060</v>
      </c>
      <c r="B7" s="1" t="s">
        <v>29</v>
      </c>
      <c r="C7" s="1" t="s">
        <v>29</v>
      </c>
      <c r="D7" s="1" t="s">
        <v>76</v>
      </c>
      <c r="E7" s="1" t="s">
        <v>126</v>
      </c>
      <c r="F7" s="1" t="s">
        <v>133</v>
      </c>
      <c r="G7" s="1" t="s">
        <v>118</v>
      </c>
      <c r="H7" s="1" t="s">
        <v>120</v>
      </c>
      <c r="I7" s="1"/>
      <c r="J7" s="1"/>
      <c r="K7" s="1"/>
      <c r="L7" s="1"/>
      <c r="M7" s="7"/>
      <c r="N7" s="1"/>
      <c r="O7" s="1"/>
      <c r="P7" s="5">
        <f t="shared" si="0"/>
        <v>2.75E-2</v>
      </c>
      <c r="Q7" s="3">
        <v>2.75E-2</v>
      </c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2">
        <f t="shared" si="1"/>
        <v>43060</v>
      </c>
      <c r="B8" s="1" t="s">
        <v>30</v>
      </c>
      <c r="C8" s="1" t="s">
        <v>30</v>
      </c>
      <c r="D8" s="1" t="s">
        <v>77</v>
      </c>
      <c r="E8" s="1" t="s">
        <v>126</v>
      </c>
      <c r="F8" s="1" t="s">
        <v>133</v>
      </c>
      <c r="G8" s="1" t="s">
        <v>118</v>
      </c>
      <c r="H8" s="1" t="s">
        <v>120</v>
      </c>
      <c r="I8" s="1"/>
      <c r="J8" s="1"/>
      <c r="K8" s="1"/>
      <c r="L8" s="1"/>
      <c r="M8" s="7"/>
      <c r="N8" s="1"/>
      <c r="O8" s="1"/>
      <c r="P8" s="5">
        <f t="shared" si="0"/>
        <v>1.29E-2</v>
      </c>
      <c r="Q8" s="3">
        <v>1.29E-2</v>
      </c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2">
        <f t="shared" si="1"/>
        <v>43060</v>
      </c>
      <c r="B9" s="1" t="s">
        <v>31</v>
      </c>
      <c r="C9" s="1" t="s">
        <v>31</v>
      </c>
      <c r="D9" s="1" t="s">
        <v>78</v>
      </c>
      <c r="E9" s="1" t="s">
        <v>126</v>
      </c>
      <c r="F9" s="1" t="s">
        <v>133</v>
      </c>
      <c r="G9" s="1" t="s">
        <v>118</v>
      </c>
      <c r="H9" s="1" t="s">
        <v>120</v>
      </c>
      <c r="I9" s="1"/>
      <c r="J9" s="1"/>
      <c r="K9" s="1"/>
      <c r="L9" s="1"/>
      <c r="M9" s="7"/>
      <c r="N9" s="1"/>
      <c r="O9" s="1"/>
      <c r="P9" s="5">
        <f t="shared" si="0"/>
        <v>1.4200000000000001E-2</v>
      </c>
      <c r="Q9" s="3">
        <v>1.4200000000000001E-2</v>
      </c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2">
        <f t="shared" si="1"/>
        <v>43060</v>
      </c>
      <c r="B10" s="1" t="s">
        <v>32</v>
      </c>
      <c r="C10" s="1" t="s">
        <v>32</v>
      </c>
      <c r="D10" s="1" t="s">
        <v>79</v>
      </c>
      <c r="E10" s="1" t="s">
        <v>126</v>
      </c>
      <c r="F10" s="1" t="s">
        <v>133</v>
      </c>
      <c r="G10" s="1" t="s">
        <v>118</v>
      </c>
      <c r="H10" s="1" t="s">
        <v>120</v>
      </c>
      <c r="I10" s="1"/>
      <c r="J10" s="1"/>
      <c r="K10" s="1"/>
      <c r="L10" s="1"/>
      <c r="M10" s="7"/>
      <c r="N10" s="1"/>
      <c r="O10" s="1"/>
      <c r="P10" s="5">
        <f t="shared" si="0"/>
        <v>2.41E-2</v>
      </c>
      <c r="Q10" s="3">
        <v>2.41E-2</v>
      </c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2">
        <f t="shared" si="1"/>
        <v>43060</v>
      </c>
      <c r="B11" s="1" t="s">
        <v>33</v>
      </c>
      <c r="C11" s="1" t="s">
        <v>33</v>
      </c>
      <c r="D11" s="1" t="s">
        <v>80</v>
      </c>
      <c r="E11" s="1" t="s">
        <v>126</v>
      </c>
      <c r="F11" s="1" t="s">
        <v>133</v>
      </c>
      <c r="G11" s="1" t="s">
        <v>118</v>
      </c>
      <c r="H11" s="1" t="s">
        <v>120</v>
      </c>
      <c r="I11" s="1"/>
      <c r="J11" s="1"/>
      <c r="K11" s="1"/>
      <c r="L11" s="1"/>
      <c r="M11" s="7"/>
      <c r="N11" s="1"/>
      <c r="O11" s="1"/>
      <c r="P11" s="5">
        <f t="shared" si="0"/>
        <v>4.6199999999999998E-2</v>
      </c>
      <c r="Q11" s="3">
        <v>4.6199999999999998E-2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2">
        <f t="shared" si="1"/>
        <v>43060</v>
      </c>
      <c r="B12" s="1" t="s">
        <v>34</v>
      </c>
      <c r="C12" s="1" t="s">
        <v>34</v>
      </c>
      <c r="D12" s="1" t="s">
        <v>81</v>
      </c>
      <c r="E12" s="1" t="s">
        <v>126</v>
      </c>
      <c r="F12" s="1" t="s">
        <v>133</v>
      </c>
      <c r="G12" s="1" t="s">
        <v>118</v>
      </c>
      <c r="H12" s="1" t="s">
        <v>120</v>
      </c>
      <c r="I12" s="1"/>
      <c r="J12" s="1"/>
      <c r="K12" s="1"/>
      <c r="L12" s="1"/>
      <c r="M12" s="7"/>
      <c r="N12" s="1"/>
      <c r="O12" s="1"/>
      <c r="P12" s="5">
        <f t="shared" si="0"/>
        <v>3.3099999999999997E-2</v>
      </c>
      <c r="Q12" s="3">
        <v>3.3099999999999997E-2</v>
      </c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2">
        <f t="shared" si="1"/>
        <v>43060</v>
      </c>
      <c r="B13" s="1" t="s">
        <v>35</v>
      </c>
      <c r="C13" s="1" t="s">
        <v>35</v>
      </c>
      <c r="D13" s="1" t="s">
        <v>82</v>
      </c>
      <c r="E13" s="1" t="s">
        <v>126</v>
      </c>
      <c r="F13" s="1" t="s">
        <v>133</v>
      </c>
      <c r="G13" s="1" t="s">
        <v>118</v>
      </c>
      <c r="H13" s="1" t="s">
        <v>120</v>
      </c>
      <c r="I13" s="1"/>
      <c r="J13" s="1"/>
      <c r="K13" s="1"/>
      <c r="L13" s="1"/>
      <c r="M13" s="7"/>
      <c r="N13" s="1"/>
      <c r="O13" s="1"/>
      <c r="P13" s="5">
        <f t="shared" si="0"/>
        <v>1.6E-2</v>
      </c>
      <c r="Q13" s="3">
        <v>1.6E-2</v>
      </c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2">
        <f t="shared" si="1"/>
        <v>43060</v>
      </c>
      <c r="B14" s="1" t="s">
        <v>36</v>
      </c>
      <c r="C14" s="1" t="s">
        <v>36</v>
      </c>
      <c r="D14" s="1" t="s">
        <v>83</v>
      </c>
      <c r="E14" s="1" t="s">
        <v>126</v>
      </c>
      <c r="F14" s="1" t="s">
        <v>133</v>
      </c>
      <c r="G14" s="1" t="s">
        <v>118</v>
      </c>
      <c r="H14" s="1" t="s">
        <v>120</v>
      </c>
      <c r="I14" s="1"/>
      <c r="J14" s="1"/>
      <c r="K14" s="1"/>
      <c r="L14" s="1"/>
      <c r="M14" s="7"/>
      <c r="N14" s="1"/>
      <c r="O14" s="1"/>
      <c r="P14" s="5">
        <f t="shared" si="0"/>
        <v>4.0899999999999999E-2</v>
      </c>
      <c r="Q14" s="3">
        <v>4.0899999999999999E-2</v>
      </c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2">
        <f t="shared" si="1"/>
        <v>43060</v>
      </c>
      <c r="B15" s="1" t="s">
        <v>37</v>
      </c>
      <c r="C15" s="1" t="s">
        <v>37</v>
      </c>
      <c r="D15" s="1" t="s">
        <v>84</v>
      </c>
      <c r="E15" s="1" t="s">
        <v>126</v>
      </c>
      <c r="F15" s="1" t="s">
        <v>133</v>
      </c>
      <c r="G15" s="1" t="s">
        <v>118</v>
      </c>
      <c r="H15" s="1" t="s">
        <v>120</v>
      </c>
      <c r="I15" s="1"/>
      <c r="J15" s="1"/>
      <c r="K15" s="1"/>
      <c r="L15" s="1"/>
      <c r="M15" s="7"/>
      <c r="N15" s="1"/>
      <c r="O15" s="1"/>
      <c r="P15" s="5">
        <f t="shared" si="0"/>
        <v>2.2100000000000002E-2</v>
      </c>
      <c r="Q15" s="3">
        <v>2.2100000000000002E-2</v>
      </c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2">
        <f t="shared" si="1"/>
        <v>43060</v>
      </c>
      <c r="B16" s="1" t="s">
        <v>38</v>
      </c>
      <c r="C16" s="1" t="s">
        <v>38</v>
      </c>
      <c r="D16" s="1" t="s">
        <v>85</v>
      </c>
      <c r="E16" s="1" t="s">
        <v>126</v>
      </c>
      <c r="F16" s="1" t="s">
        <v>133</v>
      </c>
      <c r="G16" s="1" t="s">
        <v>118</v>
      </c>
      <c r="H16" s="1" t="s">
        <v>120</v>
      </c>
      <c r="I16" s="1"/>
      <c r="J16" s="1"/>
      <c r="K16" s="1"/>
      <c r="L16" s="1"/>
      <c r="M16" s="7"/>
      <c r="N16" s="1"/>
      <c r="O16" s="1"/>
      <c r="P16" s="5">
        <f t="shared" si="0"/>
        <v>2.3900000000000001E-2</v>
      </c>
      <c r="Q16" s="3">
        <v>2.3900000000000001E-2</v>
      </c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2">
        <f t="shared" si="1"/>
        <v>43060</v>
      </c>
      <c r="B17" s="1" t="s">
        <v>39</v>
      </c>
      <c r="C17" s="1" t="s">
        <v>39</v>
      </c>
      <c r="D17" s="1" t="s">
        <v>86</v>
      </c>
      <c r="E17" s="1" t="s">
        <v>126</v>
      </c>
      <c r="F17" s="1" t="s">
        <v>133</v>
      </c>
      <c r="G17" s="1" t="s">
        <v>118</v>
      </c>
      <c r="H17" s="1" t="s">
        <v>120</v>
      </c>
      <c r="I17" s="1"/>
      <c r="J17" s="1"/>
      <c r="K17" s="1"/>
      <c r="L17" s="1"/>
      <c r="M17" s="7"/>
      <c r="N17" s="1"/>
      <c r="O17" s="1"/>
      <c r="P17" s="5">
        <f t="shared" si="0"/>
        <v>8.0000000000000004E-4</v>
      </c>
      <c r="Q17" s="3">
        <v>8.0000000000000004E-4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2">
        <f t="shared" si="1"/>
        <v>43060</v>
      </c>
      <c r="B18" s="1" t="s">
        <v>40</v>
      </c>
      <c r="C18" s="1" t="s">
        <v>40</v>
      </c>
      <c r="D18" s="1" t="s">
        <v>87</v>
      </c>
      <c r="E18" s="1" t="s">
        <v>126</v>
      </c>
      <c r="F18" s="1" t="s">
        <v>133</v>
      </c>
      <c r="G18" s="1" t="s">
        <v>118</v>
      </c>
      <c r="H18" s="1" t="s">
        <v>120</v>
      </c>
      <c r="I18" s="1"/>
      <c r="J18" s="1"/>
      <c r="K18" s="1"/>
      <c r="L18" s="1"/>
      <c r="M18" s="7"/>
      <c r="N18" s="1"/>
      <c r="O18" s="1"/>
      <c r="P18" s="5">
        <f t="shared" si="0"/>
        <v>1E-3</v>
      </c>
      <c r="Q18" s="3">
        <v>1E-3</v>
      </c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2">
        <f t="shared" si="1"/>
        <v>43060</v>
      </c>
      <c r="B19" s="1" t="s">
        <v>41</v>
      </c>
      <c r="C19" s="1" t="s">
        <v>41</v>
      </c>
      <c r="D19" s="1" t="s">
        <v>88</v>
      </c>
      <c r="E19" s="1" t="s">
        <v>126</v>
      </c>
      <c r="F19" s="1" t="s">
        <v>133</v>
      </c>
      <c r="G19" s="1" t="s">
        <v>118</v>
      </c>
      <c r="H19" s="1" t="s">
        <v>120</v>
      </c>
      <c r="I19" s="1"/>
      <c r="J19" s="1"/>
      <c r="K19" s="1"/>
      <c r="L19" s="1"/>
      <c r="M19" s="7"/>
      <c r="N19" s="1"/>
      <c r="O19" s="1"/>
      <c r="P19" s="5">
        <f t="shared" si="0"/>
        <v>1.6999999999999999E-3</v>
      </c>
      <c r="Q19" s="3">
        <v>1.6999999999999999E-3</v>
      </c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>
        <f t="shared" si="1"/>
        <v>43060</v>
      </c>
      <c r="B20" s="1" t="s">
        <v>42</v>
      </c>
      <c r="C20" s="1" t="s">
        <v>42</v>
      </c>
      <c r="D20" s="1" t="s">
        <v>89</v>
      </c>
      <c r="E20" s="1" t="s">
        <v>127</v>
      </c>
      <c r="F20" s="1" t="s">
        <v>134</v>
      </c>
      <c r="G20" s="1" t="s">
        <v>118</v>
      </c>
      <c r="H20" s="1" t="s">
        <v>121</v>
      </c>
      <c r="I20" s="1"/>
      <c r="J20" s="1"/>
      <c r="K20" s="1"/>
      <c r="L20" s="1"/>
      <c r="M20" s="7"/>
      <c r="N20" s="1"/>
      <c r="O20" s="1"/>
      <c r="P20" s="5">
        <f t="shared" si="0"/>
        <v>5.7000000000000002E-3</v>
      </c>
      <c r="Q20" s="3">
        <v>5.7000000000000002E-3</v>
      </c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2">
        <f t="shared" si="1"/>
        <v>43060</v>
      </c>
      <c r="B21" s="1" t="s">
        <v>43</v>
      </c>
      <c r="C21" s="1" t="s">
        <v>43</v>
      </c>
      <c r="D21" s="1" t="s">
        <v>90</v>
      </c>
      <c r="E21" s="1" t="s">
        <v>128</v>
      </c>
      <c r="F21" s="1" t="s">
        <v>135</v>
      </c>
      <c r="G21" s="1" t="s">
        <v>118</v>
      </c>
      <c r="H21" s="1" t="s">
        <v>122</v>
      </c>
      <c r="I21" s="1"/>
      <c r="J21" s="1"/>
      <c r="K21" s="1"/>
      <c r="L21" s="1"/>
      <c r="M21" s="7"/>
      <c r="N21" s="1"/>
      <c r="O21" s="1"/>
      <c r="P21" s="5">
        <f t="shared" si="0"/>
        <v>1.46E-2</v>
      </c>
      <c r="Q21" s="3">
        <v>1.46E-2</v>
      </c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2">
        <f t="shared" si="1"/>
        <v>43060</v>
      </c>
      <c r="B22" s="1" t="s">
        <v>44</v>
      </c>
      <c r="C22" s="1" t="s">
        <v>44</v>
      </c>
      <c r="D22" s="1" t="s">
        <v>91</v>
      </c>
      <c r="E22" s="1" t="s">
        <v>128</v>
      </c>
      <c r="F22" s="1" t="s">
        <v>135</v>
      </c>
      <c r="G22" s="1" t="s">
        <v>118</v>
      </c>
      <c r="H22" s="1" t="s">
        <v>122</v>
      </c>
      <c r="I22" s="1"/>
      <c r="J22" s="1"/>
      <c r="K22" s="1"/>
      <c r="L22" s="1"/>
      <c r="M22" s="7"/>
      <c r="N22" s="1"/>
      <c r="O22" s="1"/>
      <c r="P22" s="5">
        <f t="shared" si="0"/>
        <v>2.0199999999999999E-2</v>
      </c>
      <c r="Q22" s="3">
        <v>2.0199999999999999E-2</v>
      </c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2">
        <f t="shared" si="1"/>
        <v>43060</v>
      </c>
      <c r="B23" s="1" t="s">
        <v>45</v>
      </c>
      <c r="C23" s="1" t="s">
        <v>45</v>
      </c>
      <c r="D23" s="1" t="s">
        <v>92</v>
      </c>
      <c r="E23" s="1" t="s">
        <v>128</v>
      </c>
      <c r="F23" s="1" t="s">
        <v>135</v>
      </c>
      <c r="G23" s="1" t="s">
        <v>118</v>
      </c>
      <c r="H23" s="1" t="s">
        <v>122</v>
      </c>
      <c r="I23" s="1"/>
      <c r="J23" s="1"/>
      <c r="K23" s="1"/>
      <c r="L23" s="1"/>
      <c r="M23" s="7"/>
      <c r="N23" s="1"/>
      <c r="O23" s="1"/>
      <c r="P23" s="5">
        <f t="shared" si="0"/>
        <v>1.9E-2</v>
      </c>
      <c r="Q23" s="3">
        <v>1.9E-2</v>
      </c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2">
        <f t="shared" si="1"/>
        <v>43060</v>
      </c>
      <c r="B24" s="1" t="s">
        <v>46</v>
      </c>
      <c r="C24" s="1" t="s">
        <v>46</v>
      </c>
      <c r="D24" s="1" t="s">
        <v>93</v>
      </c>
      <c r="E24" s="1" t="s">
        <v>128</v>
      </c>
      <c r="F24" s="1" t="s">
        <v>135</v>
      </c>
      <c r="G24" s="1" t="s">
        <v>118</v>
      </c>
      <c r="H24" s="1" t="s">
        <v>122</v>
      </c>
      <c r="I24" s="1"/>
      <c r="J24" s="1"/>
      <c r="K24" s="1"/>
      <c r="L24" s="1"/>
      <c r="M24" s="7"/>
      <c r="N24" s="1"/>
      <c r="O24" s="1"/>
      <c r="P24" s="5">
        <f t="shared" si="0"/>
        <v>1.24E-2</v>
      </c>
      <c r="Q24" s="3">
        <v>1.24E-2</v>
      </c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2">
        <f t="shared" si="1"/>
        <v>43060</v>
      </c>
      <c r="B25" s="1" t="s">
        <v>47</v>
      </c>
      <c r="C25" s="1" t="s">
        <v>47</v>
      </c>
      <c r="D25" s="1" t="s">
        <v>94</v>
      </c>
      <c r="E25" s="1" t="s">
        <v>128</v>
      </c>
      <c r="F25" s="1" t="s">
        <v>135</v>
      </c>
      <c r="G25" s="1" t="s">
        <v>118</v>
      </c>
      <c r="H25" s="1" t="s">
        <v>122</v>
      </c>
      <c r="I25" s="1"/>
      <c r="J25" s="1"/>
      <c r="K25" s="1"/>
      <c r="L25" s="1"/>
      <c r="M25" s="7"/>
      <c r="N25" s="1"/>
      <c r="O25" s="1"/>
      <c r="P25" s="5">
        <f t="shared" si="0"/>
        <v>2.5999999999999999E-3</v>
      </c>
      <c r="Q25" s="3">
        <v>2.5999999999999999E-3</v>
      </c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2">
        <f t="shared" si="1"/>
        <v>43060</v>
      </c>
      <c r="B26" s="1" t="s">
        <v>48</v>
      </c>
      <c r="C26" s="1" t="s">
        <v>48</v>
      </c>
      <c r="D26" s="1" t="s">
        <v>95</v>
      </c>
      <c r="E26" s="1" t="s">
        <v>128</v>
      </c>
      <c r="F26" s="1" t="s">
        <v>135</v>
      </c>
      <c r="G26" s="1" t="s">
        <v>118</v>
      </c>
      <c r="H26" s="1" t="s">
        <v>122</v>
      </c>
      <c r="I26" s="1"/>
      <c r="J26" s="1"/>
      <c r="K26" s="1"/>
      <c r="L26" s="1"/>
      <c r="M26" s="7"/>
      <c r="N26" s="1"/>
      <c r="O26" s="1"/>
      <c r="P26" s="5">
        <f t="shared" si="0"/>
        <v>1.66E-2</v>
      </c>
      <c r="Q26" s="3">
        <v>1.66E-2</v>
      </c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2">
        <f t="shared" si="1"/>
        <v>43060</v>
      </c>
      <c r="B27" s="1" t="s">
        <v>49</v>
      </c>
      <c r="C27" s="1" t="s">
        <v>49</v>
      </c>
      <c r="D27" s="1" t="s">
        <v>96</v>
      </c>
      <c r="E27" s="1" t="s">
        <v>128</v>
      </c>
      <c r="F27" s="1" t="s">
        <v>135</v>
      </c>
      <c r="G27" s="1" t="s">
        <v>118</v>
      </c>
      <c r="H27" s="1" t="s">
        <v>122</v>
      </c>
      <c r="I27" s="1"/>
      <c r="J27" s="1"/>
      <c r="K27" s="1"/>
      <c r="L27" s="1"/>
      <c r="M27" s="7"/>
      <c r="N27" s="1"/>
      <c r="O27" s="1"/>
      <c r="P27" s="5">
        <f t="shared" si="0"/>
        <v>2.6100000000000002E-2</v>
      </c>
      <c r="Q27" s="3">
        <v>2.6100000000000002E-2</v>
      </c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2">
        <f t="shared" si="1"/>
        <v>43060</v>
      </c>
      <c r="B28" s="1" t="s">
        <v>50</v>
      </c>
      <c r="C28" s="1" t="s">
        <v>50</v>
      </c>
      <c r="D28" s="1" t="s">
        <v>97</v>
      </c>
      <c r="E28" s="1" t="s">
        <v>128</v>
      </c>
      <c r="F28" s="1" t="s">
        <v>135</v>
      </c>
      <c r="G28" s="1" t="s">
        <v>118</v>
      </c>
      <c r="H28" s="1" t="s">
        <v>122</v>
      </c>
      <c r="I28" s="1"/>
      <c r="J28" s="1"/>
      <c r="K28" s="1"/>
      <c r="L28" s="1"/>
      <c r="M28" s="7"/>
      <c r="N28" s="1"/>
      <c r="O28" s="1"/>
      <c r="P28" s="5">
        <f t="shared" si="0"/>
        <v>3.5099999999999999E-2</v>
      </c>
      <c r="Q28" s="3">
        <v>3.5099999999999999E-2</v>
      </c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2">
        <f t="shared" si="1"/>
        <v>43060</v>
      </c>
      <c r="B29" s="1" t="s">
        <v>51</v>
      </c>
      <c r="C29" s="1" t="s">
        <v>51</v>
      </c>
      <c r="D29" s="1" t="s">
        <v>98</v>
      </c>
      <c r="E29" s="1" t="s">
        <v>128</v>
      </c>
      <c r="F29" s="1" t="s">
        <v>135</v>
      </c>
      <c r="G29" s="1" t="s">
        <v>118</v>
      </c>
      <c r="H29" s="1" t="s">
        <v>122</v>
      </c>
      <c r="I29" s="1"/>
      <c r="J29" s="1"/>
      <c r="K29" s="1"/>
      <c r="L29" s="1"/>
      <c r="M29" s="7"/>
      <c r="N29" s="1"/>
      <c r="O29" s="1"/>
      <c r="P29" s="5">
        <f t="shared" si="0"/>
        <v>3.7900000000000003E-2</v>
      </c>
      <c r="Q29" s="3">
        <v>3.7900000000000003E-2</v>
      </c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2">
        <f t="shared" si="1"/>
        <v>43060</v>
      </c>
      <c r="B30" s="1" t="s">
        <v>52</v>
      </c>
      <c r="C30" s="1" t="s">
        <v>52</v>
      </c>
      <c r="D30" s="1" t="s">
        <v>99</v>
      </c>
      <c r="E30" s="1" t="s">
        <v>128</v>
      </c>
      <c r="F30" s="1" t="s">
        <v>135</v>
      </c>
      <c r="G30" s="1" t="s">
        <v>118</v>
      </c>
      <c r="H30" s="1" t="s">
        <v>122</v>
      </c>
      <c r="I30" s="1"/>
      <c r="J30" s="1"/>
      <c r="K30" s="1"/>
      <c r="L30" s="1"/>
      <c r="M30" s="7"/>
      <c r="N30" s="1"/>
      <c r="O30" s="1"/>
      <c r="P30" s="5">
        <f t="shared" si="0"/>
        <v>3.5000000000000003E-2</v>
      </c>
      <c r="Q30" s="3">
        <v>3.5000000000000003E-2</v>
      </c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2">
        <f t="shared" si="1"/>
        <v>43060</v>
      </c>
      <c r="B31" s="1" t="s">
        <v>53</v>
      </c>
      <c r="C31" s="1" t="s">
        <v>53</v>
      </c>
      <c r="D31" s="1" t="s">
        <v>100</v>
      </c>
      <c r="E31" s="1" t="s">
        <v>128</v>
      </c>
      <c r="F31" s="1" t="s">
        <v>135</v>
      </c>
      <c r="G31" s="1" t="s">
        <v>118</v>
      </c>
      <c r="H31" s="1" t="s">
        <v>122</v>
      </c>
      <c r="I31" s="1"/>
      <c r="J31" s="1"/>
      <c r="K31" s="1"/>
      <c r="L31" s="1"/>
      <c r="M31" s="7"/>
      <c r="N31" s="1"/>
      <c r="O31" s="1"/>
      <c r="P31" s="5">
        <f t="shared" si="0"/>
        <v>1.55E-2</v>
      </c>
      <c r="Q31" s="3">
        <v>1.55E-2</v>
      </c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2">
        <f t="shared" si="1"/>
        <v>43060</v>
      </c>
      <c r="B32" s="1" t="s">
        <v>54</v>
      </c>
      <c r="C32" s="1" t="s">
        <v>54</v>
      </c>
      <c r="D32" s="1" t="s">
        <v>101</v>
      </c>
      <c r="E32" s="1" t="s">
        <v>129</v>
      </c>
      <c r="F32" s="1" t="s">
        <v>136</v>
      </c>
      <c r="G32" s="1" t="s">
        <v>118</v>
      </c>
      <c r="H32" s="1" t="s">
        <v>123</v>
      </c>
      <c r="I32" s="1"/>
      <c r="J32" s="1"/>
      <c r="K32" s="1"/>
      <c r="L32" s="1"/>
      <c r="M32" s="7"/>
      <c r="N32" s="1"/>
      <c r="O32" s="1"/>
      <c r="P32" s="5">
        <f t="shared" si="0"/>
        <v>2.1499999999999998E-2</v>
      </c>
      <c r="Q32" s="3">
        <v>2.1499999999999998E-2</v>
      </c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2">
        <f t="shared" si="1"/>
        <v>43060</v>
      </c>
      <c r="B33" s="1" t="s">
        <v>55</v>
      </c>
      <c r="C33" s="1" t="s">
        <v>55</v>
      </c>
      <c r="D33" s="1" t="s">
        <v>102</v>
      </c>
      <c r="E33" s="1" t="s">
        <v>129</v>
      </c>
      <c r="F33" s="1" t="s">
        <v>136</v>
      </c>
      <c r="G33" s="1" t="s">
        <v>118</v>
      </c>
      <c r="H33" s="1" t="s">
        <v>123</v>
      </c>
      <c r="I33" s="1"/>
      <c r="J33" s="1"/>
      <c r="K33" s="1"/>
      <c r="L33" s="1"/>
      <c r="M33" s="7"/>
      <c r="N33" s="1"/>
      <c r="O33" s="1"/>
      <c r="P33" s="5">
        <f t="shared" si="0"/>
        <v>1.0200000000000001E-2</v>
      </c>
      <c r="Q33" s="3">
        <v>1.0200000000000001E-2</v>
      </c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2">
        <f t="shared" si="1"/>
        <v>43060</v>
      </c>
      <c r="B34" s="1" t="s">
        <v>56</v>
      </c>
      <c r="C34" s="1" t="s">
        <v>56</v>
      </c>
      <c r="D34" s="1" t="s">
        <v>103</v>
      </c>
      <c r="E34" s="1" t="s">
        <v>129</v>
      </c>
      <c r="F34" s="1" t="s">
        <v>136</v>
      </c>
      <c r="G34" s="1" t="s">
        <v>118</v>
      </c>
      <c r="H34" s="1" t="s">
        <v>123</v>
      </c>
      <c r="I34" s="1"/>
      <c r="J34" s="1"/>
      <c r="K34" s="1"/>
      <c r="L34" s="1"/>
      <c r="M34" s="7"/>
      <c r="N34" s="1"/>
      <c r="O34" s="1"/>
      <c r="P34" s="5">
        <f t="shared" si="0"/>
        <v>3.0999999999999999E-3</v>
      </c>
      <c r="Q34" s="3">
        <v>3.0999999999999999E-3</v>
      </c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2">
        <f t="shared" si="1"/>
        <v>43060</v>
      </c>
      <c r="B35" s="1" t="s">
        <v>57</v>
      </c>
      <c r="C35" s="1" t="s">
        <v>57</v>
      </c>
      <c r="D35" s="1" t="s">
        <v>104</v>
      </c>
      <c r="E35" s="1" t="s">
        <v>129</v>
      </c>
      <c r="F35" s="1" t="s">
        <v>136</v>
      </c>
      <c r="G35" s="1" t="s">
        <v>118</v>
      </c>
      <c r="H35" s="1" t="s">
        <v>123</v>
      </c>
      <c r="I35" s="1"/>
      <c r="J35" s="1"/>
      <c r="K35" s="1"/>
      <c r="L35" s="1"/>
      <c r="M35" s="7"/>
      <c r="N35" s="1"/>
      <c r="O35" s="1"/>
      <c r="P35" s="5">
        <f t="shared" si="0"/>
        <v>1.1000000000000001E-3</v>
      </c>
      <c r="Q35" s="3">
        <v>1.1000000000000001E-3</v>
      </c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2">
        <f t="shared" si="1"/>
        <v>43060</v>
      </c>
      <c r="B36" s="1" t="s">
        <v>58</v>
      </c>
      <c r="C36" s="1" t="s">
        <v>58</v>
      </c>
      <c r="D36" s="1" t="s">
        <v>105</v>
      </c>
      <c r="E36" s="1" t="s">
        <v>129</v>
      </c>
      <c r="F36" s="1" t="s">
        <v>136</v>
      </c>
      <c r="G36" s="1" t="s">
        <v>118</v>
      </c>
      <c r="H36" s="1" t="s">
        <v>123</v>
      </c>
      <c r="I36" s="1"/>
      <c r="J36" s="1"/>
      <c r="K36" s="1"/>
      <c r="L36" s="1"/>
      <c r="M36" s="7"/>
      <c r="N36" s="1"/>
      <c r="O36" s="1"/>
      <c r="P36" s="5">
        <f t="shared" si="0"/>
        <v>2.8999999999999998E-3</v>
      </c>
      <c r="Q36" s="3">
        <v>2.8999999999999998E-3</v>
      </c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2">
        <f t="shared" si="1"/>
        <v>43060</v>
      </c>
      <c r="B37" s="1" t="s">
        <v>59</v>
      </c>
      <c r="C37" s="1" t="s">
        <v>59</v>
      </c>
      <c r="D37" s="1" t="s">
        <v>106</v>
      </c>
      <c r="E37" s="1" t="s">
        <v>129</v>
      </c>
      <c r="F37" s="1" t="s">
        <v>136</v>
      </c>
      <c r="G37" s="1" t="s">
        <v>118</v>
      </c>
      <c r="H37" s="1" t="s">
        <v>123</v>
      </c>
      <c r="I37" s="1"/>
      <c r="J37" s="1"/>
      <c r="K37" s="1"/>
      <c r="L37" s="1"/>
      <c r="M37" s="7"/>
      <c r="N37" s="1"/>
      <c r="O37" s="1"/>
      <c r="P37" s="5">
        <f t="shared" si="0"/>
        <v>2.2800000000000001E-2</v>
      </c>
      <c r="Q37" s="3">
        <v>2.2800000000000001E-2</v>
      </c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2">
        <f t="shared" si="1"/>
        <v>43060</v>
      </c>
      <c r="B38" s="1" t="s">
        <v>60</v>
      </c>
      <c r="C38" s="1" t="s">
        <v>60</v>
      </c>
      <c r="D38" s="1" t="s">
        <v>107</v>
      </c>
      <c r="E38" s="1" t="s">
        <v>129</v>
      </c>
      <c r="F38" s="1" t="s">
        <v>136</v>
      </c>
      <c r="G38" s="1" t="s">
        <v>118</v>
      </c>
      <c r="H38" s="1" t="s">
        <v>123</v>
      </c>
      <c r="I38" s="1"/>
      <c r="J38" s="1"/>
      <c r="K38" s="1"/>
      <c r="L38" s="1"/>
      <c r="M38" s="7"/>
      <c r="N38" s="1"/>
      <c r="O38" s="1"/>
      <c r="P38" s="5">
        <f t="shared" si="0"/>
        <v>2.3699999999999999E-2</v>
      </c>
      <c r="Q38" s="3">
        <v>2.3699999999999999E-2</v>
      </c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2">
        <f t="shared" si="1"/>
        <v>43060</v>
      </c>
      <c r="B39" s="1" t="s">
        <v>61</v>
      </c>
      <c r="C39" s="1" t="s">
        <v>61</v>
      </c>
      <c r="D39" s="1" t="s">
        <v>108</v>
      </c>
      <c r="E39" s="1" t="s">
        <v>129</v>
      </c>
      <c r="F39" s="1" t="s">
        <v>136</v>
      </c>
      <c r="G39" s="1" t="s">
        <v>118</v>
      </c>
      <c r="H39" s="1" t="s">
        <v>123</v>
      </c>
      <c r="I39" s="1"/>
      <c r="J39" s="1"/>
      <c r="K39" s="1"/>
      <c r="L39" s="1"/>
      <c r="M39" s="7"/>
      <c r="N39" s="1"/>
      <c r="O39" s="1"/>
      <c r="P39" s="5">
        <f t="shared" si="0"/>
        <v>3.3300000000000003E-2</v>
      </c>
      <c r="Q39" s="3">
        <v>3.3300000000000003E-2</v>
      </c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2">
        <f t="shared" si="1"/>
        <v>43060</v>
      </c>
      <c r="B40" s="1" t="s">
        <v>62</v>
      </c>
      <c r="C40" s="1" t="s">
        <v>62</v>
      </c>
      <c r="D40" s="1" t="s">
        <v>109</v>
      </c>
      <c r="E40" s="1" t="s">
        <v>129</v>
      </c>
      <c r="F40" s="1" t="s">
        <v>136</v>
      </c>
      <c r="G40" s="1" t="s">
        <v>118</v>
      </c>
      <c r="H40" s="1" t="s">
        <v>123</v>
      </c>
      <c r="I40" s="1"/>
      <c r="J40" s="1"/>
      <c r="K40" s="1"/>
      <c r="L40" s="1"/>
      <c r="M40" s="7"/>
      <c r="N40" s="1"/>
      <c r="O40" s="1"/>
      <c r="P40" s="5">
        <f t="shared" si="0"/>
        <v>3.32E-2</v>
      </c>
      <c r="Q40" s="3">
        <v>3.32E-2</v>
      </c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2">
        <f t="shared" si="1"/>
        <v>43060</v>
      </c>
      <c r="B41" s="1" t="s">
        <v>63</v>
      </c>
      <c r="C41" s="1" t="s">
        <v>63</v>
      </c>
      <c r="D41" s="1" t="s">
        <v>110</v>
      </c>
      <c r="E41" s="1" t="s">
        <v>129</v>
      </c>
      <c r="F41" s="1" t="s">
        <v>136</v>
      </c>
      <c r="G41" s="1" t="s">
        <v>118</v>
      </c>
      <c r="H41" s="1" t="s">
        <v>123</v>
      </c>
      <c r="I41" s="1"/>
      <c r="J41" s="1"/>
      <c r="K41" s="1"/>
      <c r="L41" s="1"/>
      <c r="M41" s="7"/>
      <c r="N41" s="1"/>
      <c r="O41" s="1"/>
      <c r="P41" s="5">
        <f t="shared" si="0"/>
        <v>2.29E-2</v>
      </c>
      <c r="Q41" s="3">
        <v>2.29E-2</v>
      </c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2">
        <f t="shared" si="1"/>
        <v>43060</v>
      </c>
      <c r="B42" s="1" t="s">
        <v>64</v>
      </c>
      <c r="C42" s="1" t="s">
        <v>64</v>
      </c>
      <c r="D42" s="1" t="s">
        <v>111</v>
      </c>
      <c r="E42" s="1" t="s">
        <v>130</v>
      </c>
      <c r="F42" s="1" t="s">
        <v>137</v>
      </c>
      <c r="G42" s="1" t="s">
        <v>118</v>
      </c>
      <c r="H42" s="1" t="s">
        <v>123</v>
      </c>
      <c r="I42" s="1"/>
      <c r="J42" s="1"/>
      <c r="K42" s="1"/>
      <c r="L42" s="1"/>
      <c r="M42" s="7"/>
      <c r="N42" s="1"/>
      <c r="O42" s="1"/>
      <c r="P42" s="5">
        <f t="shared" si="0"/>
        <v>1.0500000000000001E-2</v>
      </c>
      <c r="Q42" s="3">
        <v>1.0500000000000001E-2</v>
      </c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2">
        <f t="shared" si="1"/>
        <v>43060</v>
      </c>
      <c r="B43" s="1" t="s">
        <v>65</v>
      </c>
      <c r="C43" s="1" t="s">
        <v>65</v>
      </c>
      <c r="D43" s="1" t="s">
        <v>112</v>
      </c>
      <c r="E43" s="1" t="s">
        <v>130</v>
      </c>
      <c r="F43" s="1" t="s">
        <v>137</v>
      </c>
      <c r="G43" s="1" t="s">
        <v>118</v>
      </c>
      <c r="H43" s="1" t="s">
        <v>123</v>
      </c>
      <c r="I43" s="1"/>
      <c r="J43" s="1"/>
      <c r="K43" s="1"/>
      <c r="L43" s="1"/>
      <c r="M43" s="7"/>
      <c r="N43" s="1"/>
      <c r="O43" s="1"/>
      <c r="P43" s="5">
        <f t="shared" si="0"/>
        <v>3.4500000000000003E-2</v>
      </c>
      <c r="Q43" s="3">
        <v>3.4500000000000003E-2</v>
      </c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2">
        <f t="shared" si="1"/>
        <v>43060</v>
      </c>
      <c r="B44" s="1" t="s">
        <v>66</v>
      </c>
      <c r="C44" s="1" t="s">
        <v>66</v>
      </c>
      <c r="D44" s="1" t="s">
        <v>113</v>
      </c>
      <c r="E44" s="1" t="s">
        <v>130</v>
      </c>
      <c r="F44" s="1" t="s">
        <v>137</v>
      </c>
      <c r="G44" s="1" t="s">
        <v>118</v>
      </c>
      <c r="H44" s="1" t="s">
        <v>123</v>
      </c>
      <c r="I44" s="1"/>
      <c r="J44" s="1"/>
      <c r="K44" s="1"/>
      <c r="L44" s="1"/>
      <c r="M44" s="7"/>
      <c r="N44" s="1"/>
      <c r="O44" s="1"/>
      <c r="P44" s="5">
        <f t="shared" si="0"/>
        <v>1.5699999999999999E-2</v>
      </c>
      <c r="Q44" s="3">
        <v>1.5699999999999999E-2</v>
      </c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2">
        <f t="shared" si="1"/>
        <v>43060</v>
      </c>
      <c r="B45" s="1" t="s">
        <v>67</v>
      </c>
      <c r="C45" s="1" t="s">
        <v>67</v>
      </c>
      <c r="D45" s="1" t="s">
        <v>114</v>
      </c>
      <c r="E45" s="1" t="s">
        <v>130</v>
      </c>
      <c r="F45" s="1" t="s">
        <v>137</v>
      </c>
      <c r="G45" s="1" t="s">
        <v>118</v>
      </c>
      <c r="H45" s="1" t="s">
        <v>123</v>
      </c>
      <c r="I45" s="1"/>
      <c r="J45" s="1"/>
      <c r="K45" s="1"/>
      <c r="L45" s="1"/>
      <c r="M45" s="7"/>
      <c r="N45" s="1"/>
      <c r="O45" s="1"/>
      <c r="P45" s="5">
        <f t="shared" si="0"/>
        <v>1.5599999999999999E-2</v>
      </c>
      <c r="Q45" s="3">
        <v>1.5599999999999999E-2</v>
      </c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2">
        <f t="shared" si="1"/>
        <v>43060</v>
      </c>
      <c r="B46" s="1" t="s">
        <v>68</v>
      </c>
      <c r="C46" s="1" t="s">
        <v>68</v>
      </c>
      <c r="D46" s="1" t="s">
        <v>115</v>
      </c>
      <c r="E46" s="1" t="s">
        <v>130</v>
      </c>
      <c r="F46" s="1" t="s">
        <v>137</v>
      </c>
      <c r="G46" s="1" t="s">
        <v>118</v>
      </c>
      <c r="H46" s="1" t="s">
        <v>123</v>
      </c>
      <c r="I46" s="1"/>
      <c r="J46" s="1"/>
      <c r="K46" s="1"/>
      <c r="L46" s="1"/>
      <c r="M46" s="7"/>
      <c r="N46" s="1"/>
      <c r="O46" s="1"/>
      <c r="P46" s="5">
        <f t="shared" si="0"/>
        <v>1.18E-2</v>
      </c>
      <c r="Q46" s="3">
        <v>1.18E-2</v>
      </c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2">
        <f t="shared" si="1"/>
        <v>43060</v>
      </c>
      <c r="B47" s="1" t="s">
        <v>69</v>
      </c>
      <c r="C47" s="1" t="s">
        <v>69</v>
      </c>
      <c r="D47" s="1" t="s">
        <v>116</v>
      </c>
      <c r="E47" s="1" t="s">
        <v>131</v>
      </c>
      <c r="F47" s="1" t="s">
        <v>138</v>
      </c>
      <c r="G47" s="1" t="s">
        <v>118</v>
      </c>
      <c r="H47" s="1" t="s">
        <v>124</v>
      </c>
      <c r="I47" s="1"/>
      <c r="J47" s="1"/>
      <c r="K47" s="1"/>
      <c r="L47" s="1"/>
      <c r="M47" s="7"/>
      <c r="N47" s="1"/>
      <c r="O47" s="1"/>
      <c r="P47" s="5">
        <f t="shared" si="0"/>
        <v>1.52E-2</v>
      </c>
      <c r="Q47" s="3">
        <v>1.52E-2</v>
      </c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2">
        <f t="shared" si="1"/>
        <v>43060</v>
      </c>
      <c r="B48" s="1" t="s">
        <v>70</v>
      </c>
      <c r="C48" s="1" t="s">
        <v>70</v>
      </c>
      <c r="D48" s="1" t="s">
        <v>117</v>
      </c>
      <c r="E48" s="1" t="s">
        <v>131</v>
      </c>
      <c r="F48" s="1" t="s">
        <v>138</v>
      </c>
      <c r="G48" s="1" t="s">
        <v>118</v>
      </c>
      <c r="H48" s="1" t="s">
        <v>124</v>
      </c>
      <c r="I48" s="1"/>
      <c r="J48" s="1"/>
      <c r="K48" s="1"/>
      <c r="L48" s="1"/>
      <c r="M48" s="7"/>
      <c r="N48" s="1"/>
      <c r="O48" s="1"/>
      <c r="P48" s="5">
        <v>0.15059999999999996</v>
      </c>
      <c r="Q48" s="3">
        <v>0.15059999999999996</v>
      </c>
      <c r="R48" s="1"/>
      <c r="S48" s="1"/>
      <c r="T48" s="1"/>
      <c r="U48" s="1"/>
      <c r="V48" s="1"/>
      <c r="W48" s="1"/>
      <c r="X48" s="1"/>
      <c r="Y48" s="1"/>
      <c r="Z48" s="1"/>
    </row>
    <row r="49" spans="17:17" x14ac:dyDescent="0.2">
      <c r="Q49" s="4"/>
    </row>
    <row r="50" spans="17:17" x14ac:dyDescent="0.2">
      <c r="Q50" s="4"/>
    </row>
    <row r="51" spans="17:17" x14ac:dyDescent="0.2">
      <c r="Q51" s="4"/>
    </row>
    <row r="52" spans="17:17" x14ac:dyDescent="0.2">
      <c r="Q52" s="4"/>
    </row>
    <row r="53" spans="17:17" x14ac:dyDescent="0.2">
      <c r="Q53" s="4"/>
    </row>
    <row r="54" spans="17:17" x14ac:dyDescent="0.2">
      <c r="Q54" s="4"/>
    </row>
    <row r="55" spans="17:17" x14ac:dyDescent="0.2">
      <c r="Q55" s="4"/>
    </row>
    <row r="56" spans="17:17" x14ac:dyDescent="0.2">
      <c r="Q56" s="4"/>
    </row>
    <row r="57" spans="17:17" x14ac:dyDescent="0.2">
      <c r="Q57" s="4"/>
    </row>
    <row r="58" spans="17:17" x14ac:dyDescent="0.2">
      <c r="Q58" s="4"/>
    </row>
    <row r="59" spans="17:17" x14ac:dyDescent="0.2">
      <c r="Q59" s="4"/>
    </row>
    <row r="60" spans="17:17" x14ac:dyDescent="0.2">
      <c r="Q60" s="4"/>
    </row>
    <row r="61" spans="17:17" x14ac:dyDescent="0.2">
      <c r="Q6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981A-6977-4881-8683-F79EC10C009F}">
  <sheetPr codeName="Hoja2"/>
  <dimension ref="A1"/>
  <sheetViews>
    <sheetView workbookViewId="0">
      <selection activeCell="F21" sqref="F21"/>
    </sheetView>
  </sheetViews>
  <sheetFormatPr baseColWidth="10"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4966-D53E-488C-8482-03CA908143F3}">
  <sheetPr codeName="Hoja3"/>
  <dimension ref="A1"/>
  <sheetViews>
    <sheetView workbookViewId="0">
      <selection activeCell="E33" sqref="E33"/>
    </sheetView>
  </sheetViews>
  <sheetFormatPr baseColWidth="10"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4C41-D1B0-4B74-8C5D-8A38AAD299A3}">
  <sheetPr codeName="Hoja5"/>
  <dimension ref="B2:P15"/>
  <sheetViews>
    <sheetView workbookViewId="0">
      <selection activeCell="N5" sqref="N5"/>
    </sheetView>
  </sheetViews>
  <sheetFormatPr baseColWidth="10" defaultRowHeight="14.25" x14ac:dyDescent="0.2"/>
  <cols>
    <col min="2" max="2" width="7.875" bestFit="1" customWidth="1"/>
    <col min="3" max="3" width="14.125" customWidth="1"/>
    <col min="4" max="4" width="11.75" customWidth="1"/>
    <col min="5" max="5" width="13.25" bestFit="1" customWidth="1"/>
    <col min="6" max="6" width="14.25" bestFit="1" customWidth="1"/>
    <col min="7" max="7" width="14.125" customWidth="1"/>
    <col min="8" max="8" width="12.125" bestFit="1" customWidth="1"/>
    <col min="9" max="9" width="10.25" customWidth="1"/>
    <col min="10" max="10" width="8.625" customWidth="1"/>
    <col min="11" max="11" width="12.125" bestFit="1" customWidth="1"/>
    <col min="15" max="15" width="10.25" customWidth="1"/>
    <col min="16" max="16" width="12.125" customWidth="1"/>
  </cols>
  <sheetData>
    <row r="2" spans="2:16" ht="15" x14ac:dyDescent="0.25">
      <c r="E2" s="9" t="s">
        <v>141</v>
      </c>
      <c r="F2" s="9" t="s">
        <v>142</v>
      </c>
      <c r="G2" s="9" t="s">
        <v>143</v>
      </c>
      <c r="H2" s="9" t="s">
        <v>145</v>
      </c>
      <c r="I2" s="9" t="s">
        <v>152</v>
      </c>
      <c r="J2" s="9" t="s">
        <v>153</v>
      </c>
      <c r="K2" s="9" t="s">
        <v>144</v>
      </c>
    </row>
    <row r="3" spans="2:16" x14ac:dyDescent="0.2">
      <c r="E3" s="12">
        <v>298669.2985526796</v>
      </c>
      <c r="F3" s="12">
        <v>200000</v>
      </c>
      <c r="G3" s="12">
        <v>0</v>
      </c>
      <c r="H3" s="12">
        <v>26</v>
      </c>
      <c r="K3" s="12">
        <f>+E3+F3-G3+H3</f>
        <v>498695.2985526796</v>
      </c>
    </row>
    <row r="6" spans="2:16" x14ac:dyDescent="0.2">
      <c r="C6" s="17">
        <f>+Portfolio!A2</f>
        <v>43060</v>
      </c>
      <c r="D6" s="18"/>
      <c r="E6" s="17">
        <f ca="1">+TODAY()</f>
        <v>43084</v>
      </c>
      <c r="F6" s="18"/>
    </row>
    <row r="7" spans="2:16" ht="15" x14ac:dyDescent="0.25">
      <c r="B7" s="9" t="s">
        <v>139</v>
      </c>
      <c r="C7" s="10" t="s">
        <v>140</v>
      </c>
      <c r="D7" s="9" t="s">
        <v>146</v>
      </c>
      <c r="E7" s="10" t="s">
        <v>140</v>
      </c>
      <c r="F7" s="9" t="s">
        <v>146</v>
      </c>
      <c r="G7" s="9" t="s">
        <v>154</v>
      </c>
      <c r="N7" s="9" t="s">
        <v>139</v>
      </c>
      <c r="O7" s="10" t="s">
        <v>150</v>
      </c>
      <c r="P7" s="9" t="s">
        <v>151</v>
      </c>
    </row>
    <row r="8" spans="2:16" x14ac:dyDescent="0.2">
      <c r="B8" s="1" t="s">
        <v>125</v>
      </c>
      <c r="C8" s="6">
        <f>+SUMIFS(Portfolio!P:P,Portfolio!E:E,$B8)</f>
        <v>3.1E-2</v>
      </c>
      <c r="D8" s="11">
        <f>+SUMIFS(Portfolio!Y:Y,Portfolio!E:E,$B8)</f>
        <v>0</v>
      </c>
      <c r="E8" s="6">
        <v>3.1E-2</v>
      </c>
      <c r="F8" s="12">
        <f>+E8*SUM(Portfolio!Y:Y+$K$3)</f>
        <v>15459.554255133067</v>
      </c>
      <c r="G8" s="12">
        <f>+F8-D8</f>
        <v>15459.554255133067</v>
      </c>
      <c r="N8" s="7" t="s">
        <v>125</v>
      </c>
      <c r="O8" s="3"/>
      <c r="P8" s="5">
        <f t="shared" ref="P8:P15" si="0">+C8+O8</f>
        <v>3.1E-2</v>
      </c>
    </row>
    <row r="9" spans="2:16" x14ac:dyDescent="0.2">
      <c r="B9" s="1" t="s">
        <v>126</v>
      </c>
      <c r="C9" s="6">
        <f>+SUMIFS(Portfolio!P:P,Portfolio!E:E,$B9)</f>
        <v>0.29969999999999997</v>
      </c>
      <c r="D9" s="11">
        <f>+SUMIFS(Portfolio!Y:Y,Portfolio!E:E,$B9)</f>
        <v>0</v>
      </c>
      <c r="E9" s="6">
        <v>0.29969999999999997</v>
      </c>
      <c r="F9" s="12">
        <f>+E9*SUM(Portfolio!Y:Y+$K$3)</f>
        <v>149458.98097623806</v>
      </c>
      <c r="G9" s="12">
        <f t="shared" ref="G9:G14" si="1">+F9-D9</f>
        <v>149458.98097623806</v>
      </c>
      <c r="N9" s="7" t="s">
        <v>126</v>
      </c>
      <c r="O9" s="3"/>
      <c r="P9" s="5">
        <f t="shared" si="0"/>
        <v>0.29969999999999997</v>
      </c>
    </row>
    <row r="10" spans="2:16" x14ac:dyDescent="0.2">
      <c r="B10" s="1" t="s">
        <v>127</v>
      </c>
      <c r="C10" s="6">
        <f>+SUMIFS(Portfolio!P:P,Portfolio!E:E,$B10)</f>
        <v>5.7000000000000002E-3</v>
      </c>
      <c r="D10" s="11">
        <f>+SUMIFS(Portfolio!Y:Y,Portfolio!E:E,$B10)</f>
        <v>0</v>
      </c>
      <c r="E10" s="6">
        <v>5.7000000000000002E-3</v>
      </c>
      <c r="F10" s="12">
        <f>+E10*SUM(Portfolio!Y:Y+$K$3)</f>
        <v>2842.5632017502739</v>
      </c>
      <c r="G10" s="12">
        <f t="shared" si="1"/>
        <v>2842.5632017502739</v>
      </c>
      <c r="N10" s="7" t="s">
        <v>127</v>
      </c>
      <c r="O10" s="3"/>
      <c r="P10" s="5">
        <f t="shared" si="0"/>
        <v>5.7000000000000002E-3</v>
      </c>
    </row>
    <row r="11" spans="2:16" x14ac:dyDescent="0.2">
      <c r="B11" s="1" t="s">
        <v>128</v>
      </c>
      <c r="C11" s="6">
        <f>+SUMIFS(Portfolio!P:P,Portfolio!E:E,$B11)</f>
        <v>0.23499999999999999</v>
      </c>
      <c r="D11" s="11">
        <f>+SUMIFS(Portfolio!Y:Y,Portfolio!E:E,$B11)</f>
        <v>0</v>
      </c>
      <c r="E11" s="6">
        <v>0.23499999999999999</v>
      </c>
      <c r="F11" s="12">
        <f>+E11*SUM(Portfolio!Y:Y+$K$3)</f>
        <v>117193.3951598797</v>
      </c>
      <c r="G11" s="12">
        <f t="shared" si="1"/>
        <v>117193.3951598797</v>
      </c>
      <c r="N11" s="7" t="s">
        <v>128</v>
      </c>
      <c r="O11" s="3"/>
      <c r="P11" s="5">
        <f t="shared" si="0"/>
        <v>0.23499999999999999</v>
      </c>
    </row>
    <row r="12" spans="2:16" x14ac:dyDescent="0.2">
      <c r="B12" s="1" t="s">
        <v>129</v>
      </c>
      <c r="C12" s="6">
        <f>+SUMIFS(Portfolio!P:P,Portfolio!E:E,$B12)</f>
        <v>0.17469999999999999</v>
      </c>
      <c r="D12" s="11">
        <f>+SUMIFS(Portfolio!Y:Y,Portfolio!E:E,$B12)</f>
        <v>0</v>
      </c>
      <c r="E12" s="6">
        <v>0.17469999999999999</v>
      </c>
      <c r="F12" s="12">
        <f>+E12*SUM(Portfolio!Y:Y+$K$3)</f>
        <v>87122.068657153126</v>
      </c>
      <c r="G12" s="12">
        <f t="shared" si="1"/>
        <v>87122.068657153126</v>
      </c>
      <c r="N12" s="7" t="s">
        <v>129</v>
      </c>
      <c r="O12" s="3"/>
      <c r="P12" s="5">
        <f t="shared" si="0"/>
        <v>0.17469999999999999</v>
      </c>
    </row>
    <row r="13" spans="2:16" x14ac:dyDescent="0.2">
      <c r="B13" s="1" t="s">
        <v>130</v>
      </c>
      <c r="C13" s="6">
        <f>+SUMIFS(Portfolio!P:P,Portfolio!E:E,$B13)</f>
        <v>8.8100000000000012E-2</v>
      </c>
      <c r="D13" s="11">
        <f>+SUMIFS(Portfolio!Y:Y,Portfolio!E:E,$B13)</f>
        <v>0</v>
      </c>
      <c r="E13" s="6">
        <v>8.8100000000000012E-2</v>
      </c>
      <c r="F13" s="12">
        <f>+E13*SUM(Portfolio!Y:Y+$K$3)</f>
        <v>43935.055802491079</v>
      </c>
      <c r="G13" s="12">
        <f t="shared" si="1"/>
        <v>43935.055802491079</v>
      </c>
      <c r="N13" s="7" t="s">
        <v>130</v>
      </c>
      <c r="O13" s="3"/>
      <c r="P13" s="5">
        <f t="shared" si="0"/>
        <v>8.8100000000000012E-2</v>
      </c>
    </row>
    <row r="14" spans="2:16" x14ac:dyDescent="0.2">
      <c r="B14" s="8" t="s">
        <v>131</v>
      </c>
      <c r="C14" s="6">
        <f>+SUMIFS(Portfolio!P:P,Portfolio!E:E,$B14)</f>
        <v>0.16579999999999995</v>
      </c>
      <c r="D14" s="11">
        <f>+SUMIFS(Portfolio!Y:Y,Portfolio!E:E,$B14)</f>
        <v>0</v>
      </c>
      <c r="E14" s="6">
        <v>0.16579999999999995</v>
      </c>
      <c r="F14" s="12">
        <f>+E14*SUM(Portfolio!Y:Y+$K$3)</f>
        <v>82683.680500034257</v>
      </c>
      <c r="G14" s="12">
        <f t="shared" si="1"/>
        <v>82683.680500034257</v>
      </c>
      <c r="N14" s="7" t="s">
        <v>131</v>
      </c>
      <c r="O14" s="3"/>
      <c r="P14" s="5">
        <f t="shared" si="0"/>
        <v>0.16579999999999995</v>
      </c>
    </row>
    <row r="15" spans="2:16" x14ac:dyDescent="0.2">
      <c r="B15" s="13" t="s">
        <v>147</v>
      </c>
      <c r="C15" s="14">
        <f>+SUM(C8:C14)</f>
        <v>0.99999999999999978</v>
      </c>
      <c r="D15" s="15">
        <f>SUM(Portfolio!Y:Y)</f>
        <v>0</v>
      </c>
      <c r="E15" s="14">
        <v>0.99999999999999978</v>
      </c>
      <c r="F15" s="16">
        <f>+E15*SUM(Portfolio!Y:Y+$K$3)</f>
        <v>498695.29855267948</v>
      </c>
      <c r="G15" s="16">
        <f>C15*(SUM(Portfolio!Y:Y)+$K$3-D15)</f>
        <v>498695.29855267948</v>
      </c>
      <c r="N15" s="7" t="s">
        <v>149</v>
      </c>
      <c r="O15" s="3"/>
      <c r="P15" s="5">
        <f t="shared" si="0"/>
        <v>0.99999999999999978</v>
      </c>
    </row>
  </sheetData>
  <mergeCells count="2">
    <mergeCell ref="C6:D6"/>
    <mergeCell ref="E6:F6"/>
  </mergeCells>
  <conditionalFormatting sqref="K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G8:G1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 macro="[0]!ClickOnButton1">
                <anchor moveWithCells="1">
                  <from>
                    <xdr:col>12</xdr:col>
                    <xdr:colOff>809625</xdr:colOff>
                    <xdr:row>1</xdr:row>
                    <xdr:rowOff>133350</xdr:rowOff>
                  </from>
                  <to>
                    <xdr:col>15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 macro="[0]!ClickOnButton2">
                <anchor moveWithCells="1">
                  <from>
                    <xdr:col>12</xdr:col>
                    <xdr:colOff>809625</xdr:colOff>
                    <xdr:row>2</xdr:row>
                    <xdr:rowOff>123825</xdr:rowOff>
                  </from>
                  <to>
                    <xdr:col>15</xdr:col>
                    <xdr:colOff>600075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A09C-72AA-4A2A-8FD1-582A9B492618}">
  <sheetPr codeName="Hoja7"/>
  <dimension ref="A1"/>
  <sheetViews>
    <sheetView workbookViewId="0">
      <selection activeCell="G41" sqref="G41"/>
    </sheetView>
  </sheetViews>
  <sheetFormatPr baseColWidth="10"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3C94-4467-47E2-BE17-9C05E5559634}">
  <sheetPr codeName="Hoja8"/>
  <dimension ref="A1"/>
  <sheetViews>
    <sheetView workbookViewId="0">
      <selection activeCell="M23" sqref="M23"/>
    </sheetView>
  </sheetViews>
  <sheetFormatPr baseColWidth="10" defaultRowHeight="14.2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BDD1-41A2-40B8-8F7D-AFB1B53EC093}">
  <sheetPr codeName="Hoja6"/>
  <dimension ref="A1"/>
  <sheetViews>
    <sheetView workbookViewId="0">
      <selection activeCell="C2" sqref="C2"/>
    </sheetView>
  </sheetViews>
  <sheetFormatPr baseColWidth="10"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Portfolio</vt:lpstr>
      <vt:lpstr>Simulacion</vt:lpstr>
      <vt:lpstr>Comparador de Trades</vt:lpstr>
      <vt:lpstr>Allocation</vt:lpstr>
      <vt:lpstr>Caja</vt:lpstr>
      <vt:lpstr>Posicionamiento</vt:lpstr>
      <vt:lpstr>Transacciones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Fernando Suarez B.</cp:lastModifiedBy>
  <dcterms:created xsi:type="dcterms:W3CDTF">2017-11-21T12:49:36Z</dcterms:created>
  <dcterms:modified xsi:type="dcterms:W3CDTF">2017-12-15T16:52:52Z</dcterms:modified>
</cp:coreProperties>
</file>